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 Total Attainment" sheetId="1" state="visible" r:id="rId3"/>
    <sheet name="Total PO Dashboard" sheetId="2" state="visible" r:id="rId4"/>
    <sheet name="Attainment Analysis" sheetId="3" state="visible" r:id="rId5"/>
    <sheet name="Input 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<sst xmlns="http://schemas.openxmlformats.org/spreadsheetml/2006/main" count="211" uniqueCount="98">
  <si>
    <t xml:space="preserve">PO / PSO TOTAL ATTAINMENT  =  Direct (80%) + Indirect (20%)  —  B.Tech Computer Science &amp; Engineering</t>
  </si>
  <si>
    <t xml:space="preserve">Total PO Attainment = (Direct Attainment × Weight_D) + (Indirect Attainment × Weight_I)  |  NBA: Direct 80% + Indirect 20%  |  Target ≥ 60%  |  Academic Year 2024-25</t>
  </si>
  <si>
    <t xml:space="preserve">LEGEND →</t>
  </si>
  <si>
    <t xml:space="preserve">Level 3 ≥60% — HIGH</t>
  </si>
  <si>
    <t xml:space="preserve">Level 2  40–59% — MEDIUM</t>
  </si>
  <si>
    <t xml:space="preserve">Level 1  &lt;40% — LOW</t>
  </si>
  <si>
    <t xml:space="preserve">Target Line = 60%</t>
  </si>
  <si>
    <t xml:space="preserve">WEIGHTS USED →</t>
  </si>
  <si>
    <t xml:space="preserve">← Weights are controlled in 'Input Data' sheet cells D5 &amp; E5</t>
  </si>
  <si>
    <t xml:space="preserve">PO / PSO IDENTIFICATION</t>
  </si>
  <si>
    <t xml:space="preserve">DIRECT ATTAINMENT
(CIE + SEE  via CO-PO)</t>
  </si>
  <si>
    <t xml:space="preserve">INDIRECT ATTAINMENT
(Surveys &amp; Feedback)</t>
  </si>
  <si>
    <t xml:space="preserve">TOTAL ATTAINMENT  =  Direct×Wt + Indirect×Wt</t>
  </si>
  <si>
    <t xml:space="preserve">#</t>
  </si>
  <si>
    <t xml:space="preserve">PO/PSO</t>
  </si>
  <si>
    <t xml:space="preserve">Description</t>
  </si>
  <si>
    <t xml:space="preserve">Direct
Att%</t>
  </si>
  <si>
    <t xml:space="preserve">Direct
Level</t>
  </si>
  <si>
    <t xml:space="preserve">Indirect
Att%</t>
  </si>
  <si>
    <t xml:space="preserve">Indirect
Level</t>
  </si>
  <si>
    <t xml:space="preserve">Total
Att%</t>
  </si>
  <si>
    <t xml:space="preserve">Total
Level</t>
  </si>
  <si>
    <t xml:space="preserve">Target
(60%)</t>
  </si>
  <si>
    <t xml:space="preserve">Gap</t>
  </si>
  <si>
    <t xml:space="preserve">Status</t>
  </si>
  <si>
    <t xml:space="preserve">PO1</t>
  </si>
  <si>
    <t xml:space="preserve">Engineering Knowledge</t>
  </si>
  <si>
    <t xml:space="preserve">PO2</t>
  </si>
  <si>
    <t xml:space="preserve">Problem Analysis</t>
  </si>
  <si>
    <t xml:space="preserve">PO3</t>
  </si>
  <si>
    <t xml:space="preserve">Design/Development of Solutions</t>
  </si>
  <si>
    <t xml:space="preserve">PO4</t>
  </si>
  <si>
    <t xml:space="preserve">Conduct Investigations of Complex Problems</t>
  </si>
  <si>
    <t xml:space="preserve">PO5</t>
  </si>
  <si>
    <t xml:space="preserve">Modern Tool Usage</t>
  </si>
  <si>
    <t xml:space="preserve">PO6</t>
  </si>
  <si>
    <t xml:space="preserve">The Engineer and Society</t>
  </si>
  <si>
    <t xml:space="preserve">PO7</t>
  </si>
  <si>
    <t xml:space="preserve">Environment and Sustainability</t>
  </si>
  <si>
    <t xml:space="preserve">PO8</t>
  </si>
  <si>
    <t xml:space="preserve">Ethics</t>
  </si>
  <si>
    <t xml:space="preserve">PO9</t>
  </si>
  <si>
    <t xml:space="preserve">Individual and Team Work</t>
  </si>
  <si>
    <t xml:space="preserve">PO10</t>
  </si>
  <si>
    <t xml:space="preserve">Communication</t>
  </si>
  <si>
    <t xml:space="preserve">PO11</t>
  </si>
  <si>
    <t xml:space="preserve">Project Management and Finance</t>
  </si>
  <si>
    <t xml:space="preserve">PO12</t>
  </si>
  <si>
    <t xml:space="preserve">Life-long Learning</t>
  </si>
  <si>
    <t xml:space="preserve">PSO1</t>
  </si>
  <si>
    <t xml:space="preserve">Apply core CS concepts to design software systems</t>
  </si>
  <si>
    <t xml:space="preserve">PSO2</t>
  </si>
  <si>
    <t xml:space="preserve">Use modern tools to solve real-world engineering problems</t>
  </si>
  <si>
    <t xml:space="preserve">PSO3</t>
  </si>
  <si>
    <t xml:space="preserve">Demonstrate professional skills for industry/research</t>
  </si>
  <si>
    <t xml:space="preserve">PROGRAMME AVERAGE</t>
  </si>
  <si>
    <t xml:space="preserve">PO / PSO TOTAL ATTAINMENT DASHBOARD  —  B.Tech CSE  |  Direct + Indirect  |  Academic Year 2024-25</t>
  </si>
  <si>
    <t xml:space="preserve">Total Attainment = Direct Attainment × 80%  +  Indirect Attainment × 20%   |   NBA / NAAC Accreditation Report   |   Target ≥ 60%</t>
  </si>
  <si>
    <t xml:space="preserve">Level 3 (≥60%) = HIGH  ·  Level 2 (40–59%) = MEDIUM  ·  Level 1 (&lt;40%) = LOW</t>
  </si>
  <si>
    <t xml:space="preserve">Weights in use:</t>
  </si>
  <si>
    <t xml:space="preserve">← Change weights anytime in 'Input Data' sheet cells D5 &amp; E5. All values update instantly.</t>
  </si>
  <si>
    <t xml:space="preserve">PO /
PSO</t>
  </si>
  <si>
    <t xml:space="preserve">Programme Outcome / PSO Description</t>
  </si>
  <si>
    <t xml:space="preserve">Target</t>
  </si>
  <si>
    <t xml:space="preserve">Action
Needed</t>
  </si>
  <si>
    <t xml:space="preserve">PROGRAMME TOTAL ATTAINMENT</t>
  </si>
  <si>
    <t xml:space="preserve">📌 HOW TO USE: (1) Go to 'Input Data' sheet → Enter Direct Attainment % (Col D) from CO-PO calculation  (2) Enter Indirect Attainment % (Col E) from survey tools  (3) Adjust weights D5 &amp; E5 (default: Direct 80%, Indirect 20%)  (4) All sheets — PO Total Attainment, Attainment Analysis, and this Dashboard — auto-update instantly.</t>
  </si>
  <si>
    <t xml:space="preserve">PO ATTAINMENT ANALYSIS — DIRECT vs INDIRECT vs TOTAL COMPARISON</t>
  </si>
  <si>
    <t xml:space="preserve">This sheet compares Direct, Indirect, and Total attainment side-by-side and shows impact of weight scenarios: NBA Standard (80/20), Equal (50/50), and Direct-Heavy (90/10).</t>
  </si>
  <si>
    <t xml:space="preserve">NBA Standard
(80% Direct + 20% Indirect)</t>
  </si>
  <si>
    <t xml:space="preserve">Equal Weight
(50% Direct + 50% Indirect)</t>
  </si>
  <si>
    <t xml:space="preserve">Direct Heavy
(90% Direct + 10% Indirect)</t>
  </si>
  <si>
    <t xml:space="preserve">BEST /
WORST CASE</t>
  </si>
  <si>
    <t xml:space="preserve">Total Att%</t>
  </si>
  <si>
    <t xml:space="preserve">Level (3/2/1)</t>
  </si>
  <si>
    <t xml:space="preserve">Best</t>
  </si>
  <si>
    <t xml:space="preserve">Worst</t>
  </si>
  <si>
    <t xml:space="preserve">PO / PSO TOTAL ATTAINMENT — INPUT &amp; CONFIGURATION SHEET</t>
  </si>
  <si>
    <t xml:space="preserve">Enter Direct Attainment % and Indirect Attainment % in the YELLOW cells for each PO/PSO. Adjust weights in Row 5. All sheets recalculate automatically.</t>
  </si>
  <si>
    <t xml:space="preserve">WEIGHT CONFIGURATION</t>
  </si>
  <si>
    <t xml:space="preserve">Direct Attainment
Weight</t>
  </si>
  <si>
    <t xml:space="preserve">Indirect Attainment
Weight</t>
  </si>
  <si>
    <t xml:space="preserve">Total
(Must = 100%)</t>
  </si>
  <si>
    <t xml:space="preserve">Target
Attainment %</t>
  </si>
  <si>
    <t xml:space="preserve">NBA Guideline: Direct = 80%, Indirect = 20%</t>
  </si>
  <si>
    <t xml:space="preserve">Weights →</t>
  </si>
  <si>
    <t xml:space="preserve">← Edit D5 and E5 only. F5 auto-checks sum = 100%</t>
  </si>
  <si>
    <t xml:space="preserve">PO / PSO</t>
  </si>
  <si>
    <t xml:space="preserve">Programme Outcome Description</t>
  </si>
  <si>
    <t xml:space="preserve">Direct
Att%
(Enter here)</t>
  </si>
  <si>
    <t xml:space="preserve">Indirect
Att%
(Enter here)</t>
  </si>
  <si>
    <t xml:space="preserve">Total
Att%
(Auto)</t>
  </si>
  <si>
    <t xml:space="preserve">Level
(3/2/1)
(Auto)</t>
  </si>
  <si>
    <t xml:space="preserve">Target
(%)
(Auto)</t>
  </si>
  <si>
    <t xml:space="preserve">Gap
(Auto)</t>
  </si>
  <si>
    <t xml:space="preserve">Status
(Auto)</t>
  </si>
  <si>
    <t xml:space="preserve">PROGRAMME OVERALL</t>
  </si>
  <si>
    <t xml:space="preserve">📌 INSTRUCTIONS: (1) Enter Direct Attainment % in Column D (from CO-PO mapping × CO attainment)  (2) Enter Indirect Attainment % in Column E (from surveys/feedback)  (3) Adjust weights in D5 &amp; E5 (must total 100%)  (4) All other columns &amp; sheets auto-update.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</si>
</sst>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Direct: &quot;0%"/>
    <numFmt numFmtId="166" formatCode="&quot;Indirect: &quot;0%"/>
    <numFmt numFmtId="167" formatCode="0.0%"/>
    <numFmt numFmtId="168" formatCode="0"/>
    <numFmt numFmtId="169" formatCode="0%"/>
    <numFmt numFmtId="170" formatCode="\+0.0%;\-0.0%;0.0%"/>
    <numFmt numFmtId="171" formatCode="&quot;Target: &quot;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9"/>
      <color rgb="FF40404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8"/>
      <color rgb="FF40404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44444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C55A11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404040"/>
        <bgColor rgb="FF444444"/>
      </patternFill>
    </fill>
    <fill>
      <patternFill patternType="solid">
        <fgColor rgb="FFE2EFDA"/>
        <bgColor rgb="FFE0F2F1"/>
      </patternFill>
    </fill>
    <fill>
      <patternFill patternType="solid">
        <fgColor rgb="FFFFF2CC"/>
        <bgColor rgb="FFFFF8DC"/>
      </patternFill>
    </fill>
    <fill>
      <patternFill patternType="solid">
        <fgColor rgb="FFFCE4D6"/>
        <bgColor rgb="FFFFE4E1"/>
      </patternFill>
    </fill>
    <fill>
      <patternFill patternType="solid">
        <fgColor rgb="FFBDD7EE"/>
        <bgColor rgb="FFE2D9F3"/>
      </patternFill>
    </fill>
    <fill>
      <patternFill patternType="solid">
        <fgColor rgb="FF7030A0"/>
        <bgColor rgb="FF993366"/>
      </patternFill>
    </fill>
    <fill>
      <patternFill patternType="solid">
        <fgColor rgb="FFB8860B"/>
        <bgColor rgb="FFC55A11"/>
      </patternFill>
    </fill>
    <fill>
      <patternFill patternType="solid">
        <fgColor rgb="FF70AD47"/>
        <bgColor rgb="FF339966"/>
      </patternFill>
    </fill>
    <fill>
      <patternFill patternType="solid">
        <fgColor rgb="FFC55A11"/>
        <bgColor rgb="FFB8860B"/>
      </patternFill>
    </fill>
    <fill>
      <patternFill patternType="solid">
        <fgColor rgb="FF00695C"/>
        <bgColor rgb="FF008080"/>
      </patternFill>
    </fill>
    <fill>
      <patternFill patternType="solid">
        <fgColor rgb="FFF2F2F2"/>
        <bgColor rgb="FFE0F2F1"/>
      </patternFill>
    </fill>
    <fill>
      <patternFill patternType="solid">
        <fgColor rgb="FFE2D9F3"/>
        <bgColor rgb="FFE2EFDA"/>
      </patternFill>
    </fill>
    <fill>
      <patternFill patternType="solid">
        <fgColor rgb="FFFFF8DC"/>
        <bgColor rgb="FFFFF2CC"/>
      </patternFill>
    </fill>
    <fill>
      <patternFill patternType="solid">
        <fgColor rgb="FFFFFFFF"/>
        <bgColor rgb="FFFFF8DC"/>
      </patternFill>
    </fill>
    <fill>
      <patternFill patternType="solid">
        <fgColor rgb="FF375623"/>
        <bgColor rgb="FF444444"/>
      </patternFill>
    </fill>
    <fill>
      <patternFill patternType="solid">
        <fgColor rgb="FFC00000"/>
        <bgColor rgb="FF800000"/>
      </patternFill>
    </fill>
    <fill>
      <patternFill patternType="solid">
        <fgColor rgb="FFE0F2F1"/>
        <bgColor rgb="FFE2EFDA"/>
      </patternFill>
    </fill>
    <fill>
      <patternFill patternType="solid">
        <fgColor rgb="FFFFE4E1"/>
        <bgColor rgb="FFFCE4D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695C"/>
      <rgbColor rgb="FFE2D9F3"/>
      <rgbColor rgb="FF808080"/>
      <rgbColor rgb="FF9999FF"/>
      <rgbColor rgb="FF7030A0"/>
      <rgbColor rgb="FFFFF8D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2CC"/>
      <rgbColor rgb="FF99CCFF"/>
      <rgbColor rgb="FFFFE4E1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70AD47"/>
      <rgbColor rgb="FF1F3864"/>
      <rgbColor rgb="FF339966"/>
      <rgbColor rgb="FF375623"/>
      <rgbColor rgb="FF444444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12" min="4" style="0" width="12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4" t="s">
        <v>3</v>
      </c>
      <c r="E4" s="5" t="s">
        <v>4</v>
      </c>
      <c r="F4" s="6" t="s">
        <v>5</v>
      </c>
      <c r="G4" s="7" t="s">
        <v>6</v>
      </c>
    </row>
    <row r="5" customFormat="false" ht="19.5" hidden="false" customHeight="true" outlineLevel="0" collapsed="false">
      <c r="A5" s="3" t="s">
        <v>7</v>
      </c>
      <c r="B5" s="3"/>
      <c r="C5" s="3"/>
      <c r="D5" s="8" t="n">
        <f aca="false">'Input Data'!D5</f>
        <v>0.8</v>
      </c>
      <c r="E5" s="9" t="n">
        <f aca="false">'Input Data'!E5</f>
        <v>0.2</v>
      </c>
      <c r="F5" s="10" t="s">
        <v>8</v>
      </c>
      <c r="G5" s="10"/>
      <c r="H5" s="10"/>
      <c r="I5" s="10"/>
      <c r="J5" s="10"/>
      <c r="K5" s="10"/>
      <c r="L5" s="10"/>
    </row>
    <row r="6" customFormat="false" ht="30" hidden="false" customHeight="true" outlineLevel="0" collapsed="false">
      <c r="A6" s="3" t="s">
        <v>9</v>
      </c>
      <c r="B6" s="3"/>
      <c r="C6" s="3"/>
      <c r="D6" s="11" t="s">
        <v>10</v>
      </c>
      <c r="E6" s="11"/>
      <c r="F6" s="12" t="s">
        <v>11</v>
      </c>
      <c r="G6" s="12"/>
      <c r="H6" s="13" t="s">
        <v>12</v>
      </c>
      <c r="I6" s="13"/>
      <c r="J6" s="13"/>
      <c r="K6" s="13"/>
      <c r="L6" s="13"/>
    </row>
    <row r="7" customFormat="false" ht="19.5" hidden="false" customHeight="true" outlineLevel="0" collapsed="false">
      <c r="A7" s="14" t="s">
        <v>13</v>
      </c>
      <c r="B7" s="14" t="s">
        <v>14</v>
      </c>
      <c r="C7" s="14" t="s">
        <v>15</v>
      </c>
      <c r="D7" s="15" t="s">
        <v>16</v>
      </c>
      <c r="E7" s="15" t="s">
        <v>17</v>
      </c>
      <c r="F7" s="16" t="s">
        <v>18</v>
      </c>
      <c r="G7" s="16" t="s">
        <v>19</v>
      </c>
      <c r="H7" s="17" t="s">
        <v>20</v>
      </c>
      <c r="I7" s="18" t="s">
        <v>21</v>
      </c>
      <c r="J7" s="19" t="s">
        <v>22</v>
      </c>
      <c r="K7" s="20" t="s">
        <v>23</v>
      </c>
      <c r="L7" s="14" t="s">
        <v>24</v>
      </c>
    </row>
    <row r="8" customFormat="false" ht="19.5" hidden="false" customHeight="true" outlineLevel="0" collapsed="false">
      <c r="A8" s="21" t="n">
        <v>1</v>
      </c>
      <c r="B8" s="22" t="s">
        <v>25</v>
      </c>
      <c r="C8" s="23" t="s">
        <v>26</v>
      </c>
      <c r="D8" s="24" t="n">
        <f aca="false">'Input Data'!D8</f>
        <v>0.7058</v>
      </c>
      <c r="E8" s="25" t="n">
        <f aca="false">IF(D8&gt;=0.6,3,IF(D8&gt;=0.4,2,1))</f>
        <v>3</v>
      </c>
      <c r="F8" s="26" t="n">
        <f aca="false">'Input Data'!E8</f>
        <v>0.7071</v>
      </c>
      <c r="G8" s="27" t="n">
        <f aca="false">IF(F8&gt;=0.6,3,IF(F8&gt;=0.4,2,1))</f>
        <v>3</v>
      </c>
      <c r="H8" s="28" t="n">
        <f aca="false">D8*'Input Data'!$D$5+F8*'Input Data'!$E$5</f>
        <v>0.70606</v>
      </c>
      <c r="I8" s="29" t="n">
        <f aca="false">IF(H8&gt;=0.6,3,IF(H8&gt;=0.4,2,1))</f>
        <v>3</v>
      </c>
      <c r="J8" s="30" t="n">
        <f aca="false">'Input Data'!$G$5</f>
        <v>0.6</v>
      </c>
      <c r="K8" s="31" t="n">
        <f aca="false">H8-J8</f>
        <v>0.10606</v>
      </c>
      <c r="L8" s="4" t="str">
        <f aca="false">IF(H8&gt;=J8,"✔ Met","✘ Not Met")</f>
        <v>✔ Met</v>
      </c>
    </row>
    <row r="9" customFormat="false" ht="19.5" hidden="false" customHeight="true" outlineLevel="0" collapsed="false">
      <c r="A9" s="32" t="n">
        <v>2</v>
      </c>
      <c r="B9" s="22" t="s">
        <v>27</v>
      </c>
      <c r="C9" s="33" t="s">
        <v>28</v>
      </c>
      <c r="D9" s="24" t="n">
        <f aca="false">'Input Data'!D9</f>
        <v>0.46</v>
      </c>
      <c r="E9" s="25" t="n">
        <f aca="false">IF(D9&gt;=0.6,3,IF(D9&gt;=0.4,2,1))</f>
        <v>2</v>
      </c>
      <c r="F9" s="26" t="n">
        <f aca="false">'Input Data'!E9</f>
        <v>0.5838</v>
      </c>
      <c r="G9" s="27" t="n">
        <f aca="false">IF(F9&gt;=0.6,3,IF(F9&gt;=0.4,2,1))</f>
        <v>2</v>
      </c>
      <c r="H9" s="28" t="n">
        <f aca="false">D9*'Input Data'!$D$5+F9*'Input Data'!$E$5</f>
        <v>0.48476</v>
      </c>
      <c r="I9" s="29" t="n">
        <f aca="false">IF(H9&gt;=0.6,3,IF(H9&gt;=0.4,2,1))</f>
        <v>2</v>
      </c>
      <c r="J9" s="30" t="n">
        <f aca="false">'Input Data'!$G$5</f>
        <v>0.6</v>
      </c>
      <c r="K9" s="31" t="n">
        <f aca="false">H9-J9</f>
        <v>-0.11524</v>
      </c>
      <c r="L9" s="4" t="str">
        <f aca="false">IF(H9&gt;=J9,"✔ Met","✘ Not Met")</f>
        <v>✘ Not Met</v>
      </c>
    </row>
    <row r="10" customFormat="false" ht="19.5" hidden="false" customHeight="true" outlineLevel="0" collapsed="false">
      <c r="A10" s="21" t="n">
        <v>3</v>
      </c>
      <c r="B10" s="22" t="s">
        <v>29</v>
      </c>
      <c r="C10" s="23" t="s">
        <v>30</v>
      </c>
      <c r="D10" s="24" t="n">
        <f aca="false">'Input Data'!D10</f>
        <v>0.56</v>
      </c>
      <c r="E10" s="25" t="n">
        <f aca="false">IF(D10&gt;=0.6,3,IF(D10&gt;=0.4,2,1))</f>
        <v>2</v>
      </c>
      <c r="F10" s="26" t="n">
        <f aca="false">'Input Data'!E10</f>
        <v>0.7239</v>
      </c>
      <c r="G10" s="27" t="n">
        <f aca="false">IF(F10&gt;=0.6,3,IF(F10&gt;=0.4,2,1))</f>
        <v>3</v>
      </c>
      <c r="H10" s="28" t="n">
        <f aca="false">D10*'Input Data'!$D$5+F10*'Input Data'!$E$5</f>
        <v>0.59278</v>
      </c>
      <c r="I10" s="29" t="n">
        <f aca="false">IF(H10&gt;=0.6,3,IF(H10&gt;=0.4,2,1))</f>
        <v>2</v>
      </c>
      <c r="J10" s="30" t="n">
        <f aca="false">'Input Data'!$G$5</f>
        <v>0.6</v>
      </c>
      <c r="K10" s="31" t="n">
        <f aca="false">H10-J10</f>
        <v>-0.00721999999999989</v>
      </c>
      <c r="L10" s="4" t="str">
        <f aca="false">IF(H10&gt;=J10,"✔ Met","✘ Not Met")</f>
        <v>✘ Not Met</v>
      </c>
    </row>
    <row r="11" customFormat="false" ht="19.5" hidden="false" customHeight="true" outlineLevel="0" collapsed="false">
      <c r="A11" s="32" t="n">
        <v>4</v>
      </c>
      <c r="B11" s="22" t="s">
        <v>31</v>
      </c>
      <c r="C11" s="33" t="s">
        <v>32</v>
      </c>
      <c r="D11" s="24" t="n">
        <f aca="false">'Input Data'!D11</f>
        <v>0.5393</v>
      </c>
      <c r="E11" s="25" t="n">
        <f aca="false">IF(D11&gt;=0.6,3,IF(D11&gt;=0.4,2,1))</f>
        <v>2</v>
      </c>
      <c r="F11" s="26" t="n">
        <f aca="false">'Input Data'!E11</f>
        <v>0.8076</v>
      </c>
      <c r="G11" s="27" t="n">
        <f aca="false">IF(F11&gt;=0.6,3,IF(F11&gt;=0.4,2,1))</f>
        <v>3</v>
      </c>
      <c r="H11" s="28" t="n">
        <f aca="false">D11*'Input Data'!$D$5+F11*'Input Data'!$E$5</f>
        <v>0.59296</v>
      </c>
      <c r="I11" s="29" t="n">
        <f aca="false">IF(H11&gt;=0.6,3,IF(H11&gt;=0.4,2,1))</f>
        <v>2</v>
      </c>
      <c r="J11" s="30" t="n">
        <f aca="false">'Input Data'!$G$5</f>
        <v>0.6</v>
      </c>
      <c r="K11" s="31" t="n">
        <f aca="false">H11-J11</f>
        <v>-0.00703999999999994</v>
      </c>
      <c r="L11" s="4" t="str">
        <f aca="false">IF(H11&gt;=J11,"✔ Met","✘ Not Met")</f>
        <v>✘ Not Met</v>
      </c>
    </row>
    <row r="12" customFormat="false" ht="19.5" hidden="false" customHeight="true" outlineLevel="0" collapsed="false">
      <c r="A12" s="21" t="n">
        <v>5</v>
      </c>
      <c r="B12" s="22" t="s">
        <v>33</v>
      </c>
      <c r="C12" s="23" t="s">
        <v>34</v>
      </c>
      <c r="D12" s="24" t="n">
        <f aca="false">'Input Data'!D12</f>
        <v>0.7446</v>
      </c>
      <c r="E12" s="25" t="n">
        <f aca="false">IF(D12&gt;=0.6,3,IF(D12&gt;=0.4,2,1))</f>
        <v>3</v>
      </c>
      <c r="F12" s="26" t="n">
        <f aca="false">'Input Data'!E12</f>
        <v>0.5025</v>
      </c>
      <c r="G12" s="27" t="n">
        <f aca="false">IF(F12&gt;=0.6,3,IF(F12&gt;=0.4,2,1))</f>
        <v>2</v>
      </c>
      <c r="H12" s="28" t="n">
        <f aca="false">D12*'Input Data'!$D$5+F12*'Input Data'!$E$5</f>
        <v>0.69618</v>
      </c>
      <c r="I12" s="29" t="n">
        <f aca="false">IF(H12&gt;=0.6,3,IF(H12&gt;=0.4,2,1))</f>
        <v>3</v>
      </c>
      <c r="J12" s="30" t="n">
        <f aca="false">'Input Data'!$G$5</f>
        <v>0.6</v>
      </c>
      <c r="K12" s="31" t="n">
        <f aca="false">H12-J12</f>
        <v>0.0961800000000002</v>
      </c>
      <c r="L12" s="4" t="str">
        <f aca="false">IF(H12&gt;=J12,"✔ Met","✘ Not Met")</f>
        <v>✔ Met</v>
      </c>
    </row>
    <row r="13" customFormat="false" ht="19.5" hidden="false" customHeight="true" outlineLevel="0" collapsed="false">
      <c r="A13" s="32" t="n">
        <v>6</v>
      </c>
      <c r="B13" s="22" t="s">
        <v>35</v>
      </c>
      <c r="C13" s="33" t="s">
        <v>36</v>
      </c>
      <c r="D13" s="24" t="n">
        <f aca="false">'Input Data'!D13</f>
        <v>0.7207</v>
      </c>
      <c r="E13" s="25" t="n">
        <f aca="false">IF(D13&gt;=0.6,3,IF(D13&gt;=0.4,2,1))</f>
        <v>3</v>
      </c>
      <c r="F13" s="26" t="n">
        <f aca="false">'Input Data'!E13</f>
        <v>0.8062</v>
      </c>
      <c r="G13" s="27" t="n">
        <f aca="false">IF(F13&gt;=0.6,3,IF(F13&gt;=0.4,2,1))</f>
        <v>3</v>
      </c>
      <c r="H13" s="28" t="n">
        <f aca="false">D13*'Input Data'!$D$5+F13*'Input Data'!$E$5</f>
        <v>0.7378</v>
      </c>
      <c r="I13" s="29" t="n">
        <f aca="false">IF(H13&gt;=0.6,3,IF(H13&gt;=0.4,2,1))</f>
        <v>3</v>
      </c>
      <c r="J13" s="30" t="n">
        <f aca="false">'Input Data'!$G$5</f>
        <v>0.6</v>
      </c>
      <c r="K13" s="31" t="n">
        <f aca="false">H13-J13</f>
        <v>0.1378</v>
      </c>
      <c r="L13" s="4" t="str">
        <f aca="false">IF(H13&gt;=J13,"✔ Met","✘ Not Met")</f>
        <v>✔ Met</v>
      </c>
    </row>
    <row r="14" customFormat="false" ht="19.5" hidden="false" customHeight="true" outlineLevel="0" collapsed="false">
      <c r="A14" s="21" t="n">
        <v>7</v>
      </c>
      <c r="B14" s="22" t="s">
        <v>37</v>
      </c>
      <c r="C14" s="23" t="s">
        <v>38</v>
      </c>
      <c r="D14" s="24" t="n">
        <f aca="false">'Input Data'!D14</f>
        <v>0.8069</v>
      </c>
      <c r="E14" s="25" t="n">
        <f aca="false">IF(D14&gt;=0.6,3,IF(D14&gt;=0.4,2,1))</f>
        <v>3</v>
      </c>
      <c r="F14" s="26" t="n">
        <f aca="false">'Input Data'!E14</f>
        <v>0.7653</v>
      </c>
      <c r="G14" s="27" t="n">
        <f aca="false">IF(F14&gt;=0.6,3,IF(F14&gt;=0.4,2,1))</f>
        <v>3</v>
      </c>
      <c r="H14" s="28" t="n">
        <f aca="false">D14*'Input Data'!$D$5+F14*'Input Data'!$E$5</f>
        <v>0.79858</v>
      </c>
      <c r="I14" s="29" t="n">
        <f aca="false">IF(H14&gt;=0.6,3,IF(H14&gt;=0.4,2,1))</f>
        <v>3</v>
      </c>
      <c r="J14" s="30" t="n">
        <f aca="false">'Input Data'!$G$5</f>
        <v>0.6</v>
      </c>
      <c r="K14" s="31" t="n">
        <f aca="false">H14-J14</f>
        <v>0.19858</v>
      </c>
      <c r="L14" s="4" t="str">
        <f aca="false">IF(H14&gt;=J14,"✔ Met","✘ Not Met")</f>
        <v>✔ Met</v>
      </c>
    </row>
    <row r="15" customFormat="false" ht="19.5" hidden="false" customHeight="true" outlineLevel="0" collapsed="false">
      <c r="A15" s="32" t="n">
        <v>8</v>
      </c>
      <c r="B15" s="22" t="s">
        <v>39</v>
      </c>
      <c r="C15" s="33" t="s">
        <v>40</v>
      </c>
      <c r="D15" s="24" t="n">
        <f aca="false">'Input Data'!D15</f>
        <v>0.4848</v>
      </c>
      <c r="E15" s="25" t="n">
        <f aca="false">IF(D15&gt;=0.6,3,IF(D15&gt;=0.4,2,1))</f>
        <v>2</v>
      </c>
      <c r="F15" s="26" t="n">
        <f aca="false">'Input Data'!E15</f>
        <v>0.6293</v>
      </c>
      <c r="G15" s="27" t="n">
        <f aca="false">IF(F15&gt;=0.6,3,IF(F15&gt;=0.4,2,1))</f>
        <v>3</v>
      </c>
      <c r="H15" s="28" t="n">
        <f aca="false">D15*'Input Data'!$D$5+F15*'Input Data'!$E$5</f>
        <v>0.5137</v>
      </c>
      <c r="I15" s="29" t="n">
        <f aca="false">IF(H15&gt;=0.6,3,IF(H15&gt;=0.4,2,1))</f>
        <v>2</v>
      </c>
      <c r="J15" s="30" t="n">
        <f aca="false">'Input Data'!$G$5</f>
        <v>0.6</v>
      </c>
      <c r="K15" s="31" t="n">
        <f aca="false">H15-J15</f>
        <v>-0.0862999999999999</v>
      </c>
      <c r="L15" s="4" t="str">
        <f aca="false">IF(H15&gt;=J15,"✔ Met","✘ Not Met")</f>
        <v>✘ Not Met</v>
      </c>
    </row>
    <row r="16" customFormat="false" ht="19.5" hidden="false" customHeight="true" outlineLevel="0" collapsed="false">
      <c r="A16" s="21" t="n">
        <v>9</v>
      </c>
      <c r="B16" s="22" t="s">
        <v>41</v>
      </c>
      <c r="C16" s="23" t="s">
        <v>42</v>
      </c>
      <c r="D16" s="24" t="n">
        <f aca="false">'Input Data'!D16</f>
        <v>0.6188</v>
      </c>
      <c r="E16" s="25" t="n">
        <f aca="false">IF(D16&gt;=0.6,3,IF(D16&gt;=0.4,2,1))</f>
        <v>3</v>
      </c>
      <c r="F16" s="26" t="n">
        <f aca="false">'Input Data'!E16</f>
        <v>0.5591</v>
      </c>
      <c r="G16" s="27" t="n">
        <f aca="false">IF(F16&gt;=0.6,3,IF(F16&gt;=0.4,2,1))</f>
        <v>2</v>
      </c>
      <c r="H16" s="28" t="n">
        <f aca="false">D16*'Input Data'!$D$5+F16*'Input Data'!$E$5</f>
        <v>0.60686</v>
      </c>
      <c r="I16" s="29" t="n">
        <f aca="false">IF(H16&gt;=0.6,3,IF(H16&gt;=0.4,2,1))</f>
        <v>3</v>
      </c>
      <c r="J16" s="30" t="n">
        <f aca="false">'Input Data'!$G$5</f>
        <v>0.6</v>
      </c>
      <c r="K16" s="31" t="n">
        <f aca="false">H16-J16</f>
        <v>0.00686000000000009</v>
      </c>
      <c r="L16" s="4" t="str">
        <f aca="false">IF(H16&gt;=J16,"✔ Met","✘ Not Met")</f>
        <v>✔ Met</v>
      </c>
    </row>
    <row r="17" customFormat="false" ht="19.5" hidden="false" customHeight="true" outlineLevel="0" collapsed="false">
      <c r="A17" s="32" t="n">
        <v>10</v>
      </c>
      <c r="B17" s="22" t="s">
        <v>43</v>
      </c>
      <c r="C17" s="33" t="s">
        <v>44</v>
      </c>
      <c r="D17" s="24" t="n">
        <f aca="false">'Input Data'!D17</f>
        <v>0.4619</v>
      </c>
      <c r="E17" s="25" t="n">
        <f aca="false">IF(D17&gt;=0.6,3,IF(D17&gt;=0.4,2,1))</f>
        <v>2</v>
      </c>
      <c r="F17" s="26" t="n">
        <f aca="false">'Input Data'!E17</f>
        <v>0.8637</v>
      </c>
      <c r="G17" s="27" t="n">
        <f aca="false">IF(F17&gt;=0.6,3,IF(F17&gt;=0.4,2,1))</f>
        <v>3</v>
      </c>
      <c r="H17" s="28" t="n">
        <f aca="false">D17*'Input Data'!$D$5+F17*'Input Data'!$E$5</f>
        <v>0.54226</v>
      </c>
      <c r="I17" s="29" t="n">
        <f aca="false">IF(H17&gt;=0.6,3,IF(H17&gt;=0.4,2,1))</f>
        <v>2</v>
      </c>
      <c r="J17" s="30" t="n">
        <f aca="false">'Input Data'!$G$5</f>
        <v>0.6</v>
      </c>
      <c r="K17" s="31" t="n">
        <f aca="false">H17-J17</f>
        <v>-0.05774</v>
      </c>
      <c r="L17" s="4" t="str">
        <f aca="false">IF(H17&gt;=J17,"✔ Met","✘ Not Met")</f>
        <v>✘ Not Met</v>
      </c>
    </row>
    <row r="18" customFormat="false" ht="19.5" hidden="false" customHeight="true" outlineLevel="0" collapsed="false">
      <c r="A18" s="21" t="n">
        <v>11</v>
      </c>
      <c r="B18" s="22" t="s">
        <v>45</v>
      </c>
      <c r="C18" s="23" t="s">
        <v>46</v>
      </c>
      <c r="D18" s="24" t="n">
        <f aca="false">'Input Data'!D18</f>
        <v>0.5375</v>
      </c>
      <c r="E18" s="25" t="n">
        <f aca="false">IF(D18&gt;=0.6,3,IF(D18&gt;=0.4,2,1))</f>
        <v>2</v>
      </c>
      <c r="F18" s="26" t="n">
        <f aca="false">'Input Data'!E18</f>
        <v>0.6279</v>
      </c>
      <c r="G18" s="27" t="n">
        <f aca="false">IF(F18&gt;=0.6,3,IF(F18&gt;=0.4,2,1))</f>
        <v>3</v>
      </c>
      <c r="H18" s="28" t="n">
        <f aca="false">D18*'Input Data'!$D$5+F18*'Input Data'!$E$5</f>
        <v>0.55558</v>
      </c>
      <c r="I18" s="29" t="n">
        <f aca="false">IF(H18&gt;=0.6,3,IF(H18&gt;=0.4,2,1))</f>
        <v>2</v>
      </c>
      <c r="J18" s="30" t="n">
        <f aca="false">'Input Data'!$G$5</f>
        <v>0.6</v>
      </c>
      <c r="K18" s="31" t="n">
        <f aca="false">H18-J18</f>
        <v>-0.04442</v>
      </c>
      <c r="L18" s="4" t="str">
        <f aca="false">IF(H18&gt;=J18,"✔ Met","✘ Not Met")</f>
        <v>✘ Not Met</v>
      </c>
    </row>
    <row r="19" customFormat="false" ht="19.5" hidden="false" customHeight="true" outlineLevel="0" collapsed="false">
      <c r="A19" s="32" t="n">
        <v>12</v>
      </c>
      <c r="B19" s="22" t="s">
        <v>47</v>
      </c>
      <c r="C19" s="33" t="s">
        <v>48</v>
      </c>
      <c r="D19" s="24" t="n">
        <f aca="false">'Input Data'!D19</f>
        <v>0.6521</v>
      </c>
      <c r="E19" s="25" t="n">
        <f aca="false">IF(D19&gt;=0.6,3,IF(D19&gt;=0.4,2,1))</f>
        <v>3</v>
      </c>
      <c r="F19" s="26" t="n">
        <f aca="false">'Input Data'!E19</f>
        <v>0.5352</v>
      </c>
      <c r="G19" s="27" t="n">
        <f aca="false">IF(F19&gt;=0.6,3,IF(F19&gt;=0.4,2,1))</f>
        <v>2</v>
      </c>
      <c r="H19" s="28" t="n">
        <f aca="false">D19*'Input Data'!$D$5+F19*'Input Data'!$E$5</f>
        <v>0.62872</v>
      </c>
      <c r="I19" s="29" t="n">
        <f aca="false">IF(H19&gt;=0.6,3,IF(H19&gt;=0.4,2,1))</f>
        <v>3</v>
      </c>
      <c r="J19" s="30" t="n">
        <f aca="false">'Input Data'!$G$5</f>
        <v>0.6</v>
      </c>
      <c r="K19" s="31" t="n">
        <f aca="false">H19-J19</f>
        <v>0.0287200000000001</v>
      </c>
      <c r="L19" s="4" t="str">
        <f aca="false">IF(H19&gt;=J19,"✔ Met","✘ Not Met")</f>
        <v>✔ Met</v>
      </c>
    </row>
    <row r="20" customFormat="false" ht="19.5" hidden="false" customHeight="true" outlineLevel="0" collapsed="false">
      <c r="A20" s="21" t="n">
        <v>13</v>
      </c>
      <c r="B20" s="34" t="s">
        <v>49</v>
      </c>
      <c r="C20" s="23" t="s">
        <v>50</v>
      </c>
      <c r="D20" s="24" t="n">
        <f aca="false">'Input Data'!D20</f>
        <v>0.4606</v>
      </c>
      <c r="E20" s="25" t="n">
        <f aca="false">IF(D20&gt;=0.6,3,IF(D20&gt;=0.4,2,1))</f>
        <v>2</v>
      </c>
      <c r="F20" s="26" t="n">
        <f aca="false">'Input Data'!E20</f>
        <v>0.5368</v>
      </c>
      <c r="G20" s="27" t="n">
        <f aca="false">IF(F20&gt;=0.6,3,IF(F20&gt;=0.4,2,1))</f>
        <v>2</v>
      </c>
      <c r="H20" s="28" t="n">
        <f aca="false">D20*'Input Data'!$D$5+F20*'Input Data'!$E$5</f>
        <v>0.47584</v>
      </c>
      <c r="I20" s="35" t="n">
        <f aca="false">IF(H20&gt;=0.6,3,IF(H20&gt;=0.4,2,1))</f>
        <v>2</v>
      </c>
      <c r="J20" s="30" t="n">
        <f aca="false">'Input Data'!$G$5</f>
        <v>0.6</v>
      </c>
      <c r="K20" s="31" t="n">
        <f aca="false">H20-J20</f>
        <v>-0.12416</v>
      </c>
      <c r="L20" s="4" t="str">
        <f aca="false">IF(H20&gt;=J20,"✔ Met","✘ Not Met")</f>
        <v>✘ Not Met</v>
      </c>
    </row>
    <row r="21" customFormat="false" ht="19.5" hidden="false" customHeight="true" outlineLevel="0" collapsed="false">
      <c r="A21" s="32" t="n">
        <v>14</v>
      </c>
      <c r="B21" s="34" t="s">
        <v>51</v>
      </c>
      <c r="C21" s="33" t="s">
        <v>52</v>
      </c>
      <c r="D21" s="24" t="n">
        <f aca="false">'Input Data'!D21</f>
        <v>0.5295</v>
      </c>
      <c r="E21" s="25" t="n">
        <f aca="false">IF(D21&gt;=0.6,3,IF(D21&gt;=0.4,2,1))</f>
        <v>2</v>
      </c>
      <c r="F21" s="26" t="n">
        <f aca="false">'Input Data'!E21</f>
        <v>0.822</v>
      </c>
      <c r="G21" s="27" t="n">
        <f aca="false">IF(F21&gt;=0.6,3,IF(F21&gt;=0.4,2,1))</f>
        <v>3</v>
      </c>
      <c r="H21" s="28" t="n">
        <f aca="false">D21*'Input Data'!$D$5+F21*'Input Data'!$E$5</f>
        <v>0.588</v>
      </c>
      <c r="I21" s="35" t="n">
        <f aca="false">IF(H21&gt;=0.6,3,IF(H21&gt;=0.4,2,1))</f>
        <v>2</v>
      </c>
      <c r="J21" s="30" t="n">
        <f aca="false">'Input Data'!$G$5</f>
        <v>0.6</v>
      </c>
      <c r="K21" s="31" t="n">
        <f aca="false">H21-J21</f>
        <v>-0.012</v>
      </c>
      <c r="L21" s="4" t="str">
        <f aca="false">IF(H21&gt;=J21,"✔ Met","✘ Not Met")</f>
        <v>✘ Not Met</v>
      </c>
    </row>
    <row r="22" customFormat="false" ht="19.5" hidden="false" customHeight="true" outlineLevel="0" collapsed="false">
      <c r="A22" s="21" t="n">
        <v>15</v>
      </c>
      <c r="B22" s="34" t="s">
        <v>53</v>
      </c>
      <c r="C22" s="23" t="s">
        <v>54</v>
      </c>
      <c r="D22" s="24" t="n">
        <f aca="false">'Input Data'!D22</f>
        <v>0.71</v>
      </c>
      <c r="E22" s="25" t="n">
        <f aca="false">IF(D22&gt;=0.6,3,IF(D22&gt;=0.4,2,1))</f>
        <v>3</v>
      </c>
      <c r="F22" s="26" t="n">
        <f aca="false">'Input Data'!E22</f>
        <v>0.7294</v>
      </c>
      <c r="G22" s="27" t="n">
        <f aca="false">IF(F22&gt;=0.6,3,IF(F22&gt;=0.4,2,1))</f>
        <v>3</v>
      </c>
      <c r="H22" s="28" t="n">
        <f aca="false">D22*'Input Data'!$D$5+F22*'Input Data'!$E$5</f>
        <v>0.71388</v>
      </c>
      <c r="I22" s="35" t="n">
        <f aca="false">IF(H22&gt;=0.6,3,IF(H22&gt;=0.4,2,1))</f>
        <v>3</v>
      </c>
      <c r="J22" s="30" t="n">
        <f aca="false">'Input Data'!$G$5</f>
        <v>0.6</v>
      </c>
      <c r="K22" s="31" t="n">
        <f aca="false">H22-J22</f>
        <v>0.11388</v>
      </c>
      <c r="L22" s="4" t="str">
        <f aca="false">IF(H22&gt;=J22,"✔ Met","✘ Not Met")</f>
        <v>✔ Met</v>
      </c>
    </row>
    <row r="24" customFormat="false" ht="24" hidden="false" customHeight="true" outlineLevel="0" collapsed="false">
      <c r="A24" s="36" t="s">
        <v>55</v>
      </c>
      <c r="B24" s="36"/>
      <c r="C24" s="36"/>
      <c r="D24" s="37" t="n">
        <f aca="false">AVERAGE(D8:D22)</f>
        <v>0.5995</v>
      </c>
      <c r="E24" s="25" t="n">
        <f aca="false">IF(D24&gt;=0.6,3,IF(D24&gt;=0.4,2,1))</f>
        <v>2</v>
      </c>
      <c r="F24" s="38" t="n">
        <f aca="false">AVERAGE(F8:F22)</f>
        <v>0.679986666666667</v>
      </c>
      <c r="G24" s="27" t="n">
        <f aca="false">IF(F24&gt;=0.6,3,IF(F24&gt;=0.4,2,1))</f>
        <v>3</v>
      </c>
      <c r="H24" s="39" t="n">
        <f aca="false">AVERAGE(H8:H22)</f>
        <v>0.615597333333333</v>
      </c>
      <c r="I24" s="40" t="n">
        <f aca="false">IF(H24&gt;=0.6,3,IF(H24&gt;=0.4,2,1))</f>
        <v>3</v>
      </c>
      <c r="J24" s="41" t="n">
        <f aca="false">'Input Data'!$G$5</f>
        <v>0.6</v>
      </c>
      <c r="K24" s="42" t="n">
        <f aca="false">H24-J24</f>
        <v>0.0155973333333334</v>
      </c>
      <c r="L24" s="43" t="str">
        <f aca="false">IF(H24&gt;=J24,"✔ Met","✘ Not Met")</f>
        <v>✔ Met</v>
      </c>
    </row>
  </sheetData>
  <mergeCells count="10">
    <mergeCell ref="A1:L1"/>
    <mergeCell ref="A2:L2"/>
    <mergeCell ref="A4:C4"/>
    <mergeCell ref="A5:C5"/>
    <mergeCell ref="F5:L5"/>
    <mergeCell ref="A6:C6"/>
    <mergeCell ref="D6:E6"/>
    <mergeCell ref="F6:G6"/>
    <mergeCell ref="H6:L6"/>
    <mergeCell ref="A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13" min="4" style="0" width="12"/>
  </cols>
  <sheetData>
    <row r="1" customFormat="false" ht="43.5" hidden="false" customHeight="true" outlineLevel="0" collapsed="false">
      <c r="A1" s="44" t="s">
        <v>56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customFormat="false" ht="15.75" hidden="false" customHeight="true" outlineLevel="0" collapsed="false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.75" hidden="false" customHeight="true" outlineLevel="0" collapsed="false">
      <c r="A3" s="45" t="s">
        <v>58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customFormat="false" ht="7.5" hidden="false" customHeight="true" outlineLevel="0" collapsed="false"/>
    <row r="5" customFormat="false" ht="21.75" hidden="false" customHeight="true" outlineLevel="0" collapsed="false">
      <c r="A5" s="3" t="s">
        <v>59</v>
      </c>
      <c r="B5" s="3"/>
      <c r="C5" s="8" t="n">
        <f aca="false">'Input Data'!D5</f>
        <v>0.8</v>
      </c>
      <c r="D5" s="9" t="n">
        <f aca="false">'Input Data'!E5</f>
        <v>0.2</v>
      </c>
      <c r="E5" s="46" t="n">
        <f aca="false">'Input Data'!$G$5</f>
        <v>0.6</v>
      </c>
      <c r="F5" s="10" t="s">
        <v>60</v>
      </c>
      <c r="G5" s="10"/>
      <c r="H5" s="10"/>
      <c r="I5" s="10"/>
      <c r="J5" s="10"/>
      <c r="K5" s="10"/>
      <c r="L5" s="10"/>
      <c r="M5" s="10"/>
    </row>
    <row r="7" customFormat="false" ht="27.75" hidden="false" customHeight="true" outlineLevel="0" collapsed="false">
      <c r="A7" s="14" t="s">
        <v>13</v>
      </c>
      <c r="B7" s="14" t="s">
        <v>61</v>
      </c>
      <c r="C7" s="14" t="s">
        <v>62</v>
      </c>
      <c r="D7" s="15" t="s">
        <v>16</v>
      </c>
      <c r="E7" s="15" t="s">
        <v>17</v>
      </c>
      <c r="F7" s="16" t="s">
        <v>18</v>
      </c>
      <c r="G7" s="16" t="s">
        <v>19</v>
      </c>
      <c r="H7" s="17" t="s">
        <v>20</v>
      </c>
      <c r="I7" s="17" t="s">
        <v>21</v>
      </c>
      <c r="J7" s="19" t="s">
        <v>63</v>
      </c>
      <c r="K7" s="20" t="s">
        <v>23</v>
      </c>
      <c r="L7" s="47" t="s">
        <v>24</v>
      </c>
      <c r="M7" s="48" t="s">
        <v>64</v>
      </c>
    </row>
    <row r="8" customFormat="false" ht="21.75" hidden="false" customHeight="true" outlineLevel="0" collapsed="false">
      <c r="A8" s="21" t="n">
        <v>1</v>
      </c>
      <c r="B8" s="22" t="s">
        <v>25</v>
      </c>
      <c r="C8" s="49" t="s">
        <v>26</v>
      </c>
      <c r="D8" s="24" t="n">
        <f aca="false">'PO Total Attainment'!D8</f>
        <v>0.7058</v>
      </c>
      <c r="E8" s="25" t="n">
        <f aca="false">IF(D8&gt;=0.6,3,IF(D8&gt;=0.4,2,1))</f>
        <v>3</v>
      </c>
      <c r="F8" s="26" t="n">
        <f aca="false">'PO Total Attainment'!F8</f>
        <v>0.7071</v>
      </c>
      <c r="G8" s="27" t="n">
        <f aca="false">IF(F8&gt;=0.6,3,IF(F8&gt;=0.4,2,1))</f>
        <v>3</v>
      </c>
      <c r="H8" s="28" t="n">
        <f aca="false">'PO Total Attainment'!H8</f>
        <v>0.70606</v>
      </c>
      <c r="I8" s="29" t="n">
        <f aca="false">IF(H8&gt;=0.6,3,IF(H8&gt;=0.4,2,1))</f>
        <v>3</v>
      </c>
      <c r="J8" s="30" t="n">
        <f aca="false">'Input Data'!$G$5</f>
        <v>0.6</v>
      </c>
      <c r="K8" s="31" t="n">
        <f aca="false">H8-J8</f>
        <v>0.10606</v>
      </c>
      <c r="L8" s="4" t="str">
        <f aca="false">IF(H8&gt;=J8,"✔ Met","✘ Not Met")</f>
        <v>✔ Met</v>
      </c>
      <c r="M8" s="50" t="str">
        <f aca="false">IF(H8&gt;=0.6,"Sustain",IF(H8&gt;=0.4,"Improve","Urgent Action"))</f>
        <v>Sustain</v>
      </c>
    </row>
    <row r="9" customFormat="false" ht="21.75" hidden="false" customHeight="true" outlineLevel="0" collapsed="false">
      <c r="A9" s="32" t="n">
        <v>2</v>
      </c>
      <c r="B9" s="22" t="s">
        <v>27</v>
      </c>
      <c r="C9" s="51" t="s">
        <v>28</v>
      </c>
      <c r="D9" s="24" t="n">
        <f aca="false">'PO Total Attainment'!D9</f>
        <v>0.46</v>
      </c>
      <c r="E9" s="25" t="n">
        <f aca="false">IF(D9&gt;=0.6,3,IF(D9&gt;=0.4,2,1))</f>
        <v>2</v>
      </c>
      <c r="F9" s="26" t="n">
        <f aca="false">'PO Total Attainment'!F9</f>
        <v>0.5838</v>
      </c>
      <c r="G9" s="27" t="n">
        <f aca="false">IF(F9&gt;=0.6,3,IF(F9&gt;=0.4,2,1))</f>
        <v>2</v>
      </c>
      <c r="H9" s="28" t="n">
        <f aca="false">'PO Total Attainment'!H9</f>
        <v>0.48476</v>
      </c>
      <c r="I9" s="29" t="n">
        <f aca="false">IF(H9&gt;=0.6,3,IF(H9&gt;=0.4,2,1))</f>
        <v>2</v>
      </c>
      <c r="J9" s="30" t="n">
        <f aca="false">'Input Data'!$G$5</f>
        <v>0.6</v>
      </c>
      <c r="K9" s="31" t="n">
        <f aca="false">H9-J9</f>
        <v>-0.11524</v>
      </c>
      <c r="L9" s="4" t="str">
        <f aca="false">IF(H9&gt;=J9,"✔ Met","✘ Not Met")</f>
        <v>✘ Not Met</v>
      </c>
      <c r="M9" s="50" t="str">
        <f aca="false">IF(H9&gt;=0.6,"Sustain",IF(H9&gt;=0.4,"Improve","Urgent Action"))</f>
        <v>Improve</v>
      </c>
    </row>
    <row r="10" customFormat="false" ht="21.75" hidden="false" customHeight="true" outlineLevel="0" collapsed="false">
      <c r="A10" s="21" t="n">
        <v>3</v>
      </c>
      <c r="B10" s="22" t="s">
        <v>29</v>
      </c>
      <c r="C10" s="49" t="s">
        <v>30</v>
      </c>
      <c r="D10" s="24" t="n">
        <f aca="false">'PO Total Attainment'!D10</f>
        <v>0.56</v>
      </c>
      <c r="E10" s="25" t="n">
        <f aca="false">IF(D10&gt;=0.6,3,IF(D10&gt;=0.4,2,1))</f>
        <v>2</v>
      </c>
      <c r="F10" s="26" t="n">
        <f aca="false">'PO Total Attainment'!F10</f>
        <v>0.7239</v>
      </c>
      <c r="G10" s="27" t="n">
        <f aca="false">IF(F10&gt;=0.6,3,IF(F10&gt;=0.4,2,1))</f>
        <v>3</v>
      </c>
      <c r="H10" s="28" t="n">
        <f aca="false">'PO Total Attainment'!H10</f>
        <v>0.59278</v>
      </c>
      <c r="I10" s="29" t="n">
        <f aca="false">IF(H10&gt;=0.6,3,IF(H10&gt;=0.4,2,1))</f>
        <v>2</v>
      </c>
      <c r="J10" s="30" t="n">
        <f aca="false">'Input Data'!$G$5</f>
        <v>0.6</v>
      </c>
      <c r="K10" s="31" t="n">
        <f aca="false">H10-J10</f>
        <v>-0.00721999999999989</v>
      </c>
      <c r="L10" s="4" t="str">
        <f aca="false">IF(H10&gt;=J10,"✔ Met","✘ Not Met")</f>
        <v>✘ Not Met</v>
      </c>
      <c r="M10" s="50" t="str">
        <f aca="false">IF(H10&gt;=0.6,"Sustain",IF(H10&gt;=0.4,"Improve","Urgent Action"))</f>
        <v>Improve</v>
      </c>
    </row>
    <row r="11" customFormat="false" ht="21.75" hidden="false" customHeight="true" outlineLevel="0" collapsed="false">
      <c r="A11" s="32" t="n">
        <v>4</v>
      </c>
      <c r="B11" s="22" t="s">
        <v>31</v>
      </c>
      <c r="C11" s="51" t="s">
        <v>32</v>
      </c>
      <c r="D11" s="24" t="n">
        <f aca="false">'PO Total Attainment'!D11</f>
        <v>0.5393</v>
      </c>
      <c r="E11" s="25" t="n">
        <f aca="false">IF(D11&gt;=0.6,3,IF(D11&gt;=0.4,2,1))</f>
        <v>2</v>
      </c>
      <c r="F11" s="26" t="n">
        <f aca="false">'PO Total Attainment'!F11</f>
        <v>0.8076</v>
      </c>
      <c r="G11" s="27" t="n">
        <f aca="false">IF(F11&gt;=0.6,3,IF(F11&gt;=0.4,2,1))</f>
        <v>3</v>
      </c>
      <c r="H11" s="28" t="n">
        <f aca="false">'PO Total Attainment'!H11</f>
        <v>0.59296</v>
      </c>
      <c r="I11" s="29" t="n">
        <f aca="false">IF(H11&gt;=0.6,3,IF(H11&gt;=0.4,2,1))</f>
        <v>2</v>
      </c>
      <c r="J11" s="30" t="n">
        <f aca="false">'Input Data'!$G$5</f>
        <v>0.6</v>
      </c>
      <c r="K11" s="31" t="n">
        <f aca="false">H11-J11</f>
        <v>-0.00703999999999994</v>
      </c>
      <c r="L11" s="4" t="str">
        <f aca="false">IF(H11&gt;=J11,"✔ Met","✘ Not Met")</f>
        <v>✘ Not Met</v>
      </c>
      <c r="M11" s="50" t="str">
        <f aca="false">IF(H11&gt;=0.6,"Sustain",IF(H11&gt;=0.4,"Improve","Urgent Action"))</f>
        <v>Improve</v>
      </c>
    </row>
    <row r="12" customFormat="false" ht="21.75" hidden="false" customHeight="true" outlineLevel="0" collapsed="false">
      <c r="A12" s="21" t="n">
        <v>5</v>
      </c>
      <c r="B12" s="22" t="s">
        <v>33</v>
      </c>
      <c r="C12" s="49" t="s">
        <v>34</v>
      </c>
      <c r="D12" s="24" t="n">
        <f aca="false">'PO Total Attainment'!D12</f>
        <v>0.7446</v>
      </c>
      <c r="E12" s="25" t="n">
        <f aca="false">IF(D12&gt;=0.6,3,IF(D12&gt;=0.4,2,1))</f>
        <v>3</v>
      </c>
      <c r="F12" s="26" t="n">
        <f aca="false">'PO Total Attainment'!F12</f>
        <v>0.5025</v>
      </c>
      <c r="G12" s="27" t="n">
        <f aca="false">IF(F12&gt;=0.6,3,IF(F12&gt;=0.4,2,1))</f>
        <v>2</v>
      </c>
      <c r="H12" s="28" t="n">
        <f aca="false">'PO Total Attainment'!H12</f>
        <v>0.69618</v>
      </c>
      <c r="I12" s="29" t="n">
        <f aca="false">IF(H12&gt;=0.6,3,IF(H12&gt;=0.4,2,1))</f>
        <v>3</v>
      </c>
      <c r="J12" s="30" t="n">
        <f aca="false">'Input Data'!$G$5</f>
        <v>0.6</v>
      </c>
      <c r="K12" s="31" t="n">
        <f aca="false">H12-J12</f>
        <v>0.0961800000000002</v>
      </c>
      <c r="L12" s="4" t="str">
        <f aca="false">IF(H12&gt;=J12,"✔ Met","✘ Not Met")</f>
        <v>✔ Met</v>
      </c>
      <c r="M12" s="50" t="str">
        <f aca="false">IF(H12&gt;=0.6,"Sustain",IF(H12&gt;=0.4,"Improve","Urgent Action"))</f>
        <v>Sustain</v>
      </c>
    </row>
    <row r="13" customFormat="false" ht="21.75" hidden="false" customHeight="true" outlineLevel="0" collapsed="false">
      <c r="A13" s="32" t="n">
        <v>6</v>
      </c>
      <c r="B13" s="22" t="s">
        <v>35</v>
      </c>
      <c r="C13" s="51" t="s">
        <v>36</v>
      </c>
      <c r="D13" s="24" t="n">
        <f aca="false">'PO Total Attainment'!D13</f>
        <v>0.7207</v>
      </c>
      <c r="E13" s="25" t="n">
        <f aca="false">IF(D13&gt;=0.6,3,IF(D13&gt;=0.4,2,1))</f>
        <v>3</v>
      </c>
      <c r="F13" s="26" t="n">
        <f aca="false">'PO Total Attainment'!F13</f>
        <v>0.8062</v>
      </c>
      <c r="G13" s="27" t="n">
        <f aca="false">IF(F13&gt;=0.6,3,IF(F13&gt;=0.4,2,1))</f>
        <v>3</v>
      </c>
      <c r="H13" s="28" t="n">
        <f aca="false">'PO Total Attainment'!H13</f>
        <v>0.7378</v>
      </c>
      <c r="I13" s="29" t="n">
        <f aca="false">IF(H13&gt;=0.6,3,IF(H13&gt;=0.4,2,1))</f>
        <v>3</v>
      </c>
      <c r="J13" s="30" t="n">
        <f aca="false">'Input Data'!$G$5</f>
        <v>0.6</v>
      </c>
      <c r="K13" s="31" t="n">
        <f aca="false">H13-J13</f>
        <v>0.1378</v>
      </c>
      <c r="L13" s="4" t="str">
        <f aca="false">IF(H13&gt;=J13,"✔ Met","✘ Not Met")</f>
        <v>✔ Met</v>
      </c>
      <c r="M13" s="50" t="str">
        <f aca="false">IF(H13&gt;=0.6,"Sustain",IF(H13&gt;=0.4,"Improve","Urgent Action"))</f>
        <v>Sustain</v>
      </c>
    </row>
    <row r="14" customFormat="false" ht="21.75" hidden="false" customHeight="true" outlineLevel="0" collapsed="false">
      <c r="A14" s="21" t="n">
        <v>7</v>
      </c>
      <c r="B14" s="22" t="s">
        <v>37</v>
      </c>
      <c r="C14" s="49" t="s">
        <v>38</v>
      </c>
      <c r="D14" s="24" t="n">
        <f aca="false">'PO Total Attainment'!D14</f>
        <v>0.8069</v>
      </c>
      <c r="E14" s="25" t="n">
        <f aca="false">IF(D14&gt;=0.6,3,IF(D14&gt;=0.4,2,1))</f>
        <v>3</v>
      </c>
      <c r="F14" s="26" t="n">
        <f aca="false">'PO Total Attainment'!F14</f>
        <v>0.7653</v>
      </c>
      <c r="G14" s="27" t="n">
        <f aca="false">IF(F14&gt;=0.6,3,IF(F14&gt;=0.4,2,1))</f>
        <v>3</v>
      </c>
      <c r="H14" s="28" t="n">
        <f aca="false">'PO Total Attainment'!H14</f>
        <v>0.79858</v>
      </c>
      <c r="I14" s="29" t="n">
        <f aca="false">IF(H14&gt;=0.6,3,IF(H14&gt;=0.4,2,1))</f>
        <v>3</v>
      </c>
      <c r="J14" s="30" t="n">
        <f aca="false">'Input Data'!$G$5</f>
        <v>0.6</v>
      </c>
      <c r="K14" s="31" t="n">
        <f aca="false">H14-J14</f>
        <v>0.19858</v>
      </c>
      <c r="L14" s="4" t="str">
        <f aca="false">IF(H14&gt;=J14,"✔ Met","✘ Not Met")</f>
        <v>✔ Met</v>
      </c>
      <c r="M14" s="50" t="str">
        <f aca="false">IF(H14&gt;=0.6,"Sustain",IF(H14&gt;=0.4,"Improve","Urgent Action"))</f>
        <v>Sustain</v>
      </c>
    </row>
    <row r="15" customFormat="false" ht="21.75" hidden="false" customHeight="true" outlineLevel="0" collapsed="false">
      <c r="A15" s="32" t="n">
        <v>8</v>
      </c>
      <c r="B15" s="22" t="s">
        <v>39</v>
      </c>
      <c r="C15" s="51" t="s">
        <v>40</v>
      </c>
      <c r="D15" s="24" t="n">
        <f aca="false">'PO Total Attainment'!D15</f>
        <v>0.4848</v>
      </c>
      <c r="E15" s="25" t="n">
        <f aca="false">IF(D15&gt;=0.6,3,IF(D15&gt;=0.4,2,1))</f>
        <v>2</v>
      </c>
      <c r="F15" s="26" t="n">
        <f aca="false">'PO Total Attainment'!F15</f>
        <v>0.6293</v>
      </c>
      <c r="G15" s="27" t="n">
        <f aca="false">IF(F15&gt;=0.6,3,IF(F15&gt;=0.4,2,1))</f>
        <v>3</v>
      </c>
      <c r="H15" s="28" t="n">
        <f aca="false">'PO Total Attainment'!H15</f>
        <v>0.5137</v>
      </c>
      <c r="I15" s="29" t="n">
        <f aca="false">IF(H15&gt;=0.6,3,IF(H15&gt;=0.4,2,1))</f>
        <v>2</v>
      </c>
      <c r="J15" s="30" t="n">
        <f aca="false">'Input Data'!$G$5</f>
        <v>0.6</v>
      </c>
      <c r="K15" s="31" t="n">
        <f aca="false">H15-J15</f>
        <v>-0.0862999999999999</v>
      </c>
      <c r="L15" s="4" t="str">
        <f aca="false">IF(H15&gt;=J15,"✔ Met","✘ Not Met")</f>
        <v>✘ Not Met</v>
      </c>
      <c r="M15" s="50" t="str">
        <f aca="false">IF(H15&gt;=0.6,"Sustain",IF(H15&gt;=0.4,"Improve","Urgent Action"))</f>
        <v>Improve</v>
      </c>
    </row>
    <row r="16" customFormat="false" ht="21.75" hidden="false" customHeight="true" outlineLevel="0" collapsed="false">
      <c r="A16" s="21" t="n">
        <v>9</v>
      </c>
      <c r="B16" s="22" t="s">
        <v>41</v>
      </c>
      <c r="C16" s="49" t="s">
        <v>42</v>
      </c>
      <c r="D16" s="24" t="n">
        <f aca="false">'PO Total Attainment'!D16</f>
        <v>0.6188</v>
      </c>
      <c r="E16" s="25" t="n">
        <f aca="false">IF(D16&gt;=0.6,3,IF(D16&gt;=0.4,2,1))</f>
        <v>3</v>
      </c>
      <c r="F16" s="26" t="n">
        <f aca="false">'PO Total Attainment'!F16</f>
        <v>0.5591</v>
      </c>
      <c r="G16" s="27" t="n">
        <f aca="false">IF(F16&gt;=0.6,3,IF(F16&gt;=0.4,2,1))</f>
        <v>2</v>
      </c>
      <c r="H16" s="28" t="n">
        <f aca="false">'PO Total Attainment'!H16</f>
        <v>0.60686</v>
      </c>
      <c r="I16" s="29" t="n">
        <f aca="false">IF(H16&gt;=0.6,3,IF(H16&gt;=0.4,2,1))</f>
        <v>3</v>
      </c>
      <c r="J16" s="30" t="n">
        <f aca="false">'Input Data'!$G$5</f>
        <v>0.6</v>
      </c>
      <c r="K16" s="31" t="n">
        <f aca="false">H16-J16</f>
        <v>0.00686000000000009</v>
      </c>
      <c r="L16" s="4" t="str">
        <f aca="false">IF(H16&gt;=J16,"✔ Met","✘ Not Met")</f>
        <v>✔ Met</v>
      </c>
      <c r="M16" s="50" t="str">
        <f aca="false">IF(H16&gt;=0.6,"Sustain",IF(H16&gt;=0.4,"Improve","Urgent Action"))</f>
        <v>Sustain</v>
      </c>
    </row>
    <row r="17" customFormat="false" ht="21.75" hidden="false" customHeight="true" outlineLevel="0" collapsed="false">
      <c r="A17" s="32" t="n">
        <v>10</v>
      </c>
      <c r="B17" s="22" t="s">
        <v>43</v>
      </c>
      <c r="C17" s="51" t="s">
        <v>44</v>
      </c>
      <c r="D17" s="24" t="n">
        <f aca="false">'PO Total Attainment'!D17</f>
        <v>0.4619</v>
      </c>
      <c r="E17" s="25" t="n">
        <f aca="false">IF(D17&gt;=0.6,3,IF(D17&gt;=0.4,2,1))</f>
        <v>2</v>
      </c>
      <c r="F17" s="26" t="n">
        <f aca="false">'PO Total Attainment'!F17</f>
        <v>0.8637</v>
      </c>
      <c r="G17" s="27" t="n">
        <f aca="false">IF(F17&gt;=0.6,3,IF(F17&gt;=0.4,2,1))</f>
        <v>3</v>
      </c>
      <c r="H17" s="28" t="n">
        <f aca="false">'PO Total Attainment'!H17</f>
        <v>0.54226</v>
      </c>
      <c r="I17" s="29" t="n">
        <f aca="false">IF(H17&gt;=0.6,3,IF(H17&gt;=0.4,2,1))</f>
        <v>2</v>
      </c>
      <c r="J17" s="30" t="n">
        <f aca="false">'Input Data'!$G$5</f>
        <v>0.6</v>
      </c>
      <c r="K17" s="31" t="n">
        <f aca="false">H17-J17</f>
        <v>-0.05774</v>
      </c>
      <c r="L17" s="4" t="str">
        <f aca="false">IF(H17&gt;=J17,"✔ Met","✘ Not Met")</f>
        <v>✘ Not Met</v>
      </c>
      <c r="M17" s="50" t="str">
        <f aca="false">IF(H17&gt;=0.6,"Sustain",IF(H17&gt;=0.4,"Improve","Urgent Action"))</f>
        <v>Improve</v>
      </c>
    </row>
    <row r="18" customFormat="false" ht="21.75" hidden="false" customHeight="true" outlineLevel="0" collapsed="false">
      <c r="A18" s="21" t="n">
        <v>11</v>
      </c>
      <c r="B18" s="22" t="s">
        <v>45</v>
      </c>
      <c r="C18" s="49" t="s">
        <v>46</v>
      </c>
      <c r="D18" s="24" t="n">
        <f aca="false">'PO Total Attainment'!D18</f>
        <v>0.5375</v>
      </c>
      <c r="E18" s="25" t="n">
        <f aca="false">IF(D18&gt;=0.6,3,IF(D18&gt;=0.4,2,1))</f>
        <v>2</v>
      </c>
      <c r="F18" s="26" t="n">
        <f aca="false">'PO Total Attainment'!F18</f>
        <v>0.6279</v>
      </c>
      <c r="G18" s="27" t="n">
        <f aca="false">IF(F18&gt;=0.6,3,IF(F18&gt;=0.4,2,1))</f>
        <v>3</v>
      </c>
      <c r="H18" s="28" t="n">
        <f aca="false">'PO Total Attainment'!H18</f>
        <v>0.55558</v>
      </c>
      <c r="I18" s="29" t="n">
        <f aca="false">IF(H18&gt;=0.6,3,IF(H18&gt;=0.4,2,1))</f>
        <v>2</v>
      </c>
      <c r="J18" s="30" t="n">
        <f aca="false">'Input Data'!$G$5</f>
        <v>0.6</v>
      </c>
      <c r="K18" s="31" t="n">
        <f aca="false">H18-J18</f>
        <v>-0.04442</v>
      </c>
      <c r="L18" s="4" t="str">
        <f aca="false">IF(H18&gt;=J18,"✔ Met","✘ Not Met")</f>
        <v>✘ Not Met</v>
      </c>
      <c r="M18" s="50" t="str">
        <f aca="false">IF(H18&gt;=0.6,"Sustain",IF(H18&gt;=0.4,"Improve","Urgent Action"))</f>
        <v>Improve</v>
      </c>
    </row>
    <row r="19" customFormat="false" ht="21.75" hidden="false" customHeight="true" outlineLevel="0" collapsed="false">
      <c r="A19" s="32" t="n">
        <v>12</v>
      </c>
      <c r="B19" s="22" t="s">
        <v>47</v>
      </c>
      <c r="C19" s="51" t="s">
        <v>48</v>
      </c>
      <c r="D19" s="24" t="n">
        <f aca="false">'PO Total Attainment'!D19</f>
        <v>0.6521</v>
      </c>
      <c r="E19" s="25" t="n">
        <f aca="false">IF(D19&gt;=0.6,3,IF(D19&gt;=0.4,2,1))</f>
        <v>3</v>
      </c>
      <c r="F19" s="26" t="n">
        <f aca="false">'PO Total Attainment'!F19</f>
        <v>0.5352</v>
      </c>
      <c r="G19" s="27" t="n">
        <f aca="false">IF(F19&gt;=0.6,3,IF(F19&gt;=0.4,2,1))</f>
        <v>2</v>
      </c>
      <c r="H19" s="28" t="n">
        <f aca="false">'PO Total Attainment'!H19</f>
        <v>0.62872</v>
      </c>
      <c r="I19" s="29" t="n">
        <f aca="false">IF(H19&gt;=0.6,3,IF(H19&gt;=0.4,2,1))</f>
        <v>3</v>
      </c>
      <c r="J19" s="30" t="n">
        <f aca="false">'Input Data'!$G$5</f>
        <v>0.6</v>
      </c>
      <c r="K19" s="31" t="n">
        <f aca="false">H19-J19</f>
        <v>0.0287200000000001</v>
      </c>
      <c r="L19" s="4" t="str">
        <f aca="false">IF(H19&gt;=J19,"✔ Met","✘ Not Met")</f>
        <v>✔ Met</v>
      </c>
      <c r="M19" s="50" t="str">
        <f aca="false">IF(H19&gt;=0.6,"Sustain",IF(H19&gt;=0.4,"Improve","Urgent Action"))</f>
        <v>Sustain</v>
      </c>
    </row>
    <row r="20" customFormat="false" ht="21.75" hidden="false" customHeight="true" outlineLevel="0" collapsed="false">
      <c r="A20" s="21" t="n">
        <v>13</v>
      </c>
      <c r="B20" s="34" t="s">
        <v>49</v>
      </c>
      <c r="C20" s="49" t="s">
        <v>50</v>
      </c>
      <c r="D20" s="24" t="n">
        <f aca="false">'PO Total Attainment'!D20</f>
        <v>0.4606</v>
      </c>
      <c r="E20" s="25" t="n">
        <f aca="false">IF(D20&gt;=0.6,3,IF(D20&gt;=0.4,2,1))</f>
        <v>2</v>
      </c>
      <c r="F20" s="26" t="n">
        <f aca="false">'PO Total Attainment'!F20</f>
        <v>0.5368</v>
      </c>
      <c r="G20" s="27" t="n">
        <f aca="false">IF(F20&gt;=0.6,3,IF(F20&gt;=0.4,2,1))</f>
        <v>2</v>
      </c>
      <c r="H20" s="28" t="n">
        <f aca="false">'PO Total Attainment'!H20</f>
        <v>0.47584</v>
      </c>
      <c r="I20" s="35" t="n">
        <f aca="false">IF(H20&gt;=0.6,3,IF(H20&gt;=0.4,2,1))</f>
        <v>2</v>
      </c>
      <c r="J20" s="30" t="n">
        <f aca="false">'Input Data'!$G$5</f>
        <v>0.6</v>
      </c>
      <c r="K20" s="31" t="n">
        <f aca="false">H20-J20</f>
        <v>-0.12416</v>
      </c>
      <c r="L20" s="4" t="str">
        <f aca="false">IF(H20&gt;=J20,"✔ Met","✘ Not Met")</f>
        <v>✘ Not Met</v>
      </c>
      <c r="M20" s="50" t="str">
        <f aca="false">IF(H20&gt;=0.6,"Sustain",IF(H20&gt;=0.4,"Improve","Urgent Action"))</f>
        <v>Improve</v>
      </c>
    </row>
    <row r="21" customFormat="false" ht="21.75" hidden="false" customHeight="true" outlineLevel="0" collapsed="false">
      <c r="A21" s="32" t="n">
        <v>14</v>
      </c>
      <c r="B21" s="34" t="s">
        <v>51</v>
      </c>
      <c r="C21" s="51" t="s">
        <v>52</v>
      </c>
      <c r="D21" s="24" t="n">
        <f aca="false">'PO Total Attainment'!D21</f>
        <v>0.5295</v>
      </c>
      <c r="E21" s="25" t="n">
        <f aca="false">IF(D21&gt;=0.6,3,IF(D21&gt;=0.4,2,1))</f>
        <v>2</v>
      </c>
      <c r="F21" s="26" t="n">
        <f aca="false">'PO Total Attainment'!F21</f>
        <v>0.822</v>
      </c>
      <c r="G21" s="27" t="n">
        <f aca="false">IF(F21&gt;=0.6,3,IF(F21&gt;=0.4,2,1))</f>
        <v>3</v>
      </c>
      <c r="H21" s="28" t="n">
        <f aca="false">'PO Total Attainment'!H21</f>
        <v>0.588</v>
      </c>
      <c r="I21" s="35" t="n">
        <f aca="false">IF(H21&gt;=0.6,3,IF(H21&gt;=0.4,2,1))</f>
        <v>2</v>
      </c>
      <c r="J21" s="30" t="n">
        <f aca="false">'Input Data'!$G$5</f>
        <v>0.6</v>
      </c>
      <c r="K21" s="31" t="n">
        <f aca="false">H21-J21</f>
        <v>-0.012</v>
      </c>
      <c r="L21" s="4" t="str">
        <f aca="false">IF(H21&gt;=J21,"✔ Met","✘ Not Met")</f>
        <v>✘ Not Met</v>
      </c>
      <c r="M21" s="50" t="str">
        <f aca="false">IF(H21&gt;=0.6,"Sustain",IF(H21&gt;=0.4,"Improve","Urgent Action"))</f>
        <v>Improve</v>
      </c>
    </row>
    <row r="22" customFormat="false" ht="21.75" hidden="false" customHeight="true" outlineLevel="0" collapsed="false">
      <c r="A22" s="21" t="n">
        <v>15</v>
      </c>
      <c r="B22" s="34" t="s">
        <v>53</v>
      </c>
      <c r="C22" s="49" t="s">
        <v>54</v>
      </c>
      <c r="D22" s="24" t="n">
        <f aca="false">'PO Total Attainment'!D22</f>
        <v>0.71</v>
      </c>
      <c r="E22" s="25" t="n">
        <f aca="false">IF(D22&gt;=0.6,3,IF(D22&gt;=0.4,2,1))</f>
        <v>3</v>
      </c>
      <c r="F22" s="26" t="n">
        <f aca="false">'PO Total Attainment'!F22</f>
        <v>0.7294</v>
      </c>
      <c r="G22" s="27" t="n">
        <f aca="false">IF(F22&gt;=0.6,3,IF(F22&gt;=0.4,2,1))</f>
        <v>3</v>
      </c>
      <c r="H22" s="28" t="n">
        <f aca="false">'PO Total Attainment'!H22</f>
        <v>0.71388</v>
      </c>
      <c r="I22" s="35" t="n">
        <f aca="false">IF(H22&gt;=0.6,3,IF(H22&gt;=0.4,2,1))</f>
        <v>3</v>
      </c>
      <c r="J22" s="30" t="n">
        <f aca="false">'Input Data'!$G$5</f>
        <v>0.6</v>
      </c>
      <c r="K22" s="31" t="n">
        <f aca="false">H22-J22</f>
        <v>0.11388</v>
      </c>
      <c r="L22" s="4" t="str">
        <f aca="false">IF(H22&gt;=J22,"✔ Met","✘ Not Met")</f>
        <v>✔ Met</v>
      </c>
      <c r="M22" s="50" t="str">
        <f aca="false">IF(H22&gt;=0.6,"Sustain",IF(H22&gt;=0.4,"Improve","Urgent Action"))</f>
        <v>Sustain</v>
      </c>
    </row>
    <row r="24" customFormat="false" ht="27.75" hidden="false" customHeight="true" outlineLevel="0" collapsed="false">
      <c r="A24" s="52" t="s">
        <v>65</v>
      </c>
      <c r="B24" s="52"/>
      <c r="C24" s="52"/>
      <c r="D24" s="53" t="n">
        <f aca="false">AVERAGE(D8:D22)</f>
        <v>0.5995</v>
      </c>
      <c r="E24" s="54" t="n">
        <f aca="false">IF(D24&gt;=0.6,3,IF(D24&gt;=0.4,2,1))</f>
        <v>2</v>
      </c>
      <c r="F24" s="55" t="n">
        <f aca="false">AVERAGE(F8:F22)</f>
        <v>0.679986666666667</v>
      </c>
      <c r="G24" s="56" t="n">
        <f aca="false">IF(F24&gt;=0.6,3,IF(F24&gt;=0.4,2,1))</f>
        <v>3</v>
      </c>
      <c r="H24" s="57" t="n">
        <f aca="false">AVERAGE(H8:H22)</f>
        <v>0.615597333333333</v>
      </c>
      <c r="I24" s="58" t="n">
        <f aca="false">IF(H24&gt;=0.6,3,IF(H24&gt;=0.4,2,1))</f>
        <v>3</v>
      </c>
      <c r="J24" s="59" t="n">
        <f aca="false">'Input Data'!$G$5</f>
        <v>0.6</v>
      </c>
      <c r="K24" s="60" t="n">
        <f aca="false">H24-J24</f>
        <v>0.0155973333333334</v>
      </c>
      <c r="L24" s="61" t="str">
        <f aca="false">IF(H24&gt;=J24,"✔ Met","✘ Not Met")</f>
        <v>✔ Met</v>
      </c>
      <c r="M24" s="43" t="str">
        <f aca="false">IF(H24&gt;=0.6,"Sustain",IF(H24&gt;=0.4,"Improve","Urgent Action"))</f>
        <v>Sustain</v>
      </c>
    </row>
    <row r="26" customFormat="false" ht="27.75" hidden="false" customHeight="true" outlineLevel="0" collapsed="false">
      <c r="A26" s="62" t="s">
        <v>66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</row>
  </sheetData>
  <mergeCells count="7">
    <mergeCell ref="A1:M1"/>
    <mergeCell ref="A2:M2"/>
    <mergeCell ref="A3:M3"/>
    <mergeCell ref="A5:B5"/>
    <mergeCell ref="F5:M5"/>
    <mergeCell ref="A24:C24"/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17" min="6" style="0" width="11"/>
  </cols>
  <sheetData>
    <row r="1" customFormat="false" ht="39.7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25.5" hidden="false" customHeight="true" outlineLevel="0" collapsed="false">
      <c r="A4" s="63" t="s">
        <v>13</v>
      </c>
      <c r="B4" s="63" t="s">
        <v>14</v>
      </c>
      <c r="C4" s="63" t="s">
        <v>15</v>
      </c>
      <c r="D4" s="63" t="s">
        <v>16</v>
      </c>
      <c r="E4" s="63" t="s">
        <v>18</v>
      </c>
      <c r="F4" s="11" t="s">
        <v>69</v>
      </c>
      <c r="G4" s="11"/>
      <c r="H4" s="11"/>
      <c r="I4" s="64" t="s">
        <v>70</v>
      </c>
      <c r="J4" s="64"/>
      <c r="K4" s="64"/>
      <c r="L4" s="65" t="s">
        <v>71</v>
      </c>
      <c r="M4" s="65"/>
      <c r="N4" s="65"/>
      <c r="O4" s="66" t="s">
        <v>72</v>
      </c>
      <c r="P4" s="66"/>
    </row>
    <row r="5" customFormat="false" ht="19.5" hidden="false" customHeight="true" outlineLevel="0" collapsed="false">
      <c r="A5" s="63"/>
      <c r="B5" s="63"/>
      <c r="C5" s="63"/>
      <c r="D5" s="63"/>
      <c r="E5" s="63"/>
      <c r="F5" s="15" t="s">
        <v>73</v>
      </c>
      <c r="G5" s="15" t="s">
        <v>74</v>
      </c>
      <c r="H5" s="15" t="s">
        <v>23</v>
      </c>
      <c r="I5" s="20" t="s">
        <v>73</v>
      </c>
      <c r="J5" s="20" t="s">
        <v>74</v>
      </c>
      <c r="K5" s="20" t="s">
        <v>23</v>
      </c>
      <c r="L5" s="19" t="s">
        <v>73</v>
      </c>
      <c r="M5" s="19" t="s">
        <v>74</v>
      </c>
      <c r="N5" s="19" t="s">
        <v>23</v>
      </c>
      <c r="O5" s="67" t="s">
        <v>75</v>
      </c>
      <c r="P5" s="68" t="s">
        <v>76</v>
      </c>
    </row>
    <row r="6" customFormat="false" ht="19.5" hidden="false" customHeight="true" outlineLevel="0" collapsed="false">
      <c r="A6" s="21" t="n">
        <v>1</v>
      </c>
      <c r="B6" s="22" t="s">
        <v>25</v>
      </c>
      <c r="C6" s="23" t="s">
        <v>26</v>
      </c>
      <c r="D6" s="24" t="n">
        <f aca="false">'Input Data'!D8</f>
        <v>0.7058</v>
      </c>
      <c r="E6" s="26" t="n">
        <f aca="false">'Input Data'!E8</f>
        <v>0.7071</v>
      </c>
      <c r="F6" s="28" t="n">
        <f aca="false">D6*0.8+E6*0.2</f>
        <v>0.70606</v>
      </c>
      <c r="G6" s="25" t="n">
        <f aca="false">IF(F6&gt;=0.6,3,IF(F6&gt;=0.4,2,1))</f>
        <v>3</v>
      </c>
      <c r="H6" s="31" t="n">
        <f aca="false">F6-0.6</f>
        <v>0.10606</v>
      </c>
      <c r="I6" s="28" t="n">
        <f aca="false">D6*0.5+E6*0.5</f>
        <v>0.70645</v>
      </c>
      <c r="J6" s="69" t="n">
        <f aca="false">IF(I6&gt;=0.6,3,IF(I6&gt;=0.4,2,1))</f>
        <v>3</v>
      </c>
      <c r="K6" s="31" t="n">
        <f aca="false">I6-0.6</f>
        <v>0.10645</v>
      </c>
      <c r="L6" s="28" t="n">
        <f aca="false">D6*0.9+E6*0.1</f>
        <v>0.70593</v>
      </c>
      <c r="M6" s="70" t="n">
        <f aca="false">IF(L6&gt;=0.6,3,IF(L6&gt;=0.4,2,1))</f>
        <v>3</v>
      </c>
      <c r="N6" s="31" t="n">
        <f aca="false">L6-0.6</f>
        <v>0.10593</v>
      </c>
      <c r="O6" s="71" t="n">
        <f aca="false">MAX(F6,I6,L6)</f>
        <v>0.70645</v>
      </c>
      <c r="P6" s="72" t="n">
        <f aca="false">MIN(F6,I6,L6)</f>
        <v>0.70593</v>
      </c>
    </row>
    <row r="7" customFormat="false" ht="19.5" hidden="false" customHeight="true" outlineLevel="0" collapsed="false">
      <c r="A7" s="32" t="n">
        <v>2</v>
      </c>
      <c r="B7" s="22" t="s">
        <v>27</v>
      </c>
      <c r="C7" s="33" t="s">
        <v>28</v>
      </c>
      <c r="D7" s="24" t="n">
        <f aca="false">'Input Data'!D9</f>
        <v>0.46</v>
      </c>
      <c r="E7" s="26" t="n">
        <f aca="false">'Input Data'!E9</f>
        <v>0.5838</v>
      </c>
      <c r="F7" s="28" t="n">
        <f aca="false">D7*0.8+E7*0.2</f>
        <v>0.48476</v>
      </c>
      <c r="G7" s="25" t="n">
        <f aca="false">IF(F7&gt;=0.6,3,IF(F7&gt;=0.4,2,1))</f>
        <v>2</v>
      </c>
      <c r="H7" s="31" t="n">
        <f aca="false">F7-0.6</f>
        <v>-0.11524</v>
      </c>
      <c r="I7" s="28" t="n">
        <f aca="false">D7*0.5+E7*0.5</f>
        <v>0.5219</v>
      </c>
      <c r="J7" s="69" t="n">
        <f aca="false">IF(I7&gt;=0.6,3,IF(I7&gt;=0.4,2,1))</f>
        <v>2</v>
      </c>
      <c r="K7" s="31" t="n">
        <f aca="false">I7-0.6</f>
        <v>-0.0781</v>
      </c>
      <c r="L7" s="28" t="n">
        <f aca="false">D7*0.9+E7*0.1</f>
        <v>0.47238</v>
      </c>
      <c r="M7" s="70" t="n">
        <f aca="false">IF(L7&gt;=0.6,3,IF(L7&gt;=0.4,2,1))</f>
        <v>2</v>
      </c>
      <c r="N7" s="31" t="n">
        <f aca="false">L7-0.6</f>
        <v>-0.12762</v>
      </c>
      <c r="O7" s="71" t="n">
        <f aca="false">MAX(F7,I7,L7)</f>
        <v>0.5219</v>
      </c>
      <c r="P7" s="72" t="n">
        <f aca="false">MIN(F7,I7,L7)</f>
        <v>0.47238</v>
      </c>
    </row>
    <row r="8" customFormat="false" ht="19.5" hidden="false" customHeight="true" outlineLevel="0" collapsed="false">
      <c r="A8" s="21" t="n">
        <v>3</v>
      </c>
      <c r="B8" s="22" t="s">
        <v>29</v>
      </c>
      <c r="C8" s="23" t="s">
        <v>30</v>
      </c>
      <c r="D8" s="24" t="n">
        <f aca="false">'Input Data'!D10</f>
        <v>0.56</v>
      </c>
      <c r="E8" s="26" t="n">
        <f aca="false">'Input Data'!E10</f>
        <v>0.7239</v>
      </c>
      <c r="F8" s="28" t="n">
        <f aca="false">D8*0.8+E8*0.2</f>
        <v>0.59278</v>
      </c>
      <c r="G8" s="25" t="n">
        <f aca="false">IF(F8&gt;=0.6,3,IF(F8&gt;=0.4,2,1))</f>
        <v>2</v>
      </c>
      <c r="H8" s="31" t="n">
        <f aca="false">F8-0.6</f>
        <v>-0.00721999999999989</v>
      </c>
      <c r="I8" s="28" t="n">
        <f aca="false">D8*0.5+E8*0.5</f>
        <v>0.64195</v>
      </c>
      <c r="J8" s="69" t="n">
        <f aca="false">IF(I8&gt;=0.6,3,IF(I8&gt;=0.4,2,1))</f>
        <v>3</v>
      </c>
      <c r="K8" s="31" t="n">
        <f aca="false">I8-0.6</f>
        <v>0.04195</v>
      </c>
      <c r="L8" s="28" t="n">
        <f aca="false">D8*0.9+E8*0.1</f>
        <v>0.57639</v>
      </c>
      <c r="M8" s="70" t="n">
        <f aca="false">IF(L8&gt;=0.6,3,IF(L8&gt;=0.4,2,1))</f>
        <v>2</v>
      </c>
      <c r="N8" s="31" t="n">
        <f aca="false">L8-0.6</f>
        <v>-0.0236099999999999</v>
      </c>
      <c r="O8" s="71" t="n">
        <f aca="false">MAX(F8,I8,L8)</f>
        <v>0.64195</v>
      </c>
      <c r="P8" s="72" t="n">
        <f aca="false">MIN(F8,I8,L8)</f>
        <v>0.57639</v>
      </c>
    </row>
    <row r="9" customFormat="false" ht="19.5" hidden="false" customHeight="true" outlineLevel="0" collapsed="false">
      <c r="A9" s="32" t="n">
        <v>4</v>
      </c>
      <c r="B9" s="22" t="s">
        <v>31</v>
      </c>
      <c r="C9" s="33" t="s">
        <v>32</v>
      </c>
      <c r="D9" s="24" t="n">
        <f aca="false">'Input Data'!D11</f>
        <v>0.5393</v>
      </c>
      <c r="E9" s="26" t="n">
        <f aca="false">'Input Data'!E11</f>
        <v>0.8076</v>
      </c>
      <c r="F9" s="28" t="n">
        <f aca="false">D9*0.8+E9*0.2</f>
        <v>0.59296</v>
      </c>
      <c r="G9" s="25" t="n">
        <f aca="false">IF(F9&gt;=0.6,3,IF(F9&gt;=0.4,2,1))</f>
        <v>2</v>
      </c>
      <c r="H9" s="31" t="n">
        <f aca="false">F9-0.6</f>
        <v>-0.00703999999999994</v>
      </c>
      <c r="I9" s="28" t="n">
        <f aca="false">D9*0.5+E9*0.5</f>
        <v>0.67345</v>
      </c>
      <c r="J9" s="69" t="n">
        <f aca="false">IF(I9&gt;=0.6,3,IF(I9&gt;=0.4,2,1))</f>
        <v>3</v>
      </c>
      <c r="K9" s="31" t="n">
        <f aca="false">I9-0.6</f>
        <v>0.07345</v>
      </c>
      <c r="L9" s="28" t="n">
        <f aca="false">D9*0.9+E9*0.1</f>
        <v>0.56613</v>
      </c>
      <c r="M9" s="70" t="n">
        <f aca="false">IF(L9&gt;=0.6,3,IF(L9&gt;=0.4,2,1))</f>
        <v>2</v>
      </c>
      <c r="N9" s="31" t="n">
        <f aca="false">L9-0.6</f>
        <v>-0.03387</v>
      </c>
      <c r="O9" s="71" t="n">
        <f aca="false">MAX(F9,I9,L9)</f>
        <v>0.67345</v>
      </c>
      <c r="P9" s="72" t="n">
        <f aca="false">MIN(F9,I9,L9)</f>
        <v>0.56613</v>
      </c>
    </row>
    <row r="10" customFormat="false" ht="19.5" hidden="false" customHeight="true" outlineLevel="0" collapsed="false">
      <c r="A10" s="21" t="n">
        <v>5</v>
      </c>
      <c r="B10" s="22" t="s">
        <v>33</v>
      </c>
      <c r="C10" s="23" t="s">
        <v>34</v>
      </c>
      <c r="D10" s="24" t="n">
        <f aca="false">'Input Data'!D12</f>
        <v>0.7446</v>
      </c>
      <c r="E10" s="26" t="n">
        <f aca="false">'Input Data'!E12</f>
        <v>0.5025</v>
      </c>
      <c r="F10" s="28" t="n">
        <f aca="false">D10*0.8+E10*0.2</f>
        <v>0.69618</v>
      </c>
      <c r="G10" s="25" t="n">
        <f aca="false">IF(F10&gt;=0.6,3,IF(F10&gt;=0.4,2,1))</f>
        <v>3</v>
      </c>
      <c r="H10" s="31" t="n">
        <f aca="false">F10-0.6</f>
        <v>0.0961800000000002</v>
      </c>
      <c r="I10" s="28" t="n">
        <f aca="false">D10*0.5+E10*0.5</f>
        <v>0.62355</v>
      </c>
      <c r="J10" s="69" t="n">
        <f aca="false">IF(I10&gt;=0.6,3,IF(I10&gt;=0.4,2,1))</f>
        <v>3</v>
      </c>
      <c r="K10" s="31" t="n">
        <f aca="false">I10-0.6</f>
        <v>0.0235500000000001</v>
      </c>
      <c r="L10" s="28" t="n">
        <f aca="false">D10*0.9+E10*0.1</f>
        <v>0.72039</v>
      </c>
      <c r="M10" s="70" t="n">
        <f aca="false">IF(L10&gt;=0.6,3,IF(L10&gt;=0.4,2,1))</f>
        <v>3</v>
      </c>
      <c r="N10" s="31" t="n">
        <f aca="false">L10-0.6</f>
        <v>0.12039</v>
      </c>
      <c r="O10" s="71" t="n">
        <f aca="false">MAX(F10,I10,L10)</f>
        <v>0.72039</v>
      </c>
      <c r="P10" s="72" t="n">
        <f aca="false">MIN(F10,I10,L10)</f>
        <v>0.62355</v>
      </c>
    </row>
    <row r="11" customFormat="false" ht="19.5" hidden="false" customHeight="true" outlineLevel="0" collapsed="false">
      <c r="A11" s="32" t="n">
        <v>6</v>
      </c>
      <c r="B11" s="22" t="s">
        <v>35</v>
      </c>
      <c r="C11" s="33" t="s">
        <v>36</v>
      </c>
      <c r="D11" s="24" t="n">
        <f aca="false">'Input Data'!D13</f>
        <v>0.7207</v>
      </c>
      <c r="E11" s="26" t="n">
        <f aca="false">'Input Data'!E13</f>
        <v>0.8062</v>
      </c>
      <c r="F11" s="28" t="n">
        <f aca="false">D11*0.8+E11*0.2</f>
        <v>0.7378</v>
      </c>
      <c r="G11" s="25" t="n">
        <f aca="false">IF(F11&gt;=0.6,3,IF(F11&gt;=0.4,2,1))</f>
        <v>3</v>
      </c>
      <c r="H11" s="31" t="n">
        <f aca="false">F11-0.6</f>
        <v>0.1378</v>
      </c>
      <c r="I11" s="28" t="n">
        <f aca="false">D11*0.5+E11*0.5</f>
        <v>0.76345</v>
      </c>
      <c r="J11" s="69" t="n">
        <f aca="false">IF(I11&gt;=0.6,3,IF(I11&gt;=0.4,2,1))</f>
        <v>3</v>
      </c>
      <c r="K11" s="31" t="n">
        <f aca="false">I11-0.6</f>
        <v>0.16345</v>
      </c>
      <c r="L11" s="28" t="n">
        <f aca="false">D11*0.9+E11*0.1</f>
        <v>0.72925</v>
      </c>
      <c r="M11" s="70" t="n">
        <f aca="false">IF(L11&gt;=0.6,3,IF(L11&gt;=0.4,2,1))</f>
        <v>3</v>
      </c>
      <c r="N11" s="31" t="n">
        <f aca="false">L11-0.6</f>
        <v>0.12925</v>
      </c>
      <c r="O11" s="71" t="n">
        <f aca="false">MAX(F11,I11,L11)</f>
        <v>0.76345</v>
      </c>
      <c r="P11" s="72" t="n">
        <f aca="false">MIN(F11,I11,L11)</f>
        <v>0.72925</v>
      </c>
    </row>
    <row r="12" customFormat="false" ht="19.5" hidden="false" customHeight="true" outlineLevel="0" collapsed="false">
      <c r="A12" s="21" t="n">
        <v>7</v>
      </c>
      <c r="B12" s="22" t="s">
        <v>37</v>
      </c>
      <c r="C12" s="23" t="s">
        <v>38</v>
      </c>
      <c r="D12" s="24" t="n">
        <f aca="false">'Input Data'!D14</f>
        <v>0.8069</v>
      </c>
      <c r="E12" s="26" t="n">
        <f aca="false">'Input Data'!E14</f>
        <v>0.7653</v>
      </c>
      <c r="F12" s="28" t="n">
        <f aca="false">D12*0.8+E12*0.2</f>
        <v>0.79858</v>
      </c>
      <c r="G12" s="25" t="n">
        <f aca="false">IF(F12&gt;=0.6,3,IF(F12&gt;=0.4,2,1))</f>
        <v>3</v>
      </c>
      <c r="H12" s="31" t="n">
        <f aca="false">F12-0.6</f>
        <v>0.19858</v>
      </c>
      <c r="I12" s="28" t="n">
        <f aca="false">D12*0.5+E12*0.5</f>
        <v>0.7861</v>
      </c>
      <c r="J12" s="69" t="n">
        <f aca="false">IF(I12&gt;=0.6,3,IF(I12&gt;=0.4,2,1))</f>
        <v>3</v>
      </c>
      <c r="K12" s="31" t="n">
        <f aca="false">I12-0.6</f>
        <v>0.1861</v>
      </c>
      <c r="L12" s="28" t="n">
        <f aca="false">D12*0.9+E12*0.1</f>
        <v>0.80274</v>
      </c>
      <c r="M12" s="70" t="n">
        <f aca="false">IF(L12&gt;=0.6,3,IF(L12&gt;=0.4,2,1))</f>
        <v>3</v>
      </c>
      <c r="N12" s="31" t="n">
        <f aca="false">L12-0.6</f>
        <v>0.20274</v>
      </c>
      <c r="O12" s="71" t="n">
        <f aca="false">MAX(F12,I12,L12)</f>
        <v>0.80274</v>
      </c>
      <c r="P12" s="72" t="n">
        <f aca="false">MIN(F12,I12,L12)</f>
        <v>0.7861</v>
      </c>
    </row>
    <row r="13" customFormat="false" ht="19.5" hidden="false" customHeight="true" outlineLevel="0" collapsed="false">
      <c r="A13" s="32" t="n">
        <v>8</v>
      </c>
      <c r="B13" s="22" t="s">
        <v>39</v>
      </c>
      <c r="C13" s="33" t="s">
        <v>40</v>
      </c>
      <c r="D13" s="24" t="n">
        <f aca="false">'Input Data'!D15</f>
        <v>0.4848</v>
      </c>
      <c r="E13" s="26" t="n">
        <f aca="false">'Input Data'!E15</f>
        <v>0.6293</v>
      </c>
      <c r="F13" s="28" t="n">
        <f aca="false">D13*0.8+E13*0.2</f>
        <v>0.5137</v>
      </c>
      <c r="G13" s="25" t="n">
        <f aca="false">IF(F13&gt;=0.6,3,IF(F13&gt;=0.4,2,1))</f>
        <v>2</v>
      </c>
      <c r="H13" s="31" t="n">
        <f aca="false">F13-0.6</f>
        <v>-0.0862999999999999</v>
      </c>
      <c r="I13" s="28" t="n">
        <f aca="false">D13*0.5+E13*0.5</f>
        <v>0.55705</v>
      </c>
      <c r="J13" s="69" t="n">
        <f aca="false">IF(I13&gt;=0.6,3,IF(I13&gt;=0.4,2,1))</f>
        <v>2</v>
      </c>
      <c r="K13" s="31" t="n">
        <f aca="false">I13-0.6</f>
        <v>-0.0429499999999999</v>
      </c>
      <c r="L13" s="28" t="n">
        <f aca="false">D13*0.9+E13*0.1</f>
        <v>0.49925</v>
      </c>
      <c r="M13" s="70" t="n">
        <f aca="false">IF(L13&gt;=0.6,3,IF(L13&gt;=0.4,2,1))</f>
        <v>2</v>
      </c>
      <c r="N13" s="31" t="n">
        <f aca="false">L13-0.6</f>
        <v>-0.10075</v>
      </c>
      <c r="O13" s="71" t="n">
        <f aca="false">MAX(F13,I13,L13)</f>
        <v>0.55705</v>
      </c>
      <c r="P13" s="72" t="n">
        <f aca="false">MIN(F13,I13,L13)</f>
        <v>0.49925</v>
      </c>
    </row>
    <row r="14" customFormat="false" ht="19.5" hidden="false" customHeight="true" outlineLevel="0" collapsed="false">
      <c r="A14" s="21" t="n">
        <v>9</v>
      </c>
      <c r="B14" s="22" t="s">
        <v>41</v>
      </c>
      <c r="C14" s="23" t="s">
        <v>42</v>
      </c>
      <c r="D14" s="24" t="n">
        <f aca="false">'Input Data'!D16</f>
        <v>0.6188</v>
      </c>
      <c r="E14" s="26" t="n">
        <f aca="false">'Input Data'!E16</f>
        <v>0.5591</v>
      </c>
      <c r="F14" s="28" t="n">
        <f aca="false">D14*0.8+E14*0.2</f>
        <v>0.60686</v>
      </c>
      <c r="G14" s="25" t="n">
        <f aca="false">IF(F14&gt;=0.6,3,IF(F14&gt;=0.4,2,1))</f>
        <v>3</v>
      </c>
      <c r="H14" s="31" t="n">
        <f aca="false">F14-0.6</f>
        <v>0.00686000000000009</v>
      </c>
      <c r="I14" s="28" t="n">
        <f aca="false">D14*0.5+E14*0.5</f>
        <v>0.58895</v>
      </c>
      <c r="J14" s="69" t="n">
        <f aca="false">IF(I14&gt;=0.6,3,IF(I14&gt;=0.4,2,1))</f>
        <v>2</v>
      </c>
      <c r="K14" s="31" t="n">
        <f aca="false">I14-0.6</f>
        <v>-0.0110499999999999</v>
      </c>
      <c r="L14" s="28" t="n">
        <f aca="false">D14*0.9+E14*0.1</f>
        <v>0.61283</v>
      </c>
      <c r="M14" s="70" t="n">
        <f aca="false">IF(L14&gt;=0.6,3,IF(L14&gt;=0.4,2,1))</f>
        <v>3</v>
      </c>
      <c r="N14" s="31" t="n">
        <f aca="false">L14-0.6</f>
        <v>0.0128300000000001</v>
      </c>
      <c r="O14" s="71" t="n">
        <f aca="false">MAX(F14,I14,L14)</f>
        <v>0.61283</v>
      </c>
      <c r="P14" s="72" t="n">
        <f aca="false">MIN(F14,I14,L14)</f>
        <v>0.58895</v>
      </c>
    </row>
    <row r="15" customFormat="false" ht="19.5" hidden="false" customHeight="true" outlineLevel="0" collapsed="false">
      <c r="A15" s="32" t="n">
        <v>10</v>
      </c>
      <c r="B15" s="22" t="s">
        <v>43</v>
      </c>
      <c r="C15" s="33" t="s">
        <v>44</v>
      </c>
      <c r="D15" s="24" t="n">
        <f aca="false">'Input Data'!D17</f>
        <v>0.4619</v>
      </c>
      <c r="E15" s="26" t="n">
        <f aca="false">'Input Data'!E17</f>
        <v>0.8637</v>
      </c>
      <c r="F15" s="28" t="n">
        <f aca="false">D15*0.8+E15*0.2</f>
        <v>0.54226</v>
      </c>
      <c r="G15" s="25" t="n">
        <f aca="false">IF(F15&gt;=0.6,3,IF(F15&gt;=0.4,2,1))</f>
        <v>2</v>
      </c>
      <c r="H15" s="31" t="n">
        <f aca="false">F15-0.6</f>
        <v>-0.05774</v>
      </c>
      <c r="I15" s="28" t="n">
        <f aca="false">D15*0.5+E15*0.5</f>
        <v>0.6628</v>
      </c>
      <c r="J15" s="69" t="n">
        <f aca="false">IF(I15&gt;=0.6,3,IF(I15&gt;=0.4,2,1))</f>
        <v>3</v>
      </c>
      <c r="K15" s="31" t="n">
        <f aca="false">I15-0.6</f>
        <v>0.0628000000000001</v>
      </c>
      <c r="L15" s="28" t="n">
        <f aca="false">D15*0.9+E15*0.1</f>
        <v>0.50208</v>
      </c>
      <c r="M15" s="70" t="n">
        <f aca="false">IF(L15&gt;=0.6,3,IF(L15&gt;=0.4,2,1))</f>
        <v>2</v>
      </c>
      <c r="N15" s="31" t="n">
        <f aca="false">L15-0.6</f>
        <v>-0.09792</v>
      </c>
      <c r="O15" s="71" t="n">
        <f aca="false">MAX(F15,I15,L15)</f>
        <v>0.6628</v>
      </c>
      <c r="P15" s="72" t="n">
        <f aca="false">MIN(F15,I15,L15)</f>
        <v>0.50208</v>
      </c>
    </row>
    <row r="16" customFormat="false" ht="19.5" hidden="false" customHeight="true" outlineLevel="0" collapsed="false">
      <c r="A16" s="21" t="n">
        <v>11</v>
      </c>
      <c r="B16" s="22" t="s">
        <v>45</v>
      </c>
      <c r="C16" s="23" t="s">
        <v>46</v>
      </c>
      <c r="D16" s="24" t="n">
        <f aca="false">'Input Data'!D18</f>
        <v>0.5375</v>
      </c>
      <c r="E16" s="26" t="n">
        <f aca="false">'Input Data'!E18</f>
        <v>0.6279</v>
      </c>
      <c r="F16" s="28" t="n">
        <f aca="false">D16*0.8+E16*0.2</f>
        <v>0.55558</v>
      </c>
      <c r="G16" s="25" t="n">
        <f aca="false">IF(F16&gt;=0.6,3,IF(F16&gt;=0.4,2,1))</f>
        <v>2</v>
      </c>
      <c r="H16" s="31" t="n">
        <f aca="false">F16-0.6</f>
        <v>-0.04442</v>
      </c>
      <c r="I16" s="28" t="n">
        <f aca="false">D16*0.5+E16*0.5</f>
        <v>0.5827</v>
      </c>
      <c r="J16" s="69" t="n">
        <f aca="false">IF(I16&gt;=0.6,3,IF(I16&gt;=0.4,2,1))</f>
        <v>2</v>
      </c>
      <c r="K16" s="31" t="n">
        <f aca="false">I16-0.6</f>
        <v>-0.0173</v>
      </c>
      <c r="L16" s="28" t="n">
        <f aca="false">D16*0.9+E16*0.1</f>
        <v>0.54654</v>
      </c>
      <c r="M16" s="70" t="n">
        <f aca="false">IF(L16&gt;=0.6,3,IF(L16&gt;=0.4,2,1))</f>
        <v>2</v>
      </c>
      <c r="N16" s="31" t="n">
        <f aca="false">L16-0.6</f>
        <v>-0.05346</v>
      </c>
      <c r="O16" s="71" t="n">
        <f aca="false">MAX(F16,I16,L16)</f>
        <v>0.5827</v>
      </c>
      <c r="P16" s="72" t="n">
        <f aca="false">MIN(F16,I16,L16)</f>
        <v>0.54654</v>
      </c>
    </row>
    <row r="17" customFormat="false" ht="19.5" hidden="false" customHeight="true" outlineLevel="0" collapsed="false">
      <c r="A17" s="32" t="n">
        <v>12</v>
      </c>
      <c r="B17" s="22" t="s">
        <v>47</v>
      </c>
      <c r="C17" s="33" t="s">
        <v>48</v>
      </c>
      <c r="D17" s="24" t="n">
        <f aca="false">'Input Data'!D19</f>
        <v>0.6521</v>
      </c>
      <c r="E17" s="26" t="n">
        <f aca="false">'Input Data'!E19</f>
        <v>0.5352</v>
      </c>
      <c r="F17" s="28" t="n">
        <f aca="false">D17*0.8+E17*0.2</f>
        <v>0.62872</v>
      </c>
      <c r="G17" s="25" t="n">
        <f aca="false">IF(F17&gt;=0.6,3,IF(F17&gt;=0.4,2,1))</f>
        <v>3</v>
      </c>
      <c r="H17" s="31" t="n">
        <f aca="false">F17-0.6</f>
        <v>0.0287200000000001</v>
      </c>
      <c r="I17" s="28" t="n">
        <f aca="false">D17*0.5+E17*0.5</f>
        <v>0.59365</v>
      </c>
      <c r="J17" s="69" t="n">
        <f aca="false">IF(I17&gt;=0.6,3,IF(I17&gt;=0.4,2,1))</f>
        <v>2</v>
      </c>
      <c r="K17" s="31" t="n">
        <f aca="false">I17-0.6</f>
        <v>-0.00634999999999997</v>
      </c>
      <c r="L17" s="28" t="n">
        <f aca="false">D17*0.9+E17*0.1</f>
        <v>0.64041</v>
      </c>
      <c r="M17" s="70" t="n">
        <f aca="false">IF(L17&gt;=0.6,3,IF(L17&gt;=0.4,2,1))</f>
        <v>3</v>
      </c>
      <c r="N17" s="31" t="n">
        <f aca="false">L17-0.6</f>
        <v>0.0404100000000001</v>
      </c>
      <c r="O17" s="71" t="n">
        <f aca="false">MAX(F17,I17,L17)</f>
        <v>0.64041</v>
      </c>
      <c r="P17" s="72" t="n">
        <f aca="false">MIN(F17,I17,L17)</f>
        <v>0.59365</v>
      </c>
    </row>
    <row r="18" customFormat="false" ht="19.5" hidden="false" customHeight="true" outlineLevel="0" collapsed="false">
      <c r="A18" s="21" t="n">
        <v>13</v>
      </c>
      <c r="B18" s="34" t="s">
        <v>49</v>
      </c>
      <c r="C18" s="23" t="s">
        <v>50</v>
      </c>
      <c r="D18" s="24" t="n">
        <f aca="false">'Input Data'!D20</f>
        <v>0.4606</v>
      </c>
      <c r="E18" s="26" t="n">
        <f aca="false">'Input Data'!E20</f>
        <v>0.5368</v>
      </c>
      <c r="F18" s="28" t="n">
        <f aca="false">D18*0.8+E18*0.2</f>
        <v>0.47584</v>
      </c>
      <c r="G18" s="25" t="n">
        <f aca="false">IF(F18&gt;=0.6,3,IF(F18&gt;=0.4,2,1))</f>
        <v>2</v>
      </c>
      <c r="H18" s="31" t="n">
        <f aca="false">F18-0.6</f>
        <v>-0.12416</v>
      </c>
      <c r="I18" s="28" t="n">
        <f aca="false">D18*0.5+E18*0.5</f>
        <v>0.4987</v>
      </c>
      <c r="J18" s="69" t="n">
        <f aca="false">IF(I18&gt;=0.6,3,IF(I18&gt;=0.4,2,1))</f>
        <v>2</v>
      </c>
      <c r="K18" s="31" t="n">
        <f aca="false">I18-0.6</f>
        <v>-0.1013</v>
      </c>
      <c r="L18" s="28" t="n">
        <f aca="false">D18*0.9+E18*0.1</f>
        <v>0.46822</v>
      </c>
      <c r="M18" s="70" t="n">
        <f aca="false">IF(L18&gt;=0.6,3,IF(L18&gt;=0.4,2,1))</f>
        <v>2</v>
      </c>
      <c r="N18" s="31" t="n">
        <f aca="false">L18-0.6</f>
        <v>-0.13178</v>
      </c>
      <c r="O18" s="71" t="n">
        <f aca="false">MAX(F18,I18,L18)</f>
        <v>0.4987</v>
      </c>
      <c r="P18" s="72" t="n">
        <f aca="false">MIN(F18,I18,L18)</f>
        <v>0.46822</v>
      </c>
    </row>
    <row r="19" customFormat="false" ht="19.5" hidden="false" customHeight="true" outlineLevel="0" collapsed="false">
      <c r="A19" s="32" t="n">
        <v>14</v>
      </c>
      <c r="B19" s="34" t="s">
        <v>51</v>
      </c>
      <c r="C19" s="33" t="s">
        <v>52</v>
      </c>
      <c r="D19" s="24" t="n">
        <f aca="false">'Input Data'!D21</f>
        <v>0.5295</v>
      </c>
      <c r="E19" s="26" t="n">
        <f aca="false">'Input Data'!E21</f>
        <v>0.822</v>
      </c>
      <c r="F19" s="28" t="n">
        <f aca="false">D19*0.8+E19*0.2</f>
        <v>0.588</v>
      </c>
      <c r="G19" s="25" t="n">
        <f aca="false">IF(F19&gt;=0.6,3,IF(F19&gt;=0.4,2,1))</f>
        <v>2</v>
      </c>
      <c r="H19" s="31" t="n">
        <f aca="false">F19-0.6</f>
        <v>-0.012</v>
      </c>
      <c r="I19" s="28" t="n">
        <f aca="false">D19*0.5+E19*0.5</f>
        <v>0.67575</v>
      </c>
      <c r="J19" s="69" t="n">
        <f aca="false">IF(I19&gt;=0.6,3,IF(I19&gt;=0.4,2,1))</f>
        <v>3</v>
      </c>
      <c r="K19" s="31" t="n">
        <f aca="false">I19-0.6</f>
        <v>0.07575</v>
      </c>
      <c r="L19" s="28" t="n">
        <f aca="false">D19*0.9+E19*0.1</f>
        <v>0.55875</v>
      </c>
      <c r="M19" s="70" t="n">
        <f aca="false">IF(L19&gt;=0.6,3,IF(L19&gt;=0.4,2,1))</f>
        <v>2</v>
      </c>
      <c r="N19" s="31" t="n">
        <f aca="false">L19-0.6</f>
        <v>-0.04125</v>
      </c>
      <c r="O19" s="71" t="n">
        <f aca="false">MAX(F19,I19,L19)</f>
        <v>0.67575</v>
      </c>
      <c r="P19" s="72" t="n">
        <f aca="false">MIN(F19,I19,L19)</f>
        <v>0.55875</v>
      </c>
    </row>
    <row r="20" customFormat="false" ht="19.5" hidden="false" customHeight="true" outlineLevel="0" collapsed="false">
      <c r="A20" s="21" t="n">
        <v>15</v>
      </c>
      <c r="B20" s="34" t="s">
        <v>53</v>
      </c>
      <c r="C20" s="23" t="s">
        <v>54</v>
      </c>
      <c r="D20" s="24" t="n">
        <f aca="false">'Input Data'!D22</f>
        <v>0.71</v>
      </c>
      <c r="E20" s="26" t="n">
        <f aca="false">'Input Data'!E22</f>
        <v>0.7294</v>
      </c>
      <c r="F20" s="28" t="n">
        <f aca="false">D20*0.8+E20*0.2</f>
        <v>0.71388</v>
      </c>
      <c r="G20" s="25" t="n">
        <f aca="false">IF(F20&gt;=0.6,3,IF(F20&gt;=0.4,2,1))</f>
        <v>3</v>
      </c>
      <c r="H20" s="31" t="n">
        <f aca="false">F20-0.6</f>
        <v>0.11388</v>
      </c>
      <c r="I20" s="28" t="n">
        <f aca="false">D20*0.5+E20*0.5</f>
        <v>0.7197</v>
      </c>
      <c r="J20" s="69" t="n">
        <f aca="false">IF(I20&gt;=0.6,3,IF(I20&gt;=0.4,2,1))</f>
        <v>3</v>
      </c>
      <c r="K20" s="31" t="n">
        <f aca="false">I20-0.6</f>
        <v>0.1197</v>
      </c>
      <c r="L20" s="28" t="n">
        <f aca="false">D20*0.9+E20*0.1</f>
        <v>0.71194</v>
      </c>
      <c r="M20" s="70" t="n">
        <f aca="false">IF(L20&gt;=0.6,3,IF(L20&gt;=0.4,2,1))</f>
        <v>3</v>
      </c>
      <c r="N20" s="31" t="n">
        <f aca="false">L20-0.6</f>
        <v>0.11194</v>
      </c>
      <c r="O20" s="71" t="n">
        <f aca="false">MAX(F20,I20,L20)</f>
        <v>0.7197</v>
      </c>
      <c r="P20" s="72" t="n">
        <f aca="false">MIN(F20,I20,L20)</f>
        <v>0.71194</v>
      </c>
    </row>
    <row r="22" customFormat="false" ht="21.75" hidden="false" customHeight="true" outlineLevel="0" collapsed="false">
      <c r="A22" s="36" t="s">
        <v>55</v>
      </c>
      <c r="B22" s="36"/>
      <c r="C22" s="36"/>
      <c r="D22" s="73" t="n">
        <f aca="false">AVERAGE(D6:D20)</f>
        <v>0.5995</v>
      </c>
      <c r="E22" s="73" t="n">
        <f aca="false">AVERAGE(E6:E20)</f>
        <v>0.679986666666667</v>
      </c>
      <c r="F22" s="73" t="n">
        <f aca="false">AVERAGE(F6:F20)</f>
        <v>0.615597333333333</v>
      </c>
      <c r="G22" s="74" t="n">
        <f aca="false">AVERAGE(G6:G20)</f>
        <v>2.46666666666667</v>
      </c>
      <c r="H22" s="73" t="n">
        <f aca="false">AVERAGE(H6:H20)</f>
        <v>0.0155973333333334</v>
      </c>
      <c r="I22" s="73" t="n">
        <f aca="false">AVERAGE(I6:I20)</f>
        <v>0.639743333333333</v>
      </c>
      <c r="J22" s="74" t="n">
        <f aca="false">AVERAGE(J6:J20)</f>
        <v>2.6</v>
      </c>
      <c r="K22" s="73" t="n">
        <f aca="false">AVERAGE(K6:K20)</f>
        <v>0.0397433333333334</v>
      </c>
      <c r="L22" s="73" t="n">
        <f aca="false">AVERAGE(L6:L20)</f>
        <v>0.607548666666667</v>
      </c>
      <c r="M22" s="74" t="n">
        <f aca="false">AVERAGE(M6:M20)</f>
        <v>2.46666666666667</v>
      </c>
      <c r="N22" s="73" t="n">
        <f aca="false">AVERAGE(N6:N20)</f>
        <v>0.00754866666666672</v>
      </c>
    </row>
  </sheetData>
  <mergeCells count="12">
    <mergeCell ref="A1:N1"/>
    <mergeCell ref="A2:N2"/>
    <mergeCell ref="A4:A5"/>
    <mergeCell ref="B4:B5"/>
    <mergeCell ref="C4:C5"/>
    <mergeCell ref="D4:D5"/>
    <mergeCell ref="E4:E5"/>
    <mergeCell ref="F4:H4"/>
    <mergeCell ref="I4:K4"/>
    <mergeCell ref="L4:N4"/>
    <mergeCell ref="O4:P4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10" min="4" style="0" width="14"/>
  </cols>
  <sheetData>
    <row r="1" customFormat="false" ht="42" hidden="false" customHeight="true" outlineLevel="0" collapsed="false">
      <c r="A1" s="44" t="s">
        <v>77</v>
      </c>
      <c r="B1" s="44"/>
      <c r="C1" s="44"/>
      <c r="D1" s="44"/>
      <c r="E1" s="44"/>
      <c r="F1" s="44"/>
      <c r="G1" s="44"/>
      <c r="H1" s="44"/>
      <c r="I1" s="44"/>
      <c r="J1" s="44"/>
    </row>
    <row r="2" customFormat="false" ht="15.75" hidden="false" customHeight="true" outlineLevel="0" collapsed="false">
      <c r="A2" s="2" t="s">
        <v>78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1.75" hidden="false" customHeight="true" outlineLevel="0" collapsed="false">
      <c r="A4" s="75" t="s">
        <v>79</v>
      </c>
      <c r="B4" s="75"/>
      <c r="C4" s="75"/>
      <c r="D4" s="15" t="s">
        <v>80</v>
      </c>
      <c r="E4" s="16" t="s">
        <v>81</v>
      </c>
      <c r="F4" s="47" t="s">
        <v>82</v>
      </c>
      <c r="G4" s="19" t="s">
        <v>83</v>
      </c>
      <c r="H4" s="76" t="s">
        <v>84</v>
      </c>
      <c r="I4" s="76"/>
      <c r="J4" s="76"/>
    </row>
    <row r="5" customFormat="false" ht="21.75" hidden="false" customHeight="true" outlineLevel="0" collapsed="false">
      <c r="A5" s="77" t="s">
        <v>85</v>
      </c>
      <c r="B5" s="77"/>
      <c r="C5" s="77"/>
      <c r="D5" s="78" t="n">
        <v>0.8</v>
      </c>
      <c r="E5" s="78" t="n">
        <v>0.2</v>
      </c>
      <c r="F5" s="79" t="n">
        <f aca="false">D5+E5</f>
        <v>1</v>
      </c>
      <c r="G5" s="80" t="n">
        <v>0.6</v>
      </c>
      <c r="H5" s="81" t="s">
        <v>86</v>
      </c>
      <c r="I5" s="81"/>
      <c r="J5" s="81"/>
    </row>
    <row r="7" customFormat="false" ht="25.5" hidden="false" customHeight="true" outlineLevel="0" collapsed="false">
      <c r="A7" s="14" t="s">
        <v>13</v>
      </c>
      <c r="B7" s="14" t="s">
        <v>87</v>
      </c>
      <c r="C7" s="14" t="s">
        <v>88</v>
      </c>
      <c r="D7" s="15" t="s">
        <v>89</v>
      </c>
      <c r="E7" s="16" t="s">
        <v>90</v>
      </c>
      <c r="F7" s="17" t="s">
        <v>91</v>
      </c>
      <c r="G7" s="18" t="s">
        <v>92</v>
      </c>
      <c r="H7" s="19" t="s">
        <v>93</v>
      </c>
      <c r="I7" s="20" t="s">
        <v>94</v>
      </c>
      <c r="J7" s="14" t="s">
        <v>95</v>
      </c>
    </row>
    <row r="8" customFormat="false" ht="19.5" hidden="false" customHeight="true" outlineLevel="0" collapsed="false">
      <c r="A8" s="21" t="n">
        <v>1</v>
      </c>
      <c r="B8" s="22" t="s">
        <v>25</v>
      </c>
      <c r="C8" s="23" t="s">
        <v>26</v>
      </c>
      <c r="D8" s="82" t="n">
        <v>0.7058</v>
      </c>
      <c r="E8" s="83" t="n">
        <v>0.7071</v>
      </c>
      <c r="F8" s="28" t="n">
        <f aca="false">D8*$D$5+E8*$E$5</f>
        <v>0.70606</v>
      </c>
      <c r="G8" s="84" t="n">
        <f aca="false">IF(F8&gt;=0.6,3,IF(F8&gt;=0.4,2,1))</f>
        <v>3</v>
      </c>
      <c r="H8" s="30" t="n">
        <f aca="false">$G$5</f>
        <v>0.6</v>
      </c>
      <c r="I8" s="31" t="n">
        <f aca="false">F8-H8</f>
        <v>0.10606</v>
      </c>
      <c r="J8" s="4" t="str">
        <f aca="false">IF(F8&gt;=H8,"✔ Met","✘ Not Met")</f>
        <v>✔ Met</v>
      </c>
    </row>
    <row r="9" customFormat="false" ht="19.5" hidden="false" customHeight="true" outlineLevel="0" collapsed="false">
      <c r="A9" s="32" t="n">
        <v>2</v>
      </c>
      <c r="B9" s="22" t="s">
        <v>27</v>
      </c>
      <c r="C9" s="33" t="s">
        <v>28</v>
      </c>
      <c r="D9" s="82" t="n">
        <v>0.46</v>
      </c>
      <c r="E9" s="83" t="n">
        <v>0.5838</v>
      </c>
      <c r="F9" s="28" t="n">
        <f aca="false">D9*$D$5+E9*$E$5</f>
        <v>0.48476</v>
      </c>
      <c r="G9" s="84" t="n">
        <f aca="false">IF(F9&gt;=0.6,3,IF(F9&gt;=0.4,2,1))</f>
        <v>2</v>
      </c>
      <c r="H9" s="30" t="n">
        <f aca="false">$G$5</f>
        <v>0.6</v>
      </c>
      <c r="I9" s="31" t="n">
        <f aca="false">F9-H9</f>
        <v>-0.11524</v>
      </c>
      <c r="J9" s="4" t="str">
        <f aca="false">IF(F9&gt;=H9,"✔ Met","✘ Not Met")</f>
        <v>✘ Not Met</v>
      </c>
    </row>
    <row r="10" customFormat="false" ht="19.5" hidden="false" customHeight="true" outlineLevel="0" collapsed="false">
      <c r="A10" s="21" t="n">
        <v>3</v>
      </c>
      <c r="B10" s="22" t="s">
        <v>29</v>
      </c>
      <c r="C10" s="23" t="s">
        <v>30</v>
      </c>
      <c r="D10" s="82" t="n">
        <v>0.56</v>
      </c>
      <c r="E10" s="83" t="n">
        <v>0.7239</v>
      </c>
      <c r="F10" s="28" t="n">
        <f aca="false">D10*$D$5+E10*$E$5</f>
        <v>0.59278</v>
      </c>
      <c r="G10" s="84" t="n">
        <f aca="false">IF(F10&gt;=0.6,3,IF(F10&gt;=0.4,2,1))</f>
        <v>2</v>
      </c>
      <c r="H10" s="30" t="n">
        <f aca="false">$G$5</f>
        <v>0.6</v>
      </c>
      <c r="I10" s="31" t="n">
        <f aca="false">F10-H10</f>
        <v>-0.00721999999999989</v>
      </c>
      <c r="J10" s="4" t="str">
        <f aca="false">IF(F10&gt;=H10,"✔ Met","✘ Not Met")</f>
        <v>✘ Not Met</v>
      </c>
    </row>
    <row r="11" customFormat="false" ht="19.5" hidden="false" customHeight="true" outlineLevel="0" collapsed="false">
      <c r="A11" s="32" t="n">
        <v>4</v>
      </c>
      <c r="B11" s="22" t="s">
        <v>31</v>
      </c>
      <c r="C11" s="33" t="s">
        <v>32</v>
      </c>
      <c r="D11" s="82" t="n">
        <v>0.5393</v>
      </c>
      <c r="E11" s="83" t="n">
        <v>0.8076</v>
      </c>
      <c r="F11" s="28" t="n">
        <f aca="false">D11*$D$5+E11*$E$5</f>
        <v>0.59296</v>
      </c>
      <c r="G11" s="84" t="n">
        <f aca="false">IF(F11&gt;=0.6,3,IF(F11&gt;=0.4,2,1))</f>
        <v>2</v>
      </c>
      <c r="H11" s="30" t="n">
        <f aca="false">$G$5</f>
        <v>0.6</v>
      </c>
      <c r="I11" s="31" t="n">
        <f aca="false">F11-H11</f>
        <v>-0.00703999999999994</v>
      </c>
      <c r="J11" s="4" t="str">
        <f aca="false">IF(F11&gt;=H11,"✔ Met","✘ Not Met")</f>
        <v>✘ Not Met</v>
      </c>
    </row>
    <row r="12" customFormat="false" ht="19.5" hidden="false" customHeight="true" outlineLevel="0" collapsed="false">
      <c r="A12" s="21" t="n">
        <v>5</v>
      </c>
      <c r="B12" s="22" t="s">
        <v>33</v>
      </c>
      <c r="C12" s="23" t="s">
        <v>34</v>
      </c>
      <c r="D12" s="82" t="n">
        <v>0.7446</v>
      </c>
      <c r="E12" s="83" t="n">
        <v>0.5025</v>
      </c>
      <c r="F12" s="28" t="n">
        <f aca="false">D12*$D$5+E12*$E$5</f>
        <v>0.69618</v>
      </c>
      <c r="G12" s="84" t="n">
        <f aca="false">IF(F12&gt;=0.6,3,IF(F12&gt;=0.4,2,1))</f>
        <v>3</v>
      </c>
      <c r="H12" s="30" t="n">
        <f aca="false">$G$5</f>
        <v>0.6</v>
      </c>
      <c r="I12" s="31" t="n">
        <f aca="false">F12-H12</f>
        <v>0.0961800000000002</v>
      </c>
      <c r="J12" s="4" t="str">
        <f aca="false">IF(F12&gt;=H12,"✔ Met","✘ Not Met")</f>
        <v>✔ Met</v>
      </c>
    </row>
    <row r="13" customFormat="false" ht="19.5" hidden="false" customHeight="true" outlineLevel="0" collapsed="false">
      <c r="A13" s="32" t="n">
        <v>6</v>
      </c>
      <c r="B13" s="22" t="s">
        <v>35</v>
      </c>
      <c r="C13" s="33" t="s">
        <v>36</v>
      </c>
      <c r="D13" s="82" t="n">
        <v>0.7207</v>
      </c>
      <c r="E13" s="83" t="n">
        <v>0.8062</v>
      </c>
      <c r="F13" s="28" t="n">
        <f aca="false">D13*$D$5+E13*$E$5</f>
        <v>0.7378</v>
      </c>
      <c r="G13" s="84" t="n">
        <f aca="false">IF(F13&gt;=0.6,3,IF(F13&gt;=0.4,2,1))</f>
        <v>3</v>
      </c>
      <c r="H13" s="30" t="n">
        <f aca="false">$G$5</f>
        <v>0.6</v>
      </c>
      <c r="I13" s="31" t="n">
        <f aca="false">F13-H13</f>
        <v>0.1378</v>
      </c>
      <c r="J13" s="4" t="str">
        <f aca="false">IF(F13&gt;=H13,"✔ Met","✘ Not Met")</f>
        <v>✔ Met</v>
      </c>
    </row>
    <row r="14" customFormat="false" ht="19.5" hidden="false" customHeight="true" outlineLevel="0" collapsed="false">
      <c r="A14" s="21" t="n">
        <v>7</v>
      </c>
      <c r="B14" s="22" t="s">
        <v>37</v>
      </c>
      <c r="C14" s="23" t="s">
        <v>38</v>
      </c>
      <c r="D14" s="82" t="n">
        <v>0.8069</v>
      </c>
      <c r="E14" s="83" t="n">
        <v>0.7653</v>
      </c>
      <c r="F14" s="28" t="n">
        <f aca="false">D14*$D$5+E14*$E$5</f>
        <v>0.79858</v>
      </c>
      <c r="G14" s="84" t="n">
        <f aca="false">IF(F14&gt;=0.6,3,IF(F14&gt;=0.4,2,1))</f>
        <v>3</v>
      </c>
      <c r="H14" s="30" t="n">
        <f aca="false">$G$5</f>
        <v>0.6</v>
      </c>
      <c r="I14" s="31" t="n">
        <f aca="false">F14-H14</f>
        <v>0.19858</v>
      </c>
      <c r="J14" s="4" t="str">
        <f aca="false">IF(F14&gt;=H14,"✔ Met","✘ Not Met")</f>
        <v>✔ Met</v>
      </c>
    </row>
    <row r="15" customFormat="false" ht="19.5" hidden="false" customHeight="true" outlineLevel="0" collapsed="false">
      <c r="A15" s="32" t="n">
        <v>8</v>
      </c>
      <c r="B15" s="22" t="s">
        <v>39</v>
      </c>
      <c r="C15" s="33" t="s">
        <v>40</v>
      </c>
      <c r="D15" s="82" t="n">
        <v>0.4848</v>
      </c>
      <c r="E15" s="83" t="n">
        <v>0.6293</v>
      </c>
      <c r="F15" s="28" t="n">
        <f aca="false">D15*$D$5+E15*$E$5</f>
        <v>0.5137</v>
      </c>
      <c r="G15" s="84" t="n">
        <f aca="false">IF(F15&gt;=0.6,3,IF(F15&gt;=0.4,2,1))</f>
        <v>2</v>
      </c>
      <c r="H15" s="30" t="n">
        <f aca="false">$G$5</f>
        <v>0.6</v>
      </c>
      <c r="I15" s="31" t="n">
        <f aca="false">F15-H15</f>
        <v>-0.0862999999999999</v>
      </c>
      <c r="J15" s="4" t="str">
        <f aca="false">IF(F15&gt;=H15,"✔ Met","✘ Not Met")</f>
        <v>✘ Not Met</v>
      </c>
    </row>
    <row r="16" customFormat="false" ht="19.5" hidden="false" customHeight="true" outlineLevel="0" collapsed="false">
      <c r="A16" s="21" t="n">
        <v>9</v>
      </c>
      <c r="B16" s="22" t="s">
        <v>41</v>
      </c>
      <c r="C16" s="23" t="s">
        <v>42</v>
      </c>
      <c r="D16" s="82" t="n">
        <v>0.6188</v>
      </c>
      <c r="E16" s="83" t="n">
        <v>0.5591</v>
      </c>
      <c r="F16" s="28" t="n">
        <f aca="false">D16*$D$5+E16*$E$5</f>
        <v>0.60686</v>
      </c>
      <c r="G16" s="84" t="n">
        <f aca="false">IF(F16&gt;=0.6,3,IF(F16&gt;=0.4,2,1))</f>
        <v>3</v>
      </c>
      <c r="H16" s="30" t="n">
        <f aca="false">$G$5</f>
        <v>0.6</v>
      </c>
      <c r="I16" s="31" t="n">
        <f aca="false">F16-H16</f>
        <v>0.00686000000000009</v>
      </c>
      <c r="J16" s="4" t="str">
        <f aca="false">IF(F16&gt;=H16,"✔ Met","✘ Not Met")</f>
        <v>✔ Met</v>
      </c>
    </row>
    <row r="17" customFormat="false" ht="19.5" hidden="false" customHeight="true" outlineLevel="0" collapsed="false">
      <c r="A17" s="32" t="n">
        <v>10</v>
      </c>
      <c r="B17" s="22" t="s">
        <v>43</v>
      </c>
      <c r="C17" s="33" t="s">
        <v>44</v>
      </c>
      <c r="D17" s="82" t="n">
        <v>0.4619</v>
      </c>
      <c r="E17" s="83" t="n">
        <v>0.8637</v>
      </c>
      <c r="F17" s="28" t="n">
        <f aca="false">D17*$D$5+E17*$E$5</f>
        <v>0.54226</v>
      </c>
      <c r="G17" s="84" t="n">
        <f aca="false">IF(F17&gt;=0.6,3,IF(F17&gt;=0.4,2,1))</f>
        <v>2</v>
      </c>
      <c r="H17" s="30" t="n">
        <f aca="false">$G$5</f>
        <v>0.6</v>
      </c>
      <c r="I17" s="31" t="n">
        <f aca="false">F17-H17</f>
        <v>-0.05774</v>
      </c>
      <c r="J17" s="4" t="str">
        <f aca="false">IF(F17&gt;=H17,"✔ Met","✘ Not Met")</f>
        <v>✘ Not Met</v>
      </c>
    </row>
    <row r="18" customFormat="false" ht="19.5" hidden="false" customHeight="true" outlineLevel="0" collapsed="false">
      <c r="A18" s="21" t="n">
        <v>11</v>
      </c>
      <c r="B18" s="22" t="s">
        <v>45</v>
      </c>
      <c r="C18" s="23" t="s">
        <v>46</v>
      </c>
      <c r="D18" s="82" t="n">
        <v>0.5375</v>
      </c>
      <c r="E18" s="83" t="n">
        <v>0.6279</v>
      </c>
      <c r="F18" s="28" t="n">
        <f aca="false">D18*$D$5+E18*$E$5</f>
        <v>0.55558</v>
      </c>
      <c r="G18" s="84" t="n">
        <f aca="false">IF(F18&gt;=0.6,3,IF(F18&gt;=0.4,2,1))</f>
        <v>2</v>
      </c>
      <c r="H18" s="30" t="n">
        <f aca="false">$G$5</f>
        <v>0.6</v>
      </c>
      <c r="I18" s="31" t="n">
        <f aca="false">F18-H18</f>
        <v>-0.04442</v>
      </c>
      <c r="J18" s="4" t="str">
        <f aca="false">IF(F18&gt;=H18,"✔ Met","✘ Not Met")</f>
        <v>✘ Not Met</v>
      </c>
    </row>
    <row r="19" customFormat="false" ht="19.5" hidden="false" customHeight="true" outlineLevel="0" collapsed="false">
      <c r="A19" s="32" t="n">
        <v>12</v>
      </c>
      <c r="B19" s="22" t="s">
        <v>47</v>
      </c>
      <c r="C19" s="33" t="s">
        <v>48</v>
      </c>
      <c r="D19" s="82" t="n">
        <v>0.6521</v>
      </c>
      <c r="E19" s="83" t="n">
        <v>0.5352</v>
      </c>
      <c r="F19" s="28" t="n">
        <f aca="false">D19*$D$5+E19*$E$5</f>
        <v>0.62872</v>
      </c>
      <c r="G19" s="84" t="n">
        <f aca="false">IF(F19&gt;=0.6,3,IF(F19&gt;=0.4,2,1))</f>
        <v>3</v>
      </c>
      <c r="H19" s="30" t="n">
        <f aca="false">$G$5</f>
        <v>0.6</v>
      </c>
      <c r="I19" s="31" t="n">
        <f aca="false">F19-H19</f>
        <v>0.0287200000000001</v>
      </c>
      <c r="J19" s="4" t="str">
        <f aca="false">IF(F19&gt;=H19,"✔ Met","✘ Not Met")</f>
        <v>✔ Met</v>
      </c>
    </row>
    <row r="20" customFormat="false" ht="19.5" hidden="false" customHeight="true" outlineLevel="0" collapsed="false">
      <c r="A20" s="21" t="n">
        <v>13</v>
      </c>
      <c r="B20" s="34" t="s">
        <v>49</v>
      </c>
      <c r="C20" s="23" t="s">
        <v>50</v>
      </c>
      <c r="D20" s="82" t="n">
        <v>0.4606</v>
      </c>
      <c r="E20" s="83" t="n">
        <v>0.5368</v>
      </c>
      <c r="F20" s="28" t="n">
        <f aca="false">D20*$D$5+E20*$E$5</f>
        <v>0.47584</v>
      </c>
      <c r="G20" s="27" t="n">
        <f aca="false">IF(F20&gt;=0.6,3,IF(F20&gt;=0.4,2,1))</f>
        <v>2</v>
      </c>
      <c r="H20" s="30" t="n">
        <f aca="false">$G$5</f>
        <v>0.6</v>
      </c>
      <c r="I20" s="31" t="n">
        <f aca="false">F20-H20</f>
        <v>-0.12416</v>
      </c>
      <c r="J20" s="4" t="str">
        <f aca="false">IF(F20&gt;=H20,"✔ Met","✘ Not Met")</f>
        <v>✘ Not Met</v>
      </c>
    </row>
    <row r="21" customFormat="false" ht="19.5" hidden="false" customHeight="true" outlineLevel="0" collapsed="false">
      <c r="A21" s="32" t="n">
        <v>14</v>
      </c>
      <c r="B21" s="34" t="s">
        <v>51</v>
      </c>
      <c r="C21" s="33" t="s">
        <v>52</v>
      </c>
      <c r="D21" s="82" t="n">
        <v>0.5295</v>
      </c>
      <c r="E21" s="83" t="n">
        <v>0.822</v>
      </c>
      <c r="F21" s="28" t="n">
        <f aca="false">D21*$D$5+E21*$E$5</f>
        <v>0.588</v>
      </c>
      <c r="G21" s="27" t="n">
        <f aca="false">IF(F21&gt;=0.6,3,IF(F21&gt;=0.4,2,1))</f>
        <v>2</v>
      </c>
      <c r="H21" s="30" t="n">
        <f aca="false">$G$5</f>
        <v>0.6</v>
      </c>
      <c r="I21" s="31" t="n">
        <f aca="false">F21-H21</f>
        <v>-0.012</v>
      </c>
      <c r="J21" s="4" t="str">
        <f aca="false">IF(F21&gt;=H21,"✔ Met","✘ Not Met")</f>
        <v>✘ Not Met</v>
      </c>
    </row>
    <row r="22" customFormat="false" ht="19.5" hidden="false" customHeight="true" outlineLevel="0" collapsed="false">
      <c r="A22" s="21" t="n">
        <v>15</v>
      </c>
      <c r="B22" s="34" t="s">
        <v>53</v>
      </c>
      <c r="C22" s="23" t="s">
        <v>54</v>
      </c>
      <c r="D22" s="82" t="n">
        <v>0.71</v>
      </c>
      <c r="E22" s="83" t="n">
        <v>0.7294</v>
      </c>
      <c r="F22" s="28" t="n">
        <f aca="false">D22*$D$5+E22*$E$5</f>
        <v>0.71388</v>
      </c>
      <c r="G22" s="27" t="n">
        <f aca="false">IF(F22&gt;=0.6,3,IF(F22&gt;=0.4,2,1))</f>
        <v>3</v>
      </c>
      <c r="H22" s="30" t="n">
        <f aca="false">$G$5</f>
        <v>0.6</v>
      </c>
      <c r="I22" s="31" t="n">
        <f aca="false">F22-H22</f>
        <v>0.11388</v>
      </c>
      <c r="J22" s="4" t="str">
        <f aca="false">IF(F22&gt;=H22,"✔ Met","✘ Not Met")</f>
        <v>✔ Met</v>
      </c>
    </row>
    <row r="24" customFormat="false" ht="24" hidden="false" customHeight="true" outlineLevel="0" collapsed="false">
      <c r="A24" s="36" t="s">
        <v>96</v>
      </c>
      <c r="B24" s="36"/>
      <c r="C24" s="36"/>
      <c r="D24" s="85" t="n">
        <f aca="false">AVERAGE(D8:D22)</f>
        <v>0.5995</v>
      </c>
      <c r="E24" s="86" t="n">
        <f aca="false">AVERAGE(E8:E22)</f>
        <v>0.679986666666667</v>
      </c>
      <c r="F24" s="87" t="n">
        <f aca="false">AVERAGE(F8:F22)</f>
        <v>0.615597333333333</v>
      </c>
      <c r="G24" s="88" t="n">
        <f aca="false">IF(F24&gt;=0.6,3,IF(F24&gt;=0.4,2,1))</f>
        <v>3</v>
      </c>
      <c r="H24" s="30" t="n">
        <f aca="false">$G$5</f>
        <v>0.6</v>
      </c>
      <c r="I24" s="31" t="n">
        <f aca="false">F24-H24</f>
        <v>0.0155973333333334</v>
      </c>
      <c r="J24" s="43" t="str">
        <f aca="false">IF(F24&gt;=H24,"✔ Met","✘ Not Met")</f>
        <v>✔ Met</v>
      </c>
    </row>
    <row r="26" customFormat="false" ht="24" hidden="false" customHeight="true" outlineLevel="0" collapsed="false">
      <c r="A26" s="62" t="s">
        <v>97</v>
      </c>
      <c r="B26" s="62"/>
      <c r="C26" s="62"/>
      <c r="D26" s="62"/>
      <c r="E26" s="62"/>
      <c r="F26" s="62"/>
      <c r="G26" s="62"/>
      <c r="H26" s="62"/>
      <c r="I26" s="62"/>
      <c r="J26" s="62"/>
    </row>
  </sheetData>
  <mergeCells count="8">
    <mergeCell ref="A1:J1"/>
    <mergeCell ref="A2:J2"/>
    <mergeCell ref="A4:C4"/>
    <mergeCell ref="H4:J4"/>
    <mergeCell ref="A5:C5"/>
    <mergeCell ref="H5:J5"/>
    <mergeCell ref="A24:C24"/>
    <mergeCell ref="A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2026-04-25T06:53:13Z</dcterms:created>
  <dc:creator>openpyxl</dc:creator>
  <dc:description/>
  <dc:language>en-US</dc:language>
  <cp:lastModifiedBy/>
  <dcterms:modified xsi:type="dcterms:W3CDTF">2026-04-25T06:53:13Z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