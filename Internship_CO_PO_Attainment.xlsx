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 tabRatio="500" activeTab="2"/>
  </bookViews>
  <sheets>
    <sheet name="Framework &amp; Rubrics" sheetId="1" r:id="rId1"/>
    <sheet name="CIE Marks Entry" sheetId="2" r:id="rId2"/>
    <sheet name="SEE Marks Entry" sheetId="3" r:id="rId3"/>
    <sheet name="Internship Register" sheetId="4" r:id="rId4"/>
    <sheet name="Final Marks Dashboard" sheetId="5" r:id="rId5"/>
    <sheet name="CO Attainment" sheetId="6" r:id="rId6"/>
    <sheet name="CO &amp; PO Attainment" sheetId="7" r:id="rId7"/>
    <sheet name="CO-PO Mapping Matrix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<sst xmlns="http://schemas.openxmlformats.org/spreadsheetml/2006/main" count="1303" uniqueCount="444">
  <si>
    <t>INDUSTRIAL TRAINING / INTERNSHIP  —  OBE EVALUATION FRAMEWORK &amp; RUBRICS</t>
  </si>
  <si>
    <t>B.Tech CSE  |  Dept. of Computer Science &amp; Engineering  |  AY 2024-25  |  Reference: Industrial Training / Internship Evaluation Guidelines</t>
  </si>
  <si>
    <t>ASSESSMENT STRUCTURE  (From Document — Section 3)</t>
  </si>
  <si>
    <t>CIE — Continuous Internal Evaluation (40 Marks)</t>
  </si>
  <si>
    <t>SEE — Semester End Evaluation (60 Marks)</t>
  </si>
  <si>
    <t>Attendance(5)+Weekly Progress(10)+Log Book(10)+Technical(10)+Mentor Feedback(5) = 40M</t>
  </si>
  <si>
    <t>Report(25)+Presentation(20)+Viva-Voce(15)+Demonstration(5) = 60M  |  Total = 100M</t>
  </si>
  <si>
    <t>FINAL SCORE = CIE (40M) + SEE (60M) = 100M  |  Attainment Level: L3≥80%  L2=60–79%  L1=40–59%  L0&lt;40%</t>
  </si>
  <si>
    <t>CIE COMPONENTS  (from document Section 6)</t>
  </si>
  <si>
    <t>ID</t>
  </si>
  <si>
    <t>Component</t>
  </si>
  <si>
    <t>Max Marks</t>
  </si>
  <si>
    <t>Description</t>
  </si>
  <si>
    <t>Excellent</t>
  </si>
  <si>
    <t>Good</t>
  </si>
  <si>
    <t>Average</t>
  </si>
  <si>
    <t>Poor</t>
  </si>
  <si>
    <t>Mapped COs</t>
  </si>
  <si>
    <t>Mapped POs</t>
  </si>
  <si>
    <t>CIE1</t>
  </si>
  <si>
    <t>Attendance &amp; Discipline</t>
  </si>
  <si>
    <t>Professional conduct, punctuality, workplace ethics, and compliance</t>
  </si>
  <si>
    <t>95–100% attendance; excellent conduct</t>
  </si>
  <si>
    <t>85–94%; good behavior</t>
  </si>
  <si>
    <t>75–84%; acceptable</t>
  </si>
  <si>
    <t>&lt;75%; unsatisfactory</t>
  </si>
  <si>
    <t>CO5</t>
  </si>
  <si>
    <t>PO8, PO9, PO10, PO11</t>
  </si>
  <si>
    <t>CIE2</t>
  </si>
  <si>
    <t>Weekly Progress Review</t>
  </si>
  <si>
    <t>Monitoring of learning progress, task completion, and continuous engagement</t>
  </si>
  <si>
    <t>Regular detailed reports; all tasks completed</t>
  </si>
  <si>
    <t>Mostly regular; most tasks done</t>
  </si>
  <si>
    <t>Irregular reports; partial tasks</t>
  </si>
  <si>
    <t>Incomplete/no reports</t>
  </si>
  <si>
    <t>CO1, CO2, CO3</t>
  </si>
  <si>
    <t>PO1, PO2, PO5</t>
  </si>
  <si>
    <t>CIE3</t>
  </si>
  <si>
    <t>Log Book / Work Diary</t>
  </si>
  <si>
    <t>Daily/weekly documentation of internship activities, technical clarity, neatness</t>
  </si>
  <si>
    <t>Comprehensive, neat, technically precise</t>
  </si>
  <si>
    <t>Good entries; minor issues</t>
  </si>
  <si>
    <t>Moderate; some gaps</t>
  </si>
  <si>
    <t>Incomplete or not maintained</t>
  </si>
  <si>
    <t>CO1, CO4</t>
  </si>
  <si>
    <t>PO1, PO2, PO5, PO10</t>
  </si>
  <si>
    <t>CIE4</t>
  </si>
  <si>
    <t>Technical Performance</t>
  </si>
  <si>
    <t>Practical competency, industrial task execution, tool/software usage</t>
  </si>
  <si>
    <t>Outstanding technical application</t>
  </si>
  <si>
    <t>Good practical performance</t>
  </si>
  <si>
    <t>Acceptable but limited</t>
  </si>
  <si>
    <t>Poor technical involvement</t>
  </si>
  <si>
    <t>PO1, PO2, PO3, PO5, PO11</t>
  </si>
  <si>
    <t>CIE5</t>
  </si>
  <si>
    <t>Industry Mentor Feedback</t>
  </si>
  <si>
    <t>Industry supervisor's holistic assessment of student performance</t>
  </si>
  <si>
    <t>Excellent rating from industry mentor</t>
  </si>
  <si>
    <t>Good mentor feedback</t>
  </si>
  <si>
    <t>Average; needs improvement</t>
  </si>
  <si>
    <t>Poor; significant concerns</t>
  </si>
  <si>
    <t>CO1, CO2, CO4, CO5</t>
  </si>
  <si>
    <t>SEE COMPONENTS  (from document Section 9)</t>
  </si>
  <si>
    <t>SEE1</t>
  </si>
  <si>
    <t>Internship Report</t>
  </si>
  <si>
    <t>Technical documentation, structure, content quality, analysis, references</t>
  </si>
  <si>
    <t>Excellent structure; comprehensive content; thorough analysis</t>
  </si>
  <si>
    <t>Good report; minor structural or content gaps</t>
  </si>
  <si>
    <t>Adequate report; several sections need improvement</t>
  </si>
  <si>
    <t>Poor/missing report; incomplete or copied content</t>
  </si>
  <si>
    <t>CO1, CO2, CO3, CO4</t>
  </si>
  <si>
    <t>PO1, PO2, PO3, PO5, PO10</t>
  </si>
  <si>
    <t>SEE2</t>
  </si>
  <si>
    <t>Presentation</t>
  </si>
  <si>
    <t>Communication clarity, slide quality, Q&amp;A handling, professional delivery</t>
  </si>
  <si>
    <t>Excellent delivery; clear slides; confident Q&amp;A</t>
  </si>
  <si>
    <t>Good presentation; minor delivery issues</t>
  </si>
  <si>
    <t>Adequate; limited clarity or confidence</t>
  </si>
  <si>
    <t>Poor presentation; unable to explain work</t>
  </si>
  <si>
    <t>PO9, PO10, PO11</t>
  </si>
  <si>
    <t>SEE3</t>
  </si>
  <si>
    <t>Viva-Voce</t>
  </si>
  <si>
    <t>Depth of technical knowledge, analytical thinking, problem-solving ability</t>
  </si>
  <si>
    <t>Excellent technical depth; accurate answers; strong analysis</t>
  </si>
  <si>
    <t>Good understanding; answers most questions</t>
  </si>
  <si>
    <t>Basic understanding; limited depth</t>
  </si>
  <si>
    <t>Unable to answer; poor knowledge of internship work</t>
  </si>
  <si>
    <t>SEE4</t>
  </si>
  <si>
    <t>Project/Task Demonstration</t>
  </si>
  <si>
    <t>Practical demonstration of internship work/project outcomes</t>
  </si>
  <si>
    <t>Outstanding demo; complete working implementation</t>
  </si>
  <si>
    <t>Good demo; mostly complete</t>
  </si>
  <si>
    <t>Partial demo; incomplete</t>
  </si>
  <si>
    <t>No meaningful demo</t>
  </si>
  <si>
    <t>CO2, CO3</t>
  </si>
  <si>
    <t>PO3, PO5, PO11</t>
  </si>
  <si>
    <t>ATTAINMENT LEVEL SCALE (from document)</t>
  </si>
  <si>
    <t>L3</t>
  </si>
  <si>
    <t>≥ 80%</t>
  </si>
  <si>
    <t>Excellent — Student fully met internship objectives; highly industry-ready</t>
  </si>
  <si>
    <t>L2</t>
  </si>
  <si>
    <t>60–79%</t>
  </si>
  <si>
    <t>Good — Student satisfactorily met objectives; moderately industry-ready</t>
  </si>
  <si>
    <t>L1</t>
  </si>
  <si>
    <t>40–59%</t>
  </si>
  <si>
    <t>Satisfactory — Partially met objectives; requires skill development</t>
  </si>
  <si>
    <t>L0</t>
  </si>
  <si>
    <t>&lt; 40%</t>
  </si>
  <si>
    <t>Inadequate — Did not meet objectives; major improvement needed</t>
  </si>
  <si>
    <t>INTERNSHIP CIE  —  CONTINUOUS INTERNAL EVALUATION MARKS ENTRY  (40 Marks)</t>
  </si>
  <si>
    <t>Enter marks in YELLOW cells per component per student  |  CIE = Attendance(5)+Weekly Progress(10)+Log Book(10)+Technical Performance(10)+Mentor Feedback(5) = 40M  |  Total, Grade, Attainment% auto-calculate</t>
  </si>
  <si>
    <t>Course:</t>
  </si>
  <si>
    <t>Industrial Training / Internship</t>
  </si>
  <si>
    <t>Course Code:</t>
  </si>
  <si>
    <t>CS4P01</t>
  </si>
  <si>
    <t>Semester:</t>
  </si>
  <si>
    <t>VII / VIII</t>
  </si>
  <si>
    <t>Coordinator:</t>
  </si>
  <si>
    <t>Student Information</t>
  </si>
  <si>
    <t>CIE COMPONENT MARKS  (Enter in Yellow Cells)</t>
  </si>
  <si>
    <t>RESULTS</t>
  </si>
  <si>
    <t>S.No | Student ID | Name</t>
  </si>
  <si>
    <t>CIE1
Attendance &amp; Discipline
(5M)</t>
  </si>
  <si>
    <t>CIE2
Weekly Progress Review
(10M)</t>
  </si>
  <si>
    <t>CIE3
Log Book / Work Diary
(10M)</t>
  </si>
  <si>
    <t>CIE4
Technical Performance
(10M)</t>
  </si>
  <si>
    <t>CIE5
Industry Mentor Feedback
(5M)</t>
  </si>
  <si>
    <t>CIE Total
(/40M)</t>
  </si>
  <si>
    <t>CIE%</t>
  </si>
  <si>
    <t>Grade</t>
  </si>
  <si>
    <t>CIE Att%</t>
  </si>
  <si>
    <t>Pass/Fail</t>
  </si>
  <si>
    <t>← Max marks →</t>
  </si>
  <si>
    <t>Max:5</t>
  </si>
  <si>
    <t>Max:10</t>
  </si>
  <si>
    <t>23A01A0501</t>
  </si>
  <si>
    <t>Aarav Sharma</t>
  </si>
  <si>
    <t>23A01A0502</t>
  </si>
  <si>
    <t>Priya Patel</t>
  </si>
  <si>
    <t>23A01A0503</t>
  </si>
  <si>
    <t>Rohan Mehta</t>
  </si>
  <si>
    <t>23A01A0504</t>
  </si>
  <si>
    <t>Sneha Reddy</t>
  </si>
  <si>
    <t>23A01A0505</t>
  </si>
  <si>
    <t>Vikram Singh</t>
  </si>
  <si>
    <t>23A01A0506</t>
  </si>
  <si>
    <t>Anjali Nair</t>
  </si>
  <si>
    <t>23A01A0507</t>
  </si>
  <si>
    <t>Kiran Kumar</t>
  </si>
  <si>
    <t>23A01A0508</t>
  </si>
  <si>
    <t>Divya Rao</t>
  </si>
  <si>
    <t>23A01A0509</t>
  </si>
  <si>
    <t>Arjun Gupta</t>
  </si>
  <si>
    <t>23A01A0510</t>
  </si>
  <si>
    <t>Pooja Iyer</t>
  </si>
  <si>
    <t>23A01A0511</t>
  </si>
  <si>
    <t>Rahul Verma</t>
  </si>
  <si>
    <t>23A01A0512</t>
  </si>
  <si>
    <t>Meera Joshi</t>
  </si>
  <si>
    <t>23A01A0513</t>
  </si>
  <si>
    <t>Suresh Pillai</t>
  </si>
  <si>
    <t>23A01A0514</t>
  </si>
  <si>
    <t>Kavya Menon</t>
  </si>
  <si>
    <t>23A01A0515</t>
  </si>
  <si>
    <t>Aditya Bhat</t>
  </si>
  <si>
    <t>23A01A0516</t>
  </si>
  <si>
    <t>Lakshmi Das</t>
  </si>
  <si>
    <t>23A01A0517</t>
  </si>
  <si>
    <t>Nikhil Tiwari</t>
  </si>
  <si>
    <t>23A01A0518</t>
  </si>
  <si>
    <t>Riya Shah</t>
  </si>
  <si>
    <t>23A01A0519</t>
  </si>
  <si>
    <t>Manish Yadav</t>
  </si>
  <si>
    <t>23A01A0520</t>
  </si>
  <si>
    <t>Deepa Nambiar</t>
  </si>
  <si>
    <t>23A01A0521</t>
  </si>
  <si>
    <t>Siddharth Roy</t>
  </si>
  <si>
    <t>23A01A0522</t>
  </si>
  <si>
    <t>Revathi Kumar</t>
  </si>
  <si>
    <t>23A01A0523</t>
  </si>
  <si>
    <t>Aakash Jain</t>
  </si>
  <si>
    <t>23A01A0524</t>
  </si>
  <si>
    <t>Bhavana Singh</t>
  </si>
  <si>
    <t>23A01A0525</t>
  </si>
  <si>
    <t>Chetan Rao</t>
  </si>
  <si>
    <t>23A01A0526</t>
  </si>
  <si>
    <t>Divya Nair</t>
  </si>
  <si>
    <t>23A01A0527</t>
  </si>
  <si>
    <t>Eshan Mehta</t>
  </si>
  <si>
    <t>23A01A0528</t>
  </si>
  <si>
    <t>Farah Khan</t>
  </si>
  <si>
    <t>23A01A0529</t>
  </si>
  <si>
    <t>Ganesh Iyer</t>
  </si>
  <si>
    <t>23A01A0530</t>
  </si>
  <si>
    <t>Hema Pillai</t>
  </si>
  <si>
    <t>23A01A0531</t>
  </si>
  <si>
    <t>Ishaan Dubey</t>
  </si>
  <si>
    <t>23A01A0532</t>
  </si>
  <si>
    <t>Jaya Menon</t>
  </si>
  <si>
    <t>23A01A0533</t>
  </si>
  <si>
    <t>Karthik Rao</t>
  </si>
  <si>
    <t>23A01A0534</t>
  </si>
  <si>
    <t>Lalitha S</t>
  </si>
  <si>
    <t>23A01A0535</t>
  </si>
  <si>
    <t>Manoj Kumar</t>
  </si>
  <si>
    <t>23A01A0536</t>
  </si>
  <si>
    <t>Nandini G</t>
  </si>
  <si>
    <t>23A01A0537</t>
  </si>
  <si>
    <t>Om Prakash</t>
  </si>
  <si>
    <t>23A01A0538</t>
  </si>
  <si>
    <t>Preeti Shah</t>
  </si>
  <si>
    <t>23A01A0539</t>
  </si>
  <si>
    <t>Qasim Ali</t>
  </si>
  <si>
    <t>23A01A0540</t>
  </si>
  <si>
    <t>Ranjani P</t>
  </si>
  <si>
    <t>23A01A0541</t>
  </si>
  <si>
    <t>Sagar Rao</t>
  </si>
  <si>
    <t>23A01A0542</t>
  </si>
  <si>
    <t>Thilaga M</t>
  </si>
  <si>
    <t>23A01A0543</t>
  </si>
  <si>
    <t>Uma Priya</t>
  </si>
  <si>
    <t>23A01A0544</t>
  </si>
  <si>
    <t>Varun Nair</t>
  </si>
  <si>
    <t>23A01A0545</t>
  </si>
  <si>
    <t>Waqar Ahmed</t>
  </si>
  <si>
    <t>23A01A0546</t>
  </si>
  <si>
    <t>Yamini K</t>
  </si>
  <si>
    <t>23A01A0547</t>
  </si>
  <si>
    <t>Zaheer Khan</t>
  </si>
  <si>
    <t>23A01A0548</t>
  </si>
  <si>
    <t>Aditi S</t>
  </si>
  <si>
    <t>23A01A0549</t>
  </si>
  <si>
    <t>Balaji R</t>
  </si>
  <si>
    <t>23A01A0550</t>
  </si>
  <si>
    <t>Chandra V</t>
  </si>
  <si>
    <t>CLASS AVERAGE</t>
  </si>
  <si>
    <t>INTERNSHIP SEE  —  SEMESTER END EVALUATION MARKS ENTRY  (60 Marks)</t>
  </si>
  <si>
    <t>Enter marks in YELLOW cells  |  SEE = Internship Report(25)+Presentation(20)+Viva-Voce(15)+Demonstration(5) = 60M  |  Total, Grade, Attainment% auto-calculate</t>
  </si>
  <si>
    <t>SEE COMPONENT MARKS  (Enter in Yellow Cells)</t>
  </si>
  <si>
    <t>SEE1
Internship Report
(25M)</t>
  </si>
  <si>
    <t>SEE2
Presentation
(20M)</t>
  </si>
  <si>
    <t>SEE3
Viva-Voce
(15M)</t>
  </si>
  <si>
    <t>SEE4
Project/Task Demonstration
(5M)</t>
  </si>
  <si>
    <t>SEE Total
(/60M)</t>
  </si>
  <si>
    <t>SEE%</t>
  </si>
  <si>
    <t>SEE Att%</t>
  </si>
  <si>
    <t>INTERNSHIP REGISTER  —  STUDENT × ORGANISATION × EVALUATION TYPE</t>
  </si>
  <si>
    <t>B.Tech CSE  |  AY 2024-25  |  50 Students  |  CIE=40M  SEE=60M  Total=100M</t>
  </si>
  <si>
    <t>#</t>
  </si>
  <si>
    <t>Student ID</t>
  </si>
  <si>
    <t>Student Name</t>
  </si>
  <si>
    <t>Organization</t>
  </si>
  <si>
    <t>City/Location</t>
  </si>
  <si>
    <t>Internship Type</t>
  </si>
  <si>
    <t>Duration</t>
  </si>
  <si>
    <t>CO Coverage</t>
  </si>
  <si>
    <t>Guide Faculty</t>
  </si>
  <si>
    <t>Status</t>
  </si>
  <si>
    <t>Infosys Ltd.</t>
  </si>
  <si>
    <t>Bangalore</t>
  </si>
  <si>
    <t>Project-Based</t>
  </si>
  <si>
    <t>8 Weeks</t>
  </si>
  <si>
    <t>CO1–CO5</t>
  </si>
  <si>
    <t>Dr. A. Kumar</t>
  </si>
  <si>
    <t>Completed</t>
  </si>
  <si>
    <t>TCS Innovation Labs</t>
  </si>
  <si>
    <t>Hyderabad</t>
  </si>
  <si>
    <t>Skill-Based</t>
  </si>
  <si>
    <t>6 Weeks</t>
  </si>
  <si>
    <t>Ms. R. Patel</t>
  </si>
  <si>
    <t>Wipro Technologies</t>
  </si>
  <si>
    <t>Pune</t>
  </si>
  <si>
    <t>Research</t>
  </si>
  <si>
    <t>10 Weeks</t>
  </si>
  <si>
    <t>Dr. L. Mehta</t>
  </si>
  <si>
    <t>Cognizant</t>
  </si>
  <si>
    <t>Chennai</t>
  </si>
  <si>
    <t>Mr. S. Rao</t>
  </si>
  <si>
    <t>HCL Technologies</t>
  </si>
  <si>
    <t>Noida</t>
  </si>
  <si>
    <t>Accenture</t>
  </si>
  <si>
    <t>Virtual/Online</t>
  </si>
  <si>
    <t>4 Weeks</t>
  </si>
  <si>
    <t>Tech Mahindra</t>
  </si>
  <si>
    <t>Microsoft India</t>
  </si>
  <si>
    <t>12 Weeks</t>
  </si>
  <si>
    <t>Amazon Development Centre</t>
  </si>
  <si>
    <t>IBM India</t>
  </si>
  <si>
    <t>Capgemini</t>
  </si>
  <si>
    <t>Mumbai</t>
  </si>
  <si>
    <t>Zoho Corporation</t>
  </si>
  <si>
    <t>ISRO Satellite Centre</t>
  </si>
  <si>
    <t>DRDO</t>
  </si>
  <si>
    <t>Google India</t>
  </si>
  <si>
    <t>Flipkart</t>
  </si>
  <si>
    <t>Oracle India</t>
  </si>
  <si>
    <t>SAP Labs India</t>
  </si>
  <si>
    <t>Intel Technology India</t>
  </si>
  <si>
    <t>Qualcomm India</t>
  </si>
  <si>
    <t>L&amp;T Infotech</t>
  </si>
  <si>
    <t>Mphasis</t>
  </si>
  <si>
    <t>Persistent Systems</t>
  </si>
  <si>
    <t>Hexaware Technologies</t>
  </si>
  <si>
    <t>NTT Data India</t>
  </si>
  <si>
    <t>Robert Bosch</t>
  </si>
  <si>
    <t>Siemens India</t>
  </si>
  <si>
    <t>Tata Elxsi</t>
  </si>
  <si>
    <t>Trivandrum</t>
  </si>
  <si>
    <t>Larsen &amp; Toubro</t>
  </si>
  <si>
    <t>Schneider Electric</t>
  </si>
  <si>
    <t>Dell Technologies</t>
  </si>
  <si>
    <t>HP India</t>
  </si>
  <si>
    <t>Mindtree</t>
  </si>
  <si>
    <t>Mubea India</t>
  </si>
  <si>
    <t>NEC Corporation India</t>
  </si>
  <si>
    <t>Subex Limited</t>
  </si>
  <si>
    <t>NIIT Technologies</t>
  </si>
  <si>
    <t>Gurgaon</t>
  </si>
  <si>
    <t>Cyient Ltd.</t>
  </si>
  <si>
    <t>Mastech Holdings</t>
  </si>
  <si>
    <t>Syntel India</t>
  </si>
  <si>
    <t>BNY Mellon Tech</t>
  </si>
  <si>
    <t>KPIT Technologies</t>
  </si>
  <si>
    <t>Mindteck India</t>
  </si>
  <si>
    <t>Geometric Solutions</t>
  </si>
  <si>
    <t>UST Global</t>
  </si>
  <si>
    <t>Ramco Systems</t>
  </si>
  <si>
    <t>CDAC</t>
  </si>
  <si>
    <t>Tata Consultancy Services</t>
  </si>
  <si>
    <t>Infosys BPO</t>
  </si>
  <si>
    <t>Mysore</t>
  </si>
  <si>
    <t>Sonata Software</t>
  </si>
  <si>
    <t>INTERNSHIP  —  FINAL MARKS DASHBOARD  (CIE 40M + SEE 60M = 100M)</t>
  </si>
  <si>
    <t>Final = CIE (40M) + SEE (60M) = 100M  |  Grade: O≥80  A+≥70  A≥60  B≥40  F&lt;40  |  Level: L3≥80%  L2=60–79%  L1=40–59%  L0&lt;40%  |  Auto-linked from CIE &amp; SEE sheets</t>
  </si>
  <si>
    <t>Student Info</t>
  </si>
  <si>
    <t>MARKS BREAKDOWN</t>
  </si>
  <si>
    <t>RESULT &amp; ATTAINMENT</t>
  </si>
  <si>
    <t>CIE
(/40M)</t>
  </si>
  <si>
    <t>SEE
(/60M)</t>
  </si>
  <si>
    <t>Final
(/100M)</t>
  </si>
  <si>
    <t>Final%</t>
  </si>
  <si>
    <t>Level
(L0–L3)</t>
  </si>
  <si>
    <t>CO Att
Avg%</t>
  </si>
  <si>
    <t>Remarks</t>
  </si>
  <si>
    <t>HIGHEST SCORE</t>
  </si>
  <si>
    <t>LOWEST SCORE</t>
  </si>
  <si>
    <t>L3 COUNT (≥80%)</t>
  </si>
  <si>
    <t>L2 COUNT (≥60%)</t>
  </si>
  <si>
    <t>PASS COUNT</t>
  </si>
  <si>
    <t>FAIL COUNT</t>
  </si>
  <si>
    <t>INTERNSHIP  —  COURSE OUTCOME (CO) ATTAINMENT</t>
  </si>
  <si>
    <t>CO marks = CO weight proportion × Final marks  |  CO Att% = Students scoring ≥60% CO target / Total × 100  |  Level: L3≥80%  L2=60–79%  L1=40–59%  L0&lt;40%</t>
  </si>
  <si>
    <t>CO-WISE MARKS  (Auto-derived from Final Score)</t>
  </si>
  <si>
    <t>SUMMARY</t>
  </si>
  <si>
    <t>CO1
(20M max)</t>
  </si>
  <si>
    <t>CO2
(20M max)</t>
  </si>
  <si>
    <t>CO3
(20M max)</t>
  </si>
  <si>
    <t>CO4
(20M max)</t>
  </si>
  <si>
    <t>CO5
(20M max)</t>
  </si>
  <si>
    <t>Level
(L0-L3)</t>
  </si>
  <si>
    <t>STUDENTS ≥ 60% CO TARGET</t>
  </si>
  <si>
    <t>CO ATT% (Students≥Target/Total×100)</t>
  </si>
  <si>
    <t>CO ATT LEVEL</t>
  </si>
  <si>
    <t>INTERNSHIP  —  CO &amp; PO ATTAINMENT SUMMARY  (Programme Level)</t>
  </si>
  <si>
    <t>CO Att% = Students ≥ 60% CO target / Total × 100  |  PO Att = SUMPRODUCT(CO_Att × Strength) / SUM(Strength)  |  Target ≥ 60%  |  Level: L3≥80%  L2=60–79%  L1=40–59%  L0&lt;40%</t>
  </si>
  <si>
    <t>LEVELS →</t>
  </si>
  <si>
    <t>L3: ≥80% Excellent</t>
  </si>
  <si>
    <t>L2: 60–79% Good</t>
  </si>
  <si>
    <t>L1: 40–59% Satisfactory</t>
  </si>
  <si>
    <t>L0: &lt;40% Inadequate</t>
  </si>
  <si>
    <t>SECTION A  —  COURSE OUTCOME (CO) ATTAINMENT</t>
  </si>
  <si>
    <t>CO</t>
  </si>
  <si>
    <t>Bloom's</t>
  </si>
  <si>
    <t>POs Mapped</t>
  </si>
  <si>
    <t>PSO</t>
  </si>
  <si>
    <t>CO Att%</t>
  </si>
  <si>
    <t>Target</t>
  </si>
  <si>
    <t>Gap</t>
  </si>
  <si>
    <t>Level</t>
  </si>
  <si>
    <t>CO1</t>
  </si>
  <si>
    <t>Apply theoretical knowledge to industrial processes and real-world technical tasks</t>
  </si>
  <si>
    <t>L3 – Apply</t>
  </si>
  <si>
    <t>PO1, PO2, PO3</t>
  </si>
  <si>
    <t>PSO2</t>
  </si>
  <si>
    <t>CO2</t>
  </si>
  <si>
    <t>Analyse industrial problems and propose technical solutions using engineering principles</t>
  </si>
  <si>
    <t>L4 – Analyse</t>
  </si>
  <si>
    <t>PSO1</t>
  </si>
  <si>
    <t>CO3</t>
  </si>
  <si>
    <t>Use modern tools, technologies and software in industrial environments effectively</t>
  </si>
  <si>
    <t>PO5</t>
  </si>
  <si>
    <t>CO4</t>
  </si>
  <si>
    <t>Communicate technical findings through documentation, reports and presentations</t>
  </si>
  <si>
    <t>PO10, PO11</t>
  </si>
  <si>
    <t>PSO3</t>
  </si>
  <si>
    <t>Demonstrate professional ethics, teamwork, and responsibility in workplace settings</t>
  </si>
  <si>
    <t>SECTION B  —  PROGRAMME OUTCOME (PO) ATTAINMENT  (Linking Internship → POs/PSOs)</t>
  </si>
  <si>
    <t>PO</t>
  </si>
  <si>
    <t>Linked COs (Strength)</t>
  </si>
  <si>
    <t>PO Att%</t>
  </si>
  <si>
    <t>PO1</t>
  </si>
  <si>
    <t>Engineering Knowledge</t>
  </si>
  <si>
    <t>CO1(S3), CO2(S2)</t>
  </si>
  <si>
    <t>PO2</t>
  </si>
  <si>
    <t>Problem Analysis</t>
  </si>
  <si>
    <t>CO1(S2), CO2(S3)</t>
  </si>
  <si>
    <t>PO3</t>
  </si>
  <si>
    <t>Design/Development of Solutions</t>
  </si>
  <si>
    <t>CO1(S2), CO2(S2)</t>
  </si>
  <si>
    <t>PO4</t>
  </si>
  <si>
    <t>Conduct Investigations</t>
  </si>
  <si>
    <t>—</t>
  </si>
  <si>
    <t>Modern Tool Usage</t>
  </si>
  <si>
    <t>CO3(S3)</t>
  </si>
  <si>
    <t>PO6</t>
  </si>
  <si>
    <t>The Engineer and Society</t>
  </si>
  <si>
    <t>PO7</t>
  </si>
  <si>
    <t>Environment and Sustainability</t>
  </si>
  <si>
    <t>PO8</t>
  </si>
  <si>
    <t>Ethics</t>
  </si>
  <si>
    <t>CO5(S3)</t>
  </si>
  <si>
    <t>PO9</t>
  </si>
  <si>
    <t>Individual and Team Work</t>
  </si>
  <si>
    <t>PO10</t>
  </si>
  <si>
    <t>Communication</t>
  </si>
  <si>
    <t>CO4(S3), CO5(S2)</t>
  </si>
  <si>
    <t>PO11</t>
  </si>
  <si>
    <t>Project Management and Finance</t>
  </si>
  <si>
    <t>CO4(S2), CO5(S2)</t>
  </si>
  <si>
    <t>PO12</t>
  </si>
  <si>
    <t>Life-long Learning</t>
  </si>
  <si>
    <t>SECTION C  —  PSO ATTAINMENT  (Internship → PSO Linkage)</t>
  </si>
  <si>
    <t>Linked COs</t>
  </si>
  <si>
    <t>PSO Att%</t>
  </si>
  <si>
    <t>Apply CS/Engineering knowledge to analyse industrial and research problems</t>
  </si>
  <si>
    <t>Use modern tools and technologies to implement practical engineering solutions</t>
  </si>
  <si>
    <t>CO1, CO3</t>
  </si>
  <si>
    <t>Demonstrate professional communication, ethics and team skills in workplace settings</t>
  </si>
  <si>
    <t>CO4, CO5</t>
  </si>
  <si>
    <t>INTERNSHIP  —  CO–PO / CO–PSO MAPPING MATRIX  (Strength: 3=High  2=Medium  1=Low)</t>
  </si>
  <si>
    <t>From document — Industrial Training / Internship OBE Framework  |  PO Attainment = SUMPRODUCT(CO_Att × Strength) / SUM(Strength)</t>
  </si>
  <si>
    <t>PO Coverage</t>
  </si>
  <si>
    <t>PROGRAMME OUTCOMES (PO1–PO12)</t>
  </si>
  <si>
    <t>PSOs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</si>
</sst>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"/>
    <numFmt numFmtId="181" formatCode="\+0.0;\-0.0;0.0"/>
    <numFmt numFmtId="182" formatCode="0.0%"/>
  </numFmts>
  <fonts count="49">
    <font>
      <sz val="11"/>
      <color theme="1"/>
      <name val="Calibri"/>
      <charset val="1"/>
    </font>
    <font>
      <b/>
      <sz val="13"/>
      <color rgb="FFFFFFFF"/>
      <name val="Arial"/>
      <charset val="1"/>
    </font>
    <font>
      <i/>
      <sz val="8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8"/>
      <color rgb="FF404040"/>
      <name val="Arial"/>
      <charset val="1"/>
    </font>
    <font>
      <sz val="8"/>
      <color rgb="FFFFFFFF"/>
      <name val="Arial"/>
      <charset val="1"/>
    </font>
    <font>
      <b/>
      <sz val="11"/>
      <color rgb="FF404040"/>
      <name val="Arial"/>
      <charset val="1"/>
    </font>
    <font>
      <sz val="11"/>
      <color rgb="FFCCCCCC"/>
      <name val="Arial"/>
      <charset val="1"/>
    </font>
    <font>
      <b/>
      <sz val="11"/>
      <color rgb="FF7030A0"/>
      <name val="Arial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404040"/>
      <name val="Arial"/>
      <charset val="1"/>
    </font>
    <font>
      <b/>
      <sz val="11"/>
      <color rgb="FFFFFFFF"/>
      <name val="Arial"/>
      <charset val="1"/>
    </font>
    <font>
      <sz val="9"/>
      <color rgb="FF404040"/>
      <name val="Arial"/>
      <charset val="1"/>
    </font>
    <font>
      <b/>
      <sz val="10"/>
      <color rgb="FF404040"/>
      <name val="Arial"/>
      <charset val="1"/>
    </font>
    <font>
      <i/>
      <sz val="8"/>
      <color rgb="FF404040"/>
      <name val="Arial"/>
      <charset val="1"/>
    </font>
    <font>
      <sz val="9"/>
      <color rgb="FFAAAAAA"/>
      <name val="Arial"/>
      <charset val="1"/>
    </font>
    <font>
      <i/>
      <sz val="9"/>
      <color rgb="FF404040"/>
      <name val="Arial"/>
      <charset val="1"/>
    </font>
    <font>
      <b/>
      <sz val="10"/>
      <color rgb="FF1F3864"/>
      <name val="Arial"/>
      <charset val="1"/>
    </font>
    <font>
      <b/>
      <sz val="15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1F3864"/>
      <name val="Arial"/>
      <charset val="1"/>
    </font>
    <font>
      <sz val="8"/>
      <color rgb="FF375623"/>
      <name val="Arial"/>
      <charset val="1"/>
    </font>
    <font>
      <sz val="8"/>
      <color rgb="FF2E75B6"/>
      <name val="Arial"/>
      <charset val="1"/>
    </font>
    <font>
      <sz val="8"/>
      <color rgb="FFBF8F00"/>
      <name val="Arial"/>
      <charset val="1"/>
    </font>
    <font>
      <sz val="8"/>
      <color rgb="FF8B0000"/>
      <name val="Arial"/>
      <charset val="1"/>
    </font>
    <font>
      <sz val="9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375623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EBF3FB"/>
      </patternFill>
    </fill>
    <fill>
      <patternFill patternType="solid">
        <fgColor rgb="FF00695C"/>
        <bgColor rgb="FF008080"/>
      </patternFill>
    </fill>
    <fill>
      <patternFill patternType="solid">
        <fgColor rgb="FFE2EFDA"/>
        <bgColor rgb="FFE0F2F1"/>
      </patternFill>
    </fill>
    <fill>
      <patternFill patternType="solid">
        <fgColor rgb="FFFFF2CC"/>
        <bgColor rgb="FFFFF8DC"/>
      </patternFill>
    </fill>
    <fill>
      <patternFill patternType="solid">
        <fgColor rgb="FFE2D9F3"/>
        <bgColor rgb="FFE2EFDA"/>
      </patternFill>
    </fill>
    <fill>
      <patternFill patternType="solid">
        <fgColor rgb="FFFFFFFF"/>
        <bgColor rgb="FFFFF8DC"/>
      </patternFill>
    </fill>
    <fill>
      <patternFill patternType="solid">
        <fgColor rgb="FFEBF3FB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70AD47"/>
        <bgColor rgb="FF99CC00"/>
      </patternFill>
    </fill>
    <fill>
      <patternFill patternType="solid">
        <fgColor rgb="FFE0F2F1"/>
        <bgColor rgb="FFEBF3FB"/>
      </patternFill>
    </fill>
    <fill>
      <patternFill patternType="solid">
        <fgColor rgb="FFC55A11"/>
        <bgColor rgb="FF993300"/>
      </patternFill>
    </fill>
    <fill>
      <patternFill patternType="solid">
        <fgColor rgb="FFFFF8DC"/>
        <bgColor rgb="FFFFF2CC"/>
      </patternFill>
    </fill>
    <fill>
      <patternFill patternType="solid">
        <fgColor rgb="FF375623"/>
        <bgColor rgb="FF404040"/>
      </patternFill>
    </fill>
    <fill>
      <patternFill patternType="solid">
        <fgColor rgb="FF8B0000"/>
        <bgColor rgb="FF800000"/>
      </patternFill>
    </fill>
    <fill>
      <patternFill patternType="solid">
        <fgColor rgb="FFBDD7EE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595959"/>
      </top>
      <bottom style="medium">
        <color auto="1"/>
      </bottom>
      <diagonal/>
    </border>
    <border>
      <left style="medium">
        <color auto="1"/>
      </left>
      <right/>
      <top style="thin">
        <color rgb="FF595959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8" fillId="0" borderId="0" applyBorder="0" applyAlignment="0" applyProtection="0"/>
    <xf numFmtId="177" fontId="28" fillId="0" borderId="0" applyBorder="0" applyAlignment="0" applyProtection="0"/>
    <xf numFmtId="9" fontId="28" fillId="0" borderId="0" applyBorder="0" applyAlignment="0" applyProtection="0"/>
    <xf numFmtId="178" fontId="28" fillId="0" borderId="0" applyBorder="0" applyAlignment="0" applyProtection="0"/>
    <xf numFmtId="179" fontId="28" fillId="0" borderId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1" borderId="6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2" borderId="9" applyNumberFormat="0" applyAlignment="0" applyProtection="0">
      <alignment vertical="center"/>
    </xf>
    <xf numFmtId="0" fontId="39" fillId="23" borderId="10" applyNumberFormat="0" applyAlignment="0" applyProtection="0">
      <alignment vertical="center"/>
    </xf>
    <xf numFmtId="0" fontId="40" fillId="23" borderId="9" applyNumberFormat="0" applyAlignment="0" applyProtection="0">
      <alignment vertical="center"/>
    </xf>
    <xf numFmtId="0" fontId="41" fillId="24" borderId="11" applyNumberFormat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</cellStyleXfs>
  <cellXfs count="1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left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center" vertical="center"/>
    </xf>
    <xf numFmtId="180" fontId="15" fillId="8" borderId="3" xfId="0" applyNumberFormat="1" applyFont="1" applyFill="1" applyBorder="1" applyAlignment="1">
      <alignment horizontal="center" vertical="center"/>
    </xf>
    <xf numFmtId="1" fontId="12" fillId="13" borderId="3" xfId="0" applyNumberFormat="1" applyFont="1" applyFill="1" applyBorder="1" applyAlignment="1">
      <alignment horizontal="center" vertical="center"/>
    </xf>
    <xf numFmtId="181" fontId="12" fillId="6" borderId="3" xfId="0" applyNumberFormat="1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left" vertical="center" wrapText="1"/>
    </xf>
    <xf numFmtId="0" fontId="14" fillId="11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left" vertical="center"/>
    </xf>
    <xf numFmtId="0" fontId="16" fillId="6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left" vertical="center"/>
    </xf>
    <xf numFmtId="0" fontId="16" fillId="11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18" fillId="6" borderId="3" xfId="0" applyFont="1" applyFill="1" applyBorder="1" applyAlignment="1">
      <alignment horizontal="center" vertical="center"/>
    </xf>
    <xf numFmtId="180" fontId="15" fillId="10" borderId="3" xfId="0" applyNumberFormat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left" vertical="center"/>
    </xf>
    <xf numFmtId="0" fontId="18" fillId="11" borderId="3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left" vertical="center"/>
    </xf>
    <xf numFmtId="180" fontId="12" fillId="17" borderId="3" xfId="0" applyNumberFormat="1" applyFont="1" applyFill="1" applyBorder="1" applyAlignment="1">
      <alignment horizontal="center" vertical="center"/>
    </xf>
    <xf numFmtId="180" fontId="15" fillId="17" borderId="3" xfId="0" applyNumberFormat="1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left" vertical="center"/>
    </xf>
    <xf numFmtId="180" fontId="3" fillId="2" borderId="3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80" fontId="3" fillId="3" borderId="3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 wrapText="1"/>
    </xf>
    <xf numFmtId="0" fontId="3" fillId="19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12" fillId="8" borderId="3" xfId="0" applyNumberFormat="1" applyFont="1" applyFill="1" applyBorder="1" applyAlignment="1">
      <alignment horizontal="center" vertical="center"/>
    </xf>
    <xf numFmtId="180" fontId="12" fillId="13" borderId="3" xfId="0" applyNumberFormat="1" applyFont="1" applyFill="1" applyBorder="1" applyAlignment="1">
      <alignment horizontal="center" vertical="center"/>
    </xf>
    <xf numFmtId="180" fontId="12" fillId="20" borderId="3" xfId="0" applyNumberFormat="1" applyFont="1" applyFill="1" applyBorder="1" applyAlignment="1">
      <alignment horizontal="center" vertical="center"/>
    </xf>
    <xf numFmtId="0" fontId="13" fillId="18" borderId="3" xfId="0" applyFont="1" applyFill="1" applyBorder="1" applyAlignment="1">
      <alignment horizontal="center" vertical="center"/>
    </xf>
    <xf numFmtId="182" fontId="12" fillId="8" borderId="3" xfId="0" applyNumberFormat="1" applyFont="1" applyFill="1" applyBorder="1" applyAlignment="1">
      <alignment horizontal="center" vertical="center"/>
    </xf>
    <xf numFmtId="182" fontId="12" fillId="13" borderId="3" xfId="0" applyNumberFormat="1" applyFont="1" applyFill="1" applyBorder="1" applyAlignment="1">
      <alignment horizontal="center" vertical="center"/>
    </xf>
    <xf numFmtId="182" fontId="12" fillId="10" borderId="3" xfId="0" applyNumberFormat="1" applyFont="1" applyFill="1" applyBorder="1" applyAlignment="1">
      <alignment horizontal="center" vertical="center"/>
    </xf>
    <xf numFmtId="182" fontId="3" fillId="2" borderId="3" xfId="0" applyNumberFormat="1" applyFont="1" applyFill="1" applyBorder="1" applyAlignment="1">
      <alignment horizontal="center" vertical="center"/>
    </xf>
    <xf numFmtId="180" fontId="13" fillId="18" borderId="3" xfId="0" applyNumberFormat="1" applyFont="1" applyFill="1" applyBorder="1" applyAlignment="1">
      <alignment horizontal="center" vertical="center"/>
    </xf>
    <xf numFmtId="0" fontId="14" fillId="18" borderId="3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180" fontId="13" fillId="19" borderId="3" xfId="0" applyNumberFormat="1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  <xf numFmtId="1" fontId="13" fillId="3" borderId="3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" fontId="13" fillId="7" borderId="3" xfId="0" applyNumberFormat="1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1" fontId="13" fillId="14" borderId="3" xfId="0" applyNumberFormat="1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center" vertical="center"/>
    </xf>
    <xf numFmtId="1" fontId="13" fillId="16" borderId="3" xfId="0" applyNumberFormat="1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20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2" fillId="16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80" fontId="19" fillId="9" borderId="3" xfId="0" applyNumberFormat="1" applyFont="1" applyFill="1" applyBorder="1" applyAlignment="1">
      <alignment horizontal="center" vertical="center"/>
    </xf>
    <xf numFmtId="0" fontId="4" fillId="19" borderId="3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right" vertical="center"/>
    </xf>
    <xf numFmtId="0" fontId="14" fillId="9" borderId="3" xfId="0" applyFont="1" applyFill="1" applyBorder="1" applyAlignment="1">
      <alignment horizontal="left" vertical="center"/>
    </xf>
    <xf numFmtId="0" fontId="16" fillId="6" borderId="5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left" vertical="center"/>
    </xf>
    <xf numFmtId="0" fontId="23" fillId="8" borderId="3" xfId="0" applyFont="1" applyFill="1" applyBorder="1" applyAlignment="1">
      <alignment horizontal="left" vertical="center" wrapText="1"/>
    </xf>
    <xf numFmtId="0" fontId="24" fillId="12" borderId="3" xfId="0" applyFont="1" applyFill="1" applyBorder="1" applyAlignment="1">
      <alignment horizontal="left" vertical="center" wrapText="1"/>
    </xf>
    <xf numFmtId="0" fontId="25" fillId="9" borderId="3" xfId="0" applyFont="1" applyFill="1" applyBorder="1" applyAlignment="1">
      <alignment horizontal="left" vertical="center" wrapText="1"/>
    </xf>
    <xf numFmtId="0" fontId="26" fillId="13" borderId="3" xfId="0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left" vertical="center"/>
    </xf>
    <xf numFmtId="0" fontId="22" fillId="11" borderId="3" xfId="0" applyFont="1" applyFill="1" applyBorder="1" applyAlignment="1">
      <alignment horizontal="left" vertical="center"/>
    </xf>
    <xf numFmtId="0" fontId="3" fillId="19" borderId="3" xfId="0" applyFont="1" applyFill="1" applyBorder="1" applyAlignment="1">
      <alignment horizontal="center" vertical="center"/>
    </xf>
    <xf numFmtId="0" fontId="13" fillId="19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0" fontId="15" fillId="12" borderId="3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/>
    </xf>
    <xf numFmtId="0" fontId="15" fillId="9" borderId="3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/>
    </xf>
    <xf numFmtId="0" fontId="15" fillId="13" borderId="3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B0000"/>
      <rgbColor rgb="00008000"/>
      <rgbColor rgb="00000080"/>
      <rgbColor rgb="00808000"/>
      <rgbColor rgb="00800080"/>
      <rgbColor rgb="0000695C"/>
      <rgbColor rgb="00CCCCCC"/>
      <rgbColor rgb="00808080"/>
      <rgbColor rgb="009999FF"/>
      <rgbColor rgb="007030A0"/>
      <rgbColor rgb="00FFF8DC"/>
      <rgbColor rgb="00E0F2F1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3FB"/>
      <rgbColor rgb="00E2EFDA"/>
      <rgbColor rgb="00FFF2CC"/>
      <rgbColor rgb="00E2D9F3"/>
      <rgbColor rgb="00F2F2F2"/>
      <rgbColor rgb="00CC99FF"/>
      <rgbColor rgb="00FCE4D6"/>
      <rgbColor rgb="002E75B6"/>
      <rgbColor rgb="0033CCCC"/>
      <rgbColor rgb="0099CC00"/>
      <rgbColor rgb="00FFCC00"/>
      <rgbColor rgb="00BF8F00"/>
      <rgbColor rgb="00C55A11"/>
      <rgbColor rgb="00595959"/>
      <rgbColor rgb="00AAAAAA"/>
      <rgbColor rgb="001F3864"/>
      <rgbColor rgb="0070AD47"/>
      <rgbColor rgb="00003300"/>
      <rgbColor rgb="00375623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showGridLines="0" workbookViewId="0">
      <selection activeCell="A1" sqref="A1:N1"/>
    </sheetView>
  </sheetViews>
  <sheetFormatPr defaultColWidth="8.67592592592593" defaultRowHeight="14.4"/>
  <cols>
    <col min="1" max="1" width="8" customWidth="1"/>
    <col min="2" max="2" width="24" customWidth="1"/>
    <col min="3" max="3" width="9" customWidth="1"/>
    <col min="4" max="4" width="24" customWidth="1"/>
    <col min="5" max="8" width="22" customWidth="1"/>
    <col min="9" max="9" width="16" customWidth="1"/>
    <col min="10" max="10" width="22" customWidth="1"/>
    <col min="11" max="14" width="1" customWidth="1"/>
  </cols>
  <sheetData>
    <row r="1" ht="51.75" customHeight="1" spans="1:14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</row>
    <row r="2" ht="19.5" customHeight="1" spans="1:14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3" ht="6" customHeight="1"/>
    <row r="4" ht="21.75" customHeight="1" spans="1:14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ht="19.5" customHeight="1" spans="1:14">
      <c r="A5" s="110" t="s">
        <v>3</v>
      </c>
      <c r="B5" s="110"/>
      <c r="C5" s="110"/>
      <c r="D5" s="110"/>
      <c r="E5" s="110"/>
      <c r="F5" s="110"/>
      <c r="G5" s="111" t="s">
        <v>4</v>
      </c>
      <c r="H5" s="111"/>
      <c r="I5" s="111"/>
      <c r="J5" s="111"/>
      <c r="K5" s="111"/>
      <c r="L5" s="111"/>
      <c r="M5" s="111"/>
      <c r="N5" s="111"/>
    </row>
    <row r="6" ht="19.5" customHeight="1" spans="1:14">
      <c r="A6" s="112" t="s">
        <v>5</v>
      </c>
      <c r="B6" s="112"/>
      <c r="C6" s="112"/>
      <c r="D6" s="112"/>
      <c r="E6" s="112"/>
      <c r="F6" s="112"/>
      <c r="G6" s="113" t="s">
        <v>6</v>
      </c>
      <c r="H6" s="113"/>
      <c r="I6" s="113"/>
      <c r="J6" s="113"/>
      <c r="K6" s="113"/>
      <c r="L6" s="113"/>
      <c r="M6" s="113"/>
      <c r="N6" s="113"/>
    </row>
    <row r="7" ht="19.5" customHeight="1" spans="1:14">
      <c r="A7" s="114" t="s">
        <v>7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</row>
    <row r="8" ht="6" customHeight="1"/>
    <row r="9" ht="21.75" customHeight="1" spans="1:14">
      <c r="A9" s="110" t="s">
        <v>8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</row>
    <row r="10" ht="21.75" customHeight="1" spans="1:14">
      <c r="A10" s="26" t="s">
        <v>9</v>
      </c>
      <c r="B10" s="26" t="s">
        <v>10</v>
      </c>
      <c r="C10" s="26" t="s">
        <v>11</v>
      </c>
      <c r="D10" s="26" t="s">
        <v>12</v>
      </c>
      <c r="E10" s="26" t="s">
        <v>13</v>
      </c>
      <c r="F10" s="26" t="s">
        <v>14</v>
      </c>
      <c r="G10" s="26" t="s">
        <v>15</v>
      </c>
      <c r="H10" s="26" t="s">
        <v>16</v>
      </c>
      <c r="I10" s="26" t="s">
        <v>17</v>
      </c>
      <c r="J10" s="26" t="s">
        <v>18</v>
      </c>
    </row>
    <row r="11" ht="39.75" customHeight="1" spans="1:14">
      <c r="A11" s="115" t="s">
        <v>19</v>
      </c>
      <c r="B11" s="116" t="s">
        <v>20</v>
      </c>
      <c r="C11" s="75">
        <v>5</v>
      </c>
      <c r="D11" s="9" t="s">
        <v>21</v>
      </c>
      <c r="E11" s="117" t="s">
        <v>22</v>
      </c>
      <c r="F11" s="118" t="s">
        <v>23</v>
      </c>
      <c r="G11" s="119" t="s">
        <v>24</v>
      </c>
      <c r="H11" s="120" t="s">
        <v>25</v>
      </c>
      <c r="I11" s="6" t="s">
        <v>26</v>
      </c>
      <c r="J11" s="121" t="s">
        <v>27</v>
      </c>
      <c r="K11" s="121"/>
      <c r="L11" s="121"/>
      <c r="M11" s="121"/>
      <c r="N11" s="121"/>
    </row>
    <row r="12" ht="39.75" customHeight="1" spans="1:14">
      <c r="A12" s="115" t="s">
        <v>28</v>
      </c>
      <c r="B12" s="122" t="s">
        <v>29</v>
      </c>
      <c r="C12" s="75">
        <v>10</v>
      </c>
      <c r="D12" s="16" t="s">
        <v>30</v>
      </c>
      <c r="E12" s="117" t="s">
        <v>31</v>
      </c>
      <c r="F12" s="118" t="s">
        <v>32</v>
      </c>
      <c r="G12" s="119" t="s">
        <v>33</v>
      </c>
      <c r="H12" s="120" t="s">
        <v>34</v>
      </c>
      <c r="I12" s="6" t="s">
        <v>35</v>
      </c>
      <c r="J12" s="121" t="s">
        <v>36</v>
      </c>
      <c r="K12" s="121"/>
      <c r="L12" s="121"/>
      <c r="M12" s="121"/>
      <c r="N12" s="121"/>
    </row>
    <row r="13" ht="39.75" customHeight="1" spans="1:14">
      <c r="A13" s="115" t="s">
        <v>37</v>
      </c>
      <c r="B13" s="116" t="s">
        <v>38</v>
      </c>
      <c r="C13" s="75">
        <v>10</v>
      </c>
      <c r="D13" s="9" t="s">
        <v>39</v>
      </c>
      <c r="E13" s="117" t="s">
        <v>40</v>
      </c>
      <c r="F13" s="118" t="s">
        <v>41</v>
      </c>
      <c r="G13" s="119" t="s">
        <v>42</v>
      </c>
      <c r="H13" s="120" t="s">
        <v>43</v>
      </c>
      <c r="I13" s="6" t="s">
        <v>44</v>
      </c>
      <c r="J13" s="121" t="s">
        <v>45</v>
      </c>
      <c r="K13" s="121"/>
      <c r="L13" s="121"/>
      <c r="M13" s="121"/>
      <c r="N13" s="121"/>
    </row>
    <row r="14" ht="39.75" customHeight="1" spans="1:14">
      <c r="A14" s="115" t="s">
        <v>46</v>
      </c>
      <c r="B14" s="122" t="s">
        <v>47</v>
      </c>
      <c r="C14" s="75">
        <v>10</v>
      </c>
      <c r="D14" s="16" t="s">
        <v>48</v>
      </c>
      <c r="E14" s="117" t="s">
        <v>49</v>
      </c>
      <c r="F14" s="118" t="s">
        <v>50</v>
      </c>
      <c r="G14" s="119" t="s">
        <v>51</v>
      </c>
      <c r="H14" s="120" t="s">
        <v>52</v>
      </c>
      <c r="I14" s="6" t="s">
        <v>35</v>
      </c>
      <c r="J14" s="121" t="s">
        <v>53</v>
      </c>
      <c r="K14" s="121"/>
      <c r="L14" s="121"/>
      <c r="M14" s="121"/>
      <c r="N14" s="121"/>
    </row>
    <row r="15" ht="39.75" customHeight="1" spans="1:14">
      <c r="A15" s="115" t="s">
        <v>54</v>
      </c>
      <c r="B15" s="116" t="s">
        <v>55</v>
      </c>
      <c r="C15" s="75">
        <v>5</v>
      </c>
      <c r="D15" s="9" t="s">
        <v>56</v>
      </c>
      <c r="E15" s="117" t="s">
        <v>57</v>
      </c>
      <c r="F15" s="118" t="s">
        <v>58</v>
      </c>
      <c r="G15" s="119" t="s">
        <v>59</v>
      </c>
      <c r="H15" s="120" t="s">
        <v>60</v>
      </c>
      <c r="I15" s="6" t="s">
        <v>61</v>
      </c>
      <c r="J15" s="121" t="s">
        <v>27</v>
      </c>
      <c r="K15" s="121"/>
      <c r="L15" s="121"/>
      <c r="M15" s="121"/>
      <c r="N15" s="121"/>
    </row>
    <row r="16" ht="15.15"/>
    <row r="17" ht="21.75" customHeight="1" spans="1:14">
      <c r="A17" s="111" t="s">
        <v>62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</row>
    <row r="18" ht="21.75" customHeight="1" spans="1:14">
      <c r="A18" s="26" t="s">
        <v>9</v>
      </c>
      <c r="B18" s="26" t="s">
        <v>10</v>
      </c>
      <c r="C18" s="26" t="s">
        <v>11</v>
      </c>
      <c r="D18" s="26" t="s">
        <v>12</v>
      </c>
      <c r="E18" s="26" t="s">
        <v>13</v>
      </c>
      <c r="F18" s="26" t="s">
        <v>14</v>
      </c>
      <c r="G18" s="26" t="s">
        <v>15</v>
      </c>
      <c r="H18" s="26" t="s">
        <v>16</v>
      </c>
      <c r="I18" s="26" t="s">
        <v>17</v>
      </c>
      <c r="J18" s="26" t="s">
        <v>18</v>
      </c>
    </row>
    <row r="19" ht="39.75" customHeight="1" spans="1:14">
      <c r="A19" s="123" t="s">
        <v>63</v>
      </c>
      <c r="B19" s="116" t="s">
        <v>64</v>
      </c>
      <c r="C19" s="124">
        <v>25</v>
      </c>
      <c r="D19" s="9" t="s">
        <v>65</v>
      </c>
      <c r="E19" s="117" t="s">
        <v>66</v>
      </c>
      <c r="F19" s="118" t="s">
        <v>67</v>
      </c>
      <c r="G19" s="119" t="s">
        <v>68</v>
      </c>
      <c r="H19" s="120" t="s">
        <v>69</v>
      </c>
      <c r="I19" s="6" t="s">
        <v>70</v>
      </c>
      <c r="J19" s="121" t="s">
        <v>71</v>
      </c>
      <c r="K19" s="121"/>
      <c r="L19" s="121"/>
      <c r="M19" s="121"/>
      <c r="N19" s="121"/>
    </row>
    <row r="20" ht="39.75" customHeight="1" spans="1:14">
      <c r="A20" s="123" t="s">
        <v>72</v>
      </c>
      <c r="B20" s="122" t="s">
        <v>73</v>
      </c>
      <c r="C20" s="124">
        <v>20</v>
      </c>
      <c r="D20" s="16" t="s">
        <v>74</v>
      </c>
      <c r="E20" s="117" t="s">
        <v>75</v>
      </c>
      <c r="F20" s="118" t="s">
        <v>76</v>
      </c>
      <c r="G20" s="119" t="s">
        <v>77</v>
      </c>
      <c r="H20" s="120" t="s">
        <v>78</v>
      </c>
      <c r="I20" s="6" t="s">
        <v>61</v>
      </c>
      <c r="J20" s="121" t="s">
        <v>79</v>
      </c>
      <c r="K20" s="121"/>
      <c r="L20" s="121"/>
      <c r="M20" s="121"/>
      <c r="N20" s="121"/>
    </row>
    <row r="21" ht="39.75" customHeight="1" spans="1:14">
      <c r="A21" s="123" t="s">
        <v>80</v>
      </c>
      <c r="B21" s="116" t="s">
        <v>81</v>
      </c>
      <c r="C21" s="124">
        <v>15</v>
      </c>
      <c r="D21" s="9" t="s">
        <v>82</v>
      </c>
      <c r="E21" s="117" t="s">
        <v>83</v>
      </c>
      <c r="F21" s="118" t="s">
        <v>84</v>
      </c>
      <c r="G21" s="119" t="s">
        <v>85</v>
      </c>
      <c r="H21" s="120" t="s">
        <v>86</v>
      </c>
      <c r="I21" s="6" t="s">
        <v>35</v>
      </c>
      <c r="J21" s="121" t="s">
        <v>36</v>
      </c>
      <c r="K21" s="121"/>
      <c r="L21" s="121"/>
      <c r="M21" s="121"/>
      <c r="N21" s="121"/>
    </row>
    <row r="22" ht="39.75" customHeight="1" spans="1:14">
      <c r="A22" s="123" t="s">
        <v>87</v>
      </c>
      <c r="B22" s="122" t="s">
        <v>88</v>
      </c>
      <c r="C22" s="124">
        <v>5</v>
      </c>
      <c r="D22" s="16" t="s">
        <v>89</v>
      </c>
      <c r="E22" s="117" t="s">
        <v>90</v>
      </c>
      <c r="F22" s="118" t="s">
        <v>91</v>
      </c>
      <c r="G22" s="119" t="s">
        <v>92</v>
      </c>
      <c r="H22" s="120" t="s">
        <v>93</v>
      </c>
      <c r="I22" s="6" t="s">
        <v>94</v>
      </c>
      <c r="J22" s="121" t="s">
        <v>95</v>
      </c>
      <c r="K22" s="121"/>
      <c r="L22" s="121"/>
      <c r="M22" s="121"/>
      <c r="N22" s="121"/>
    </row>
    <row r="23" ht="15.15"/>
    <row r="24" ht="21.75" customHeight="1" spans="1:14">
      <c r="A24" s="125" t="s">
        <v>96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ht="19.5" customHeight="1" spans="1:14">
      <c r="A25" s="126" t="s">
        <v>97</v>
      </c>
      <c r="B25" s="127" t="s">
        <v>98</v>
      </c>
      <c r="C25" s="128" t="s">
        <v>99</v>
      </c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</row>
    <row r="26" ht="19.5" customHeight="1" spans="1:14">
      <c r="A26" s="126" t="s">
        <v>100</v>
      </c>
      <c r="B26" s="129" t="s">
        <v>101</v>
      </c>
      <c r="C26" s="130" t="s">
        <v>102</v>
      </c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</row>
    <row r="27" ht="19.5" customHeight="1" spans="1:14">
      <c r="A27" s="126" t="s">
        <v>103</v>
      </c>
      <c r="B27" s="131" t="s">
        <v>104</v>
      </c>
      <c r="C27" s="132" t="s">
        <v>105</v>
      </c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</row>
    <row r="28" ht="19.5" customHeight="1" spans="1:14">
      <c r="A28" s="126" t="s">
        <v>106</v>
      </c>
      <c r="B28" s="133" t="s">
        <v>107</v>
      </c>
      <c r="C28" s="134" t="s">
        <v>108</v>
      </c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</row>
  </sheetData>
  <mergeCells count="24">
    <mergeCell ref="A1:N1"/>
    <mergeCell ref="A2:N2"/>
    <mergeCell ref="A4:N4"/>
    <mergeCell ref="A5:F5"/>
    <mergeCell ref="G5:N5"/>
    <mergeCell ref="A6:F6"/>
    <mergeCell ref="G6:N6"/>
    <mergeCell ref="A7:N7"/>
    <mergeCell ref="A9:N9"/>
    <mergeCell ref="J11:N11"/>
    <mergeCell ref="J12:N12"/>
    <mergeCell ref="J13:N13"/>
    <mergeCell ref="J14:N14"/>
    <mergeCell ref="J15:N15"/>
    <mergeCell ref="A17:N17"/>
    <mergeCell ref="J19:N19"/>
    <mergeCell ref="J20:N20"/>
    <mergeCell ref="J21:N21"/>
    <mergeCell ref="J22:N22"/>
    <mergeCell ref="A24:N24"/>
    <mergeCell ref="C25:N25"/>
    <mergeCell ref="C26:N26"/>
    <mergeCell ref="C27:N27"/>
    <mergeCell ref="C28:N2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"/>
  <sheetViews>
    <sheetView showGridLines="0" workbookViewId="0">
      <pane xSplit="3" ySplit="9" topLeftCell="D10" activePane="bottomRight" state="frozen"/>
      <selection/>
      <selection pane="topRight"/>
      <selection pane="bottomLeft"/>
      <selection pane="bottomRight" activeCell="A1" sqref="A1:M1"/>
    </sheetView>
  </sheetViews>
  <sheetFormatPr defaultColWidth="8.67592592592593" defaultRowHeight="14.4"/>
  <cols>
    <col min="1" max="1" width="5" customWidth="1"/>
    <col min="2" max="2" width="14" customWidth="1"/>
    <col min="3" max="3" width="24" customWidth="1"/>
    <col min="4" max="8" width="16" customWidth="1"/>
    <col min="9" max="9" width="12" customWidth="1"/>
    <col min="10" max="10" width="10" customWidth="1"/>
    <col min="11" max="11" width="9" customWidth="1"/>
    <col min="12" max="13" width="11" customWidth="1"/>
  </cols>
  <sheetData>
    <row r="1" ht="45.75" customHeight="1" spans="1:13">
      <c r="A1" s="102" t="s">
        <v>109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</row>
    <row r="2" ht="15.75" customHeight="1" spans="1:13">
      <c r="A2" s="103" t="s">
        <v>110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</row>
    <row r="3" ht="7.5" customHeight="1"/>
    <row r="4" ht="19.5" customHeight="1" spans="1:13">
      <c r="A4" s="104" t="s">
        <v>111</v>
      </c>
      <c r="B4" s="105" t="s">
        <v>112</v>
      </c>
      <c r="C4" s="104" t="s">
        <v>113</v>
      </c>
      <c r="D4" s="105" t="s">
        <v>114</v>
      </c>
    </row>
    <row r="5" ht="18" customHeight="1" spans="1:13">
      <c r="A5" s="104" t="s">
        <v>115</v>
      </c>
      <c r="B5" s="105" t="s">
        <v>116</v>
      </c>
      <c r="C5" s="104" t="s">
        <v>117</v>
      </c>
      <c r="D5" s="105"/>
    </row>
    <row r="6" ht="7.5" customHeight="1"/>
    <row r="7" ht="27.75" customHeight="1" spans="1:13">
      <c r="A7" s="20" t="s">
        <v>118</v>
      </c>
      <c r="B7" s="20"/>
      <c r="C7" s="20"/>
      <c r="D7" s="67" t="s">
        <v>119</v>
      </c>
      <c r="E7" s="67"/>
      <c r="F7" s="67"/>
      <c r="G7" s="67"/>
      <c r="H7" s="67"/>
      <c r="I7" s="68" t="s">
        <v>120</v>
      </c>
      <c r="J7" s="68"/>
      <c r="K7" s="68"/>
      <c r="L7" s="68"/>
      <c r="M7" s="68"/>
    </row>
    <row r="8" ht="40" customHeight="1" spans="1:13">
      <c r="A8" s="20" t="s">
        <v>121</v>
      </c>
      <c r="B8" s="20"/>
      <c r="C8" s="20"/>
      <c r="D8" s="69" t="s">
        <v>122</v>
      </c>
      <c r="E8" s="69" t="s">
        <v>123</v>
      </c>
      <c r="F8" s="69" t="s">
        <v>124</v>
      </c>
      <c r="G8" s="69" t="s">
        <v>125</v>
      </c>
      <c r="H8" s="69" t="s">
        <v>126</v>
      </c>
      <c r="I8" s="54" t="s">
        <v>127</v>
      </c>
      <c r="J8" s="54" t="s">
        <v>128</v>
      </c>
      <c r="K8" s="56" t="s">
        <v>129</v>
      </c>
      <c r="L8" s="99" t="s">
        <v>130</v>
      </c>
      <c r="M8" s="53" t="s">
        <v>131</v>
      </c>
    </row>
    <row r="9" ht="13.5" customHeight="1" spans="1:13">
      <c r="A9" s="106" t="s">
        <v>132</v>
      </c>
      <c r="B9" s="106"/>
      <c r="C9" s="106"/>
      <c r="D9" s="40" t="s">
        <v>133</v>
      </c>
      <c r="E9" s="40" t="s">
        <v>134</v>
      </c>
      <c r="F9" s="40" t="s">
        <v>134</v>
      </c>
      <c r="G9" s="40" t="s">
        <v>134</v>
      </c>
      <c r="H9" s="40" t="s">
        <v>133</v>
      </c>
      <c r="I9" s="29"/>
      <c r="J9" s="29"/>
      <c r="K9" s="29"/>
      <c r="L9" s="29"/>
      <c r="M9" s="29"/>
    </row>
    <row r="10" ht="19.5" customHeight="1" spans="1:13">
      <c r="A10" s="27">
        <v>1</v>
      </c>
      <c r="B10" s="27" t="s">
        <v>135</v>
      </c>
      <c r="C10" s="57" t="s">
        <v>136</v>
      </c>
      <c r="D10" s="100">
        <v>4</v>
      </c>
      <c r="E10" s="100">
        <v>8.4</v>
      </c>
      <c r="F10" s="100">
        <v>7.6</v>
      </c>
      <c r="G10" s="100">
        <v>6.3</v>
      </c>
      <c r="H10" s="100">
        <v>2.8</v>
      </c>
      <c r="I10" s="59">
        <f t="shared" ref="I10:I59" si="0">SUM(D10,E10,F10,G10,H10)</f>
        <v>29.1</v>
      </c>
      <c r="J10" s="74">
        <f t="shared" ref="J10:J59" si="1">I10/40*100</f>
        <v>72.75</v>
      </c>
      <c r="K10" s="107" t="str">
        <f t="shared" ref="K10:K59" si="2">IF(I10&gt;=36,"O",IF(I10&gt;=32,"A+",IF(I10&gt;=24,"A",IF(I10&gt;=16,"B","F"))))</f>
        <v>A</v>
      </c>
      <c r="L10" s="78">
        <f t="shared" ref="L10:L59" si="3">I10/40</f>
        <v>0.7275</v>
      </c>
      <c r="M10" s="34" t="str">
        <f t="shared" ref="M10:M59" si="4">IF(I10&gt;=16,"Pass","Fail")</f>
        <v>Pass</v>
      </c>
    </row>
    <row r="11" ht="19.5" customHeight="1" spans="1:13">
      <c r="A11" s="35">
        <v>2</v>
      </c>
      <c r="B11" s="35" t="s">
        <v>137</v>
      </c>
      <c r="C11" s="60" t="s">
        <v>138</v>
      </c>
      <c r="D11" s="100">
        <v>4.9</v>
      </c>
      <c r="E11" s="100">
        <v>8.1</v>
      </c>
      <c r="F11" s="100">
        <v>5.8</v>
      </c>
      <c r="G11" s="100">
        <v>7.3</v>
      </c>
      <c r="H11" s="100">
        <v>2.8</v>
      </c>
      <c r="I11" s="59">
        <f t="shared" si="0"/>
        <v>28.9</v>
      </c>
      <c r="J11" s="74">
        <f t="shared" si="1"/>
        <v>72.25</v>
      </c>
      <c r="K11" s="107" t="str">
        <f t="shared" si="2"/>
        <v>A</v>
      </c>
      <c r="L11" s="78">
        <f t="shared" si="3"/>
        <v>0.7225</v>
      </c>
      <c r="M11" s="34" t="str">
        <f t="shared" si="4"/>
        <v>Pass</v>
      </c>
    </row>
    <row r="12" ht="19.5" customHeight="1" spans="1:13">
      <c r="A12" s="27">
        <v>3</v>
      </c>
      <c r="B12" s="27" t="s">
        <v>139</v>
      </c>
      <c r="C12" s="57" t="s">
        <v>140</v>
      </c>
      <c r="D12" s="100">
        <v>4.5</v>
      </c>
      <c r="E12" s="100">
        <v>9.9</v>
      </c>
      <c r="F12" s="100">
        <v>5.9</v>
      </c>
      <c r="G12" s="100">
        <v>5.7</v>
      </c>
      <c r="H12" s="100">
        <v>2.8</v>
      </c>
      <c r="I12" s="59">
        <f t="shared" si="0"/>
        <v>28.8</v>
      </c>
      <c r="J12" s="74">
        <f t="shared" si="1"/>
        <v>72</v>
      </c>
      <c r="K12" s="107" t="str">
        <f t="shared" si="2"/>
        <v>A</v>
      </c>
      <c r="L12" s="78">
        <f t="shared" si="3"/>
        <v>0.72</v>
      </c>
      <c r="M12" s="34" t="str">
        <f t="shared" si="4"/>
        <v>Pass</v>
      </c>
    </row>
    <row r="13" ht="19.5" customHeight="1" spans="1:13">
      <c r="A13" s="35">
        <v>4</v>
      </c>
      <c r="B13" s="35" t="s">
        <v>141</v>
      </c>
      <c r="C13" s="60" t="s">
        <v>142</v>
      </c>
      <c r="D13" s="100">
        <v>3.9</v>
      </c>
      <c r="E13" s="100">
        <v>9</v>
      </c>
      <c r="F13" s="100">
        <v>6.4</v>
      </c>
      <c r="G13" s="100">
        <v>6.4</v>
      </c>
      <c r="H13" s="100">
        <v>4.3</v>
      </c>
      <c r="I13" s="59">
        <f t="shared" si="0"/>
        <v>30</v>
      </c>
      <c r="J13" s="74">
        <f t="shared" si="1"/>
        <v>75</v>
      </c>
      <c r="K13" s="107" t="str">
        <f t="shared" si="2"/>
        <v>A</v>
      </c>
      <c r="L13" s="78">
        <f t="shared" si="3"/>
        <v>0.75</v>
      </c>
      <c r="M13" s="34" t="str">
        <f t="shared" si="4"/>
        <v>Pass</v>
      </c>
    </row>
    <row r="14" ht="19.5" customHeight="1" spans="1:13">
      <c r="A14" s="27">
        <v>5</v>
      </c>
      <c r="B14" s="27" t="s">
        <v>143</v>
      </c>
      <c r="C14" s="57" t="s">
        <v>144</v>
      </c>
      <c r="D14" s="100">
        <v>5</v>
      </c>
      <c r="E14" s="100">
        <v>9.7</v>
      </c>
      <c r="F14" s="100">
        <v>8.4</v>
      </c>
      <c r="G14" s="100">
        <v>9.6</v>
      </c>
      <c r="H14" s="100">
        <v>3.5</v>
      </c>
      <c r="I14" s="59">
        <f t="shared" si="0"/>
        <v>36.2</v>
      </c>
      <c r="J14" s="74">
        <f t="shared" si="1"/>
        <v>90.5</v>
      </c>
      <c r="K14" s="107" t="str">
        <f t="shared" si="2"/>
        <v>O</v>
      </c>
      <c r="L14" s="78">
        <f t="shared" si="3"/>
        <v>0.905</v>
      </c>
      <c r="M14" s="34" t="str">
        <f t="shared" si="4"/>
        <v>Pass</v>
      </c>
    </row>
    <row r="15" ht="19.5" customHeight="1" spans="1:13">
      <c r="A15" s="35">
        <v>6</v>
      </c>
      <c r="B15" s="35" t="s">
        <v>145</v>
      </c>
      <c r="C15" s="60" t="s">
        <v>146</v>
      </c>
      <c r="D15" s="100">
        <v>4.8</v>
      </c>
      <c r="E15" s="100">
        <v>8.2</v>
      </c>
      <c r="F15" s="100">
        <v>8</v>
      </c>
      <c r="G15" s="100">
        <v>6.4</v>
      </c>
      <c r="H15" s="100">
        <v>3.3</v>
      </c>
      <c r="I15" s="59">
        <f t="shared" si="0"/>
        <v>30.7</v>
      </c>
      <c r="J15" s="74">
        <f t="shared" si="1"/>
        <v>76.75</v>
      </c>
      <c r="K15" s="107" t="str">
        <f t="shared" si="2"/>
        <v>A</v>
      </c>
      <c r="L15" s="78">
        <f t="shared" si="3"/>
        <v>0.7675</v>
      </c>
      <c r="M15" s="34" t="str">
        <f t="shared" si="4"/>
        <v>Pass</v>
      </c>
    </row>
    <row r="16" ht="19.5" customHeight="1" spans="1:13">
      <c r="A16" s="27">
        <v>7</v>
      </c>
      <c r="B16" s="27" t="s">
        <v>147</v>
      </c>
      <c r="C16" s="57" t="s">
        <v>148</v>
      </c>
      <c r="D16" s="100">
        <v>2.8</v>
      </c>
      <c r="E16" s="100">
        <v>9</v>
      </c>
      <c r="F16" s="100">
        <v>8</v>
      </c>
      <c r="G16" s="100">
        <v>7.2</v>
      </c>
      <c r="H16" s="100">
        <v>5</v>
      </c>
      <c r="I16" s="59">
        <f t="shared" si="0"/>
        <v>32</v>
      </c>
      <c r="J16" s="74">
        <f t="shared" si="1"/>
        <v>80</v>
      </c>
      <c r="K16" s="107" t="str">
        <f t="shared" si="2"/>
        <v>A+</v>
      </c>
      <c r="L16" s="78">
        <f t="shared" si="3"/>
        <v>0.8</v>
      </c>
      <c r="M16" s="34" t="str">
        <f t="shared" si="4"/>
        <v>Pass</v>
      </c>
    </row>
    <row r="17" ht="19.5" customHeight="1" spans="1:13">
      <c r="A17" s="35">
        <v>8</v>
      </c>
      <c r="B17" s="35" t="s">
        <v>149</v>
      </c>
      <c r="C17" s="60" t="s">
        <v>150</v>
      </c>
      <c r="D17" s="100">
        <v>3.8</v>
      </c>
      <c r="E17" s="100">
        <v>6.7</v>
      </c>
      <c r="F17" s="100">
        <v>9.2</v>
      </c>
      <c r="G17" s="100">
        <v>8.1</v>
      </c>
      <c r="H17" s="100">
        <v>4.6</v>
      </c>
      <c r="I17" s="59">
        <f t="shared" si="0"/>
        <v>32.4</v>
      </c>
      <c r="J17" s="74">
        <f t="shared" si="1"/>
        <v>81</v>
      </c>
      <c r="K17" s="107" t="str">
        <f t="shared" si="2"/>
        <v>A+</v>
      </c>
      <c r="L17" s="78">
        <f t="shared" si="3"/>
        <v>0.81</v>
      </c>
      <c r="M17" s="34" t="str">
        <f t="shared" si="4"/>
        <v>Pass</v>
      </c>
    </row>
    <row r="18" ht="19.5" customHeight="1" spans="1:13">
      <c r="A18" s="27">
        <v>9</v>
      </c>
      <c r="B18" s="27" t="s">
        <v>151</v>
      </c>
      <c r="C18" s="57" t="s">
        <v>152</v>
      </c>
      <c r="D18" s="100">
        <v>3.5</v>
      </c>
      <c r="E18" s="100">
        <v>7.5</v>
      </c>
      <c r="F18" s="100">
        <v>9.1</v>
      </c>
      <c r="G18" s="100">
        <v>7.6</v>
      </c>
      <c r="H18" s="100">
        <v>4.3</v>
      </c>
      <c r="I18" s="59">
        <f t="shared" si="0"/>
        <v>32</v>
      </c>
      <c r="J18" s="74">
        <f t="shared" si="1"/>
        <v>80</v>
      </c>
      <c r="K18" s="107" t="str">
        <f t="shared" si="2"/>
        <v>A+</v>
      </c>
      <c r="L18" s="78">
        <f t="shared" si="3"/>
        <v>0.8</v>
      </c>
      <c r="M18" s="34" t="str">
        <f t="shared" si="4"/>
        <v>Pass</v>
      </c>
    </row>
    <row r="19" ht="19.5" customHeight="1" spans="1:13">
      <c r="A19" s="35">
        <v>10</v>
      </c>
      <c r="B19" s="35" t="s">
        <v>153</v>
      </c>
      <c r="C19" s="60" t="s">
        <v>154</v>
      </c>
      <c r="D19" s="100">
        <v>4.5</v>
      </c>
      <c r="E19" s="100">
        <v>8</v>
      </c>
      <c r="F19" s="100">
        <v>8.4</v>
      </c>
      <c r="G19" s="100">
        <v>8.1</v>
      </c>
      <c r="H19" s="100">
        <v>4.5</v>
      </c>
      <c r="I19" s="59">
        <f t="shared" si="0"/>
        <v>33.5</v>
      </c>
      <c r="J19" s="74">
        <f t="shared" si="1"/>
        <v>83.75</v>
      </c>
      <c r="K19" s="107" t="str">
        <f t="shared" si="2"/>
        <v>A+</v>
      </c>
      <c r="L19" s="78">
        <f t="shared" si="3"/>
        <v>0.8375</v>
      </c>
      <c r="M19" s="34" t="str">
        <f t="shared" si="4"/>
        <v>Pass</v>
      </c>
    </row>
    <row r="20" ht="19.5" customHeight="1" spans="1:13">
      <c r="A20" s="27">
        <v>11</v>
      </c>
      <c r="B20" s="27" t="s">
        <v>155</v>
      </c>
      <c r="C20" s="57" t="s">
        <v>156</v>
      </c>
      <c r="D20" s="100">
        <v>4.7</v>
      </c>
      <c r="E20" s="100">
        <v>9.3</v>
      </c>
      <c r="F20" s="100">
        <v>7</v>
      </c>
      <c r="G20" s="100">
        <v>7.9</v>
      </c>
      <c r="H20" s="100">
        <v>4.1</v>
      </c>
      <c r="I20" s="59">
        <f t="shared" si="0"/>
        <v>33</v>
      </c>
      <c r="J20" s="74">
        <f t="shared" si="1"/>
        <v>82.5</v>
      </c>
      <c r="K20" s="107" t="str">
        <f t="shared" si="2"/>
        <v>A+</v>
      </c>
      <c r="L20" s="78">
        <f t="shared" si="3"/>
        <v>0.825</v>
      </c>
      <c r="M20" s="34" t="str">
        <f t="shared" si="4"/>
        <v>Pass</v>
      </c>
    </row>
    <row r="21" ht="19.5" customHeight="1" spans="1:13">
      <c r="A21" s="35">
        <v>12</v>
      </c>
      <c r="B21" s="35" t="s">
        <v>157</v>
      </c>
      <c r="C21" s="60" t="s">
        <v>158</v>
      </c>
      <c r="D21" s="100">
        <v>3.1</v>
      </c>
      <c r="E21" s="100">
        <v>6.8</v>
      </c>
      <c r="F21" s="100">
        <v>7</v>
      </c>
      <c r="G21" s="100">
        <v>7.1</v>
      </c>
      <c r="H21" s="100">
        <v>4</v>
      </c>
      <c r="I21" s="59">
        <f t="shared" si="0"/>
        <v>28</v>
      </c>
      <c r="J21" s="74">
        <f t="shared" si="1"/>
        <v>70</v>
      </c>
      <c r="K21" s="107" t="str">
        <f t="shared" si="2"/>
        <v>A</v>
      </c>
      <c r="L21" s="78">
        <f t="shared" si="3"/>
        <v>0.7</v>
      </c>
      <c r="M21" s="34" t="str">
        <f t="shared" si="4"/>
        <v>Pass</v>
      </c>
    </row>
    <row r="22" ht="19.5" customHeight="1" spans="1:13">
      <c r="A22" s="27">
        <v>13</v>
      </c>
      <c r="B22" s="27" t="s">
        <v>159</v>
      </c>
      <c r="C22" s="57" t="s">
        <v>160</v>
      </c>
      <c r="D22" s="100">
        <v>4.2</v>
      </c>
      <c r="E22" s="100">
        <v>6.7</v>
      </c>
      <c r="F22" s="100">
        <v>6.7</v>
      </c>
      <c r="G22" s="100">
        <v>8.4</v>
      </c>
      <c r="H22" s="100">
        <v>3.1</v>
      </c>
      <c r="I22" s="59">
        <f t="shared" si="0"/>
        <v>29.1</v>
      </c>
      <c r="J22" s="74">
        <f t="shared" si="1"/>
        <v>72.75</v>
      </c>
      <c r="K22" s="107" t="str">
        <f t="shared" si="2"/>
        <v>A</v>
      </c>
      <c r="L22" s="78">
        <f t="shared" si="3"/>
        <v>0.7275</v>
      </c>
      <c r="M22" s="34" t="str">
        <f t="shared" si="4"/>
        <v>Pass</v>
      </c>
    </row>
    <row r="23" ht="19.5" customHeight="1" spans="1:13">
      <c r="A23" s="35">
        <v>14</v>
      </c>
      <c r="B23" s="35" t="s">
        <v>161</v>
      </c>
      <c r="C23" s="60" t="s">
        <v>162</v>
      </c>
      <c r="D23" s="100">
        <v>3.5</v>
      </c>
      <c r="E23" s="100">
        <v>8.8</v>
      </c>
      <c r="F23" s="100">
        <v>8.3</v>
      </c>
      <c r="G23" s="100">
        <v>9.2</v>
      </c>
      <c r="H23" s="100">
        <v>4</v>
      </c>
      <c r="I23" s="59">
        <f t="shared" si="0"/>
        <v>33.8</v>
      </c>
      <c r="J23" s="74">
        <f t="shared" si="1"/>
        <v>84.5</v>
      </c>
      <c r="K23" s="107" t="str">
        <f t="shared" si="2"/>
        <v>A+</v>
      </c>
      <c r="L23" s="78">
        <f t="shared" si="3"/>
        <v>0.845</v>
      </c>
      <c r="M23" s="34" t="str">
        <f t="shared" si="4"/>
        <v>Pass</v>
      </c>
    </row>
    <row r="24" ht="19.5" customHeight="1" spans="1:13">
      <c r="A24" s="27">
        <v>15</v>
      </c>
      <c r="B24" s="27" t="s">
        <v>163</v>
      </c>
      <c r="C24" s="57" t="s">
        <v>164</v>
      </c>
      <c r="D24" s="100">
        <v>4</v>
      </c>
      <c r="E24" s="100">
        <v>7.8</v>
      </c>
      <c r="F24" s="100">
        <v>7.2</v>
      </c>
      <c r="G24" s="100">
        <v>7</v>
      </c>
      <c r="H24" s="100">
        <v>3.3</v>
      </c>
      <c r="I24" s="59">
        <f t="shared" si="0"/>
        <v>29.3</v>
      </c>
      <c r="J24" s="74">
        <f t="shared" si="1"/>
        <v>73.25</v>
      </c>
      <c r="K24" s="107" t="str">
        <f t="shared" si="2"/>
        <v>A</v>
      </c>
      <c r="L24" s="78">
        <f t="shared" si="3"/>
        <v>0.7325</v>
      </c>
      <c r="M24" s="34" t="str">
        <f t="shared" si="4"/>
        <v>Pass</v>
      </c>
    </row>
    <row r="25" ht="19.5" customHeight="1" spans="1:13">
      <c r="A25" s="35">
        <v>16</v>
      </c>
      <c r="B25" s="35" t="s">
        <v>165</v>
      </c>
      <c r="C25" s="60" t="s">
        <v>166</v>
      </c>
      <c r="D25" s="100">
        <v>4.1</v>
      </c>
      <c r="E25" s="100">
        <v>7.8</v>
      </c>
      <c r="F25" s="100">
        <v>8.1</v>
      </c>
      <c r="G25" s="100">
        <v>8.6</v>
      </c>
      <c r="H25" s="100">
        <v>3.2</v>
      </c>
      <c r="I25" s="59">
        <f t="shared" si="0"/>
        <v>31.8</v>
      </c>
      <c r="J25" s="74">
        <f t="shared" si="1"/>
        <v>79.5</v>
      </c>
      <c r="K25" s="107" t="str">
        <f t="shared" si="2"/>
        <v>A</v>
      </c>
      <c r="L25" s="78">
        <f t="shared" si="3"/>
        <v>0.795</v>
      </c>
      <c r="M25" s="34" t="str">
        <f t="shared" si="4"/>
        <v>Pass</v>
      </c>
    </row>
    <row r="26" ht="19.5" customHeight="1" spans="1:13">
      <c r="A26" s="27">
        <v>17</v>
      </c>
      <c r="B26" s="27" t="s">
        <v>167</v>
      </c>
      <c r="C26" s="57" t="s">
        <v>168</v>
      </c>
      <c r="D26" s="100">
        <v>3.2</v>
      </c>
      <c r="E26" s="100">
        <v>6.1</v>
      </c>
      <c r="F26" s="100">
        <v>7.5</v>
      </c>
      <c r="G26" s="100">
        <v>8.1</v>
      </c>
      <c r="H26" s="100">
        <v>4.5</v>
      </c>
      <c r="I26" s="59">
        <f t="shared" si="0"/>
        <v>29.4</v>
      </c>
      <c r="J26" s="74">
        <f t="shared" si="1"/>
        <v>73.5</v>
      </c>
      <c r="K26" s="107" t="str">
        <f t="shared" si="2"/>
        <v>A</v>
      </c>
      <c r="L26" s="78">
        <f t="shared" si="3"/>
        <v>0.735</v>
      </c>
      <c r="M26" s="34" t="str">
        <f t="shared" si="4"/>
        <v>Pass</v>
      </c>
    </row>
    <row r="27" ht="19.5" customHeight="1" spans="1:13">
      <c r="A27" s="35">
        <v>18</v>
      </c>
      <c r="B27" s="35" t="s">
        <v>169</v>
      </c>
      <c r="C27" s="60" t="s">
        <v>170</v>
      </c>
      <c r="D27" s="100">
        <v>3.3</v>
      </c>
      <c r="E27" s="100">
        <v>5.6</v>
      </c>
      <c r="F27" s="100">
        <v>8.1</v>
      </c>
      <c r="G27" s="100">
        <v>6.4</v>
      </c>
      <c r="H27" s="100">
        <v>3.1</v>
      </c>
      <c r="I27" s="59">
        <f t="shared" si="0"/>
        <v>26.5</v>
      </c>
      <c r="J27" s="74">
        <f t="shared" si="1"/>
        <v>66.25</v>
      </c>
      <c r="K27" s="107" t="str">
        <f t="shared" si="2"/>
        <v>A</v>
      </c>
      <c r="L27" s="78">
        <f t="shared" si="3"/>
        <v>0.6625</v>
      </c>
      <c r="M27" s="34" t="str">
        <f t="shared" si="4"/>
        <v>Pass</v>
      </c>
    </row>
    <row r="28" ht="19.5" customHeight="1" spans="1:13">
      <c r="A28" s="27">
        <v>19</v>
      </c>
      <c r="B28" s="27" t="s">
        <v>171</v>
      </c>
      <c r="C28" s="57" t="s">
        <v>172</v>
      </c>
      <c r="D28" s="100">
        <v>3.1</v>
      </c>
      <c r="E28" s="100">
        <v>8.6</v>
      </c>
      <c r="F28" s="100">
        <v>8.8</v>
      </c>
      <c r="G28" s="100">
        <v>6.7</v>
      </c>
      <c r="H28" s="100">
        <v>4.8</v>
      </c>
      <c r="I28" s="59">
        <f t="shared" si="0"/>
        <v>32</v>
      </c>
      <c r="J28" s="74">
        <f t="shared" si="1"/>
        <v>80</v>
      </c>
      <c r="K28" s="107" t="str">
        <f t="shared" si="2"/>
        <v>A+</v>
      </c>
      <c r="L28" s="78">
        <f t="shared" si="3"/>
        <v>0.8</v>
      </c>
      <c r="M28" s="34" t="str">
        <f t="shared" si="4"/>
        <v>Pass</v>
      </c>
    </row>
    <row r="29" ht="19.5" customHeight="1" spans="1:13">
      <c r="A29" s="35">
        <v>20</v>
      </c>
      <c r="B29" s="35" t="s">
        <v>173</v>
      </c>
      <c r="C29" s="60" t="s">
        <v>174</v>
      </c>
      <c r="D29" s="100">
        <v>3.1</v>
      </c>
      <c r="E29" s="100">
        <v>8.3</v>
      </c>
      <c r="F29" s="100">
        <v>8.8</v>
      </c>
      <c r="G29" s="100">
        <v>6.2</v>
      </c>
      <c r="H29" s="100">
        <v>4.9</v>
      </c>
      <c r="I29" s="59">
        <f t="shared" si="0"/>
        <v>31.3</v>
      </c>
      <c r="J29" s="74">
        <f t="shared" si="1"/>
        <v>78.25</v>
      </c>
      <c r="K29" s="107" t="str">
        <f t="shared" si="2"/>
        <v>A</v>
      </c>
      <c r="L29" s="78">
        <f t="shared" si="3"/>
        <v>0.7825</v>
      </c>
      <c r="M29" s="34" t="str">
        <f t="shared" si="4"/>
        <v>Pass</v>
      </c>
    </row>
    <row r="30" ht="19.5" customHeight="1" spans="1:13">
      <c r="A30" s="27">
        <v>21</v>
      </c>
      <c r="B30" s="27" t="s">
        <v>175</v>
      </c>
      <c r="C30" s="57" t="s">
        <v>176</v>
      </c>
      <c r="D30" s="100">
        <v>3.3</v>
      </c>
      <c r="E30" s="100">
        <v>8.9</v>
      </c>
      <c r="F30" s="100">
        <v>9.1</v>
      </c>
      <c r="G30" s="100">
        <v>5.8</v>
      </c>
      <c r="H30" s="100">
        <v>3.9</v>
      </c>
      <c r="I30" s="59">
        <f t="shared" si="0"/>
        <v>31</v>
      </c>
      <c r="J30" s="74">
        <f t="shared" si="1"/>
        <v>77.5</v>
      </c>
      <c r="K30" s="107" t="str">
        <f t="shared" si="2"/>
        <v>A</v>
      </c>
      <c r="L30" s="78">
        <f t="shared" si="3"/>
        <v>0.775</v>
      </c>
      <c r="M30" s="34" t="str">
        <f t="shared" si="4"/>
        <v>Pass</v>
      </c>
    </row>
    <row r="31" ht="19.5" customHeight="1" spans="1:13">
      <c r="A31" s="35">
        <v>22</v>
      </c>
      <c r="B31" s="35" t="s">
        <v>177</v>
      </c>
      <c r="C31" s="60" t="s">
        <v>178</v>
      </c>
      <c r="D31" s="100">
        <v>3.3</v>
      </c>
      <c r="E31" s="100">
        <v>7.4</v>
      </c>
      <c r="F31" s="100">
        <v>9.1</v>
      </c>
      <c r="G31" s="100">
        <v>9.1</v>
      </c>
      <c r="H31" s="100">
        <v>4.3</v>
      </c>
      <c r="I31" s="59">
        <f t="shared" si="0"/>
        <v>33.2</v>
      </c>
      <c r="J31" s="74">
        <f t="shared" si="1"/>
        <v>83</v>
      </c>
      <c r="K31" s="107" t="str">
        <f t="shared" si="2"/>
        <v>A+</v>
      </c>
      <c r="L31" s="78">
        <f t="shared" si="3"/>
        <v>0.83</v>
      </c>
      <c r="M31" s="34" t="str">
        <f t="shared" si="4"/>
        <v>Pass</v>
      </c>
    </row>
    <row r="32" ht="19.5" customHeight="1" spans="1:13">
      <c r="A32" s="27">
        <v>23</v>
      </c>
      <c r="B32" s="27" t="s">
        <v>179</v>
      </c>
      <c r="C32" s="57" t="s">
        <v>180</v>
      </c>
      <c r="D32" s="100">
        <v>4.1</v>
      </c>
      <c r="E32" s="100">
        <v>6.5</v>
      </c>
      <c r="F32" s="100">
        <v>9.5</v>
      </c>
      <c r="G32" s="100">
        <v>7.1</v>
      </c>
      <c r="H32" s="100">
        <v>4.4</v>
      </c>
      <c r="I32" s="59">
        <f t="shared" si="0"/>
        <v>31.6</v>
      </c>
      <c r="J32" s="74">
        <f t="shared" si="1"/>
        <v>79</v>
      </c>
      <c r="K32" s="107" t="str">
        <f t="shared" si="2"/>
        <v>A</v>
      </c>
      <c r="L32" s="78">
        <f t="shared" si="3"/>
        <v>0.79</v>
      </c>
      <c r="M32" s="34" t="str">
        <f t="shared" si="4"/>
        <v>Pass</v>
      </c>
    </row>
    <row r="33" ht="19.5" customHeight="1" spans="1:13">
      <c r="A33" s="35">
        <v>24</v>
      </c>
      <c r="B33" s="35" t="s">
        <v>181</v>
      </c>
      <c r="C33" s="60" t="s">
        <v>182</v>
      </c>
      <c r="D33" s="100">
        <v>3.9</v>
      </c>
      <c r="E33" s="100">
        <v>7.2</v>
      </c>
      <c r="F33" s="100">
        <v>7.6</v>
      </c>
      <c r="G33" s="100">
        <v>6.7</v>
      </c>
      <c r="H33" s="100">
        <v>2.9</v>
      </c>
      <c r="I33" s="59">
        <f t="shared" si="0"/>
        <v>28.3</v>
      </c>
      <c r="J33" s="74">
        <f t="shared" si="1"/>
        <v>70.75</v>
      </c>
      <c r="K33" s="107" t="str">
        <f t="shared" si="2"/>
        <v>A</v>
      </c>
      <c r="L33" s="78">
        <f t="shared" si="3"/>
        <v>0.7075</v>
      </c>
      <c r="M33" s="34" t="str">
        <f t="shared" si="4"/>
        <v>Pass</v>
      </c>
    </row>
    <row r="34" ht="19.5" customHeight="1" spans="1:13">
      <c r="A34" s="27">
        <v>25</v>
      </c>
      <c r="B34" s="27" t="s">
        <v>183</v>
      </c>
      <c r="C34" s="57" t="s">
        <v>184</v>
      </c>
      <c r="D34" s="100">
        <v>4.8</v>
      </c>
      <c r="E34" s="100">
        <v>6.9</v>
      </c>
      <c r="F34" s="100">
        <v>7.8</v>
      </c>
      <c r="G34" s="100">
        <v>8.3</v>
      </c>
      <c r="H34" s="100">
        <v>4.1</v>
      </c>
      <c r="I34" s="59">
        <f t="shared" si="0"/>
        <v>31.9</v>
      </c>
      <c r="J34" s="74">
        <f t="shared" si="1"/>
        <v>79.75</v>
      </c>
      <c r="K34" s="107" t="str">
        <f t="shared" si="2"/>
        <v>A</v>
      </c>
      <c r="L34" s="78">
        <f t="shared" si="3"/>
        <v>0.7975</v>
      </c>
      <c r="M34" s="34" t="str">
        <f t="shared" si="4"/>
        <v>Pass</v>
      </c>
    </row>
    <row r="35" ht="19.5" customHeight="1" spans="1:13">
      <c r="A35" s="35">
        <v>26</v>
      </c>
      <c r="B35" s="35" t="s">
        <v>185</v>
      </c>
      <c r="C35" s="60" t="s">
        <v>186</v>
      </c>
      <c r="D35" s="100">
        <v>3.7</v>
      </c>
      <c r="E35" s="100">
        <v>7</v>
      </c>
      <c r="F35" s="100">
        <v>9</v>
      </c>
      <c r="G35" s="100">
        <v>9.8</v>
      </c>
      <c r="H35" s="100">
        <v>4.9</v>
      </c>
      <c r="I35" s="59">
        <f t="shared" si="0"/>
        <v>34.4</v>
      </c>
      <c r="J35" s="74">
        <f t="shared" si="1"/>
        <v>86</v>
      </c>
      <c r="K35" s="107" t="str">
        <f t="shared" si="2"/>
        <v>A+</v>
      </c>
      <c r="L35" s="78">
        <f t="shared" si="3"/>
        <v>0.86</v>
      </c>
      <c r="M35" s="34" t="str">
        <f t="shared" si="4"/>
        <v>Pass</v>
      </c>
    </row>
    <row r="36" ht="19.5" customHeight="1" spans="1:13">
      <c r="A36" s="27">
        <v>27</v>
      </c>
      <c r="B36" s="27" t="s">
        <v>187</v>
      </c>
      <c r="C36" s="57" t="s">
        <v>188</v>
      </c>
      <c r="D36" s="100">
        <v>4.8</v>
      </c>
      <c r="E36" s="100">
        <v>6.2</v>
      </c>
      <c r="F36" s="100">
        <v>9.4</v>
      </c>
      <c r="G36" s="100">
        <v>7</v>
      </c>
      <c r="H36" s="100">
        <v>4.4</v>
      </c>
      <c r="I36" s="59">
        <f t="shared" si="0"/>
        <v>31.8</v>
      </c>
      <c r="J36" s="74">
        <f t="shared" si="1"/>
        <v>79.5</v>
      </c>
      <c r="K36" s="107" t="str">
        <f t="shared" si="2"/>
        <v>A</v>
      </c>
      <c r="L36" s="78">
        <f t="shared" si="3"/>
        <v>0.795</v>
      </c>
      <c r="M36" s="34" t="str">
        <f t="shared" si="4"/>
        <v>Pass</v>
      </c>
    </row>
    <row r="37" ht="19.5" customHeight="1" spans="1:13">
      <c r="A37" s="35">
        <v>28</v>
      </c>
      <c r="B37" s="35" t="s">
        <v>189</v>
      </c>
      <c r="C37" s="60" t="s">
        <v>190</v>
      </c>
      <c r="D37" s="100">
        <v>3.9</v>
      </c>
      <c r="E37" s="100">
        <v>6.3</v>
      </c>
      <c r="F37" s="100">
        <v>7.8</v>
      </c>
      <c r="G37" s="100">
        <v>5.8</v>
      </c>
      <c r="H37" s="100">
        <v>3.2</v>
      </c>
      <c r="I37" s="59">
        <f t="shared" si="0"/>
        <v>27</v>
      </c>
      <c r="J37" s="74">
        <f t="shared" si="1"/>
        <v>67.5</v>
      </c>
      <c r="K37" s="107" t="str">
        <f t="shared" si="2"/>
        <v>A</v>
      </c>
      <c r="L37" s="78">
        <f t="shared" si="3"/>
        <v>0.675</v>
      </c>
      <c r="M37" s="34" t="str">
        <f t="shared" si="4"/>
        <v>Pass</v>
      </c>
    </row>
    <row r="38" ht="19.5" customHeight="1" spans="1:13">
      <c r="A38" s="27">
        <v>29</v>
      </c>
      <c r="B38" s="27" t="s">
        <v>191</v>
      </c>
      <c r="C38" s="57" t="s">
        <v>192</v>
      </c>
      <c r="D38" s="100">
        <v>3.5</v>
      </c>
      <c r="E38" s="100">
        <v>9.1</v>
      </c>
      <c r="F38" s="100">
        <v>5.8</v>
      </c>
      <c r="G38" s="100">
        <v>9.2</v>
      </c>
      <c r="H38" s="100">
        <v>4.8</v>
      </c>
      <c r="I38" s="59">
        <f t="shared" si="0"/>
        <v>32.4</v>
      </c>
      <c r="J38" s="74">
        <f t="shared" si="1"/>
        <v>81</v>
      </c>
      <c r="K38" s="107" t="str">
        <f t="shared" si="2"/>
        <v>A+</v>
      </c>
      <c r="L38" s="78">
        <f t="shared" si="3"/>
        <v>0.81</v>
      </c>
      <c r="M38" s="34" t="str">
        <f t="shared" si="4"/>
        <v>Pass</v>
      </c>
    </row>
    <row r="39" ht="19.5" customHeight="1" spans="1:13">
      <c r="A39" s="35">
        <v>30</v>
      </c>
      <c r="B39" s="35" t="s">
        <v>193</v>
      </c>
      <c r="C39" s="60" t="s">
        <v>194</v>
      </c>
      <c r="D39" s="100">
        <v>3</v>
      </c>
      <c r="E39" s="100">
        <v>8.6</v>
      </c>
      <c r="F39" s="100">
        <v>8.2</v>
      </c>
      <c r="G39" s="100">
        <v>7</v>
      </c>
      <c r="H39" s="100">
        <v>3.4</v>
      </c>
      <c r="I39" s="59">
        <f t="shared" si="0"/>
        <v>30.2</v>
      </c>
      <c r="J39" s="74">
        <f t="shared" si="1"/>
        <v>75.5</v>
      </c>
      <c r="K39" s="107" t="str">
        <f t="shared" si="2"/>
        <v>A</v>
      </c>
      <c r="L39" s="78">
        <f t="shared" si="3"/>
        <v>0.755</v>
      </c>
      <c r="M39" s="34" t="str">
        <f t="shared" si="4"/>
        <v>Pass</v>
      </c>
    </row>
    <row r="40" ht="19.5" customHeight="1" spans="1:13">
      <c r="A40" s="27">
        <v>31</v>
      </c>
      <c r="B40" s="27" t="s">
        <v>195</v>
      </c>
      <c r="C40" s="57" t="s">
        <v>196</v>
      </c>
      <c r="D40" s="100">
        <v>4.3</v>
      </c>
      <c r="E40" s="100">
        <v>8.2</v>
      </c>
      <c r="F40" s="100">
        <v>6.4</v>
      </c>
      <c r="G40" s="100">
        <v>5.7</v>
      </c>
      <c r="H40" s="100">
        <v>3.6</v>
      </c>
      <c r="I40" s="59">
        <f t="shared" si="0"/>
        <v>28.2</v>
      </c>
      <c r="J40" s="74">
        <f t="shared" si="1"/>
        <v>70.5</v>
      </c>
      <c r="K40" s="107" t="str">
        <f t="shared" si="2"/>
        <v>A</v>
      </c>
      <c r="L40" s="78">
        <f t="shared" si="3"/>
        <v>0.705</v>
      </c>
      <c r="M40" s="34" t="str">
        <f t="shared" si="4"/>
        <v>Pass</v>
      </c>
    </row>
    <row r="41" ht="19.5" customHeight="1" spans="1:13">
      <c r="A41" s="35">
        <v>32</v>
      </c>
      <c r="B41" s="35" t="s">
        <v>197</v>
      </c>
      <c r="C41" s="60" t="s">
        <v>198</v>
      </c>
      <c r="D41" s="100">
        <v>4.1</v>
      </c>
      <c r="E41" s="100">
        <v>8.7</v>
      </c>
      <c r="F41" s="100">
        <v>6.8</v>
      </c>
      <c r="G41" s="100">
        <v>6.7</v>
      </c>
      <c r="H41" s="100">
        <v>3.5</v>
      </c>
      <c r="I41" s="59">
        <f t="shared" si="0"/>
        <v>29.8</v>
      </c>
      <c r="J41" s="74">
        <f t="shared" si="1"/>
        <v>74.5</v>
      </c>
      <c r="K41" s="107" t="str">
        <f t="shared" si="2"/>
        <v>A</v>
      </c>
      <c r="L41" s="78">
        <f t="shared" si="3"/>
        <v>0.745</v>
      </c>
      <c r="M41" s="34" t="str">
        <f t="shared" si="4"/>
        <v>Pass</v>
      </c>
    </row>
    <row r="42" ht="19.5" customHeight="1" spans="1:13">
      <c r="A42" s="27">
        <v>33</v>
      </c>
      <c r="B42" s="27" t="s">
        <v>199</v>
      </c>
      <c r="C42" s="57" t="s">
        <v>200</v>
      </c>
      <c r="D42" s="100">
        <v>4.8</v>
      </c>
      <c r="E42" s="100">
        <v>7.6</v>
      </c>
      <c r="F42" s="100">
        <v>9.6</v>
      </c>
      <c r="G42" s="100">
        <v>10</v>
      </c>
      <c r="H42" s="100">
        <v>2.9</v>
      </c>
      <c r="I42" s="59">
        <f t="shared" si="0"/>
        <v>34.9</v>
      </c>
      <c r="J42" s="74">
        <f t="shared" si="1"/>
        <v>87.25</v>
      </c>
      <c r="K42" s="107" t="str">
        <f t="shared" si="2"/>
        <v>A+</v>
      </c>
      <c r="L42" s="78">
        <f t="shared" si="3"/>
        <v>0.8725</v>
      </c>
      <c r="M42" s="34" t="str">
        <f t="shared" si="4"/>
        <v>Pass</v>
      </c>
    </row>
    <row r="43" ht="19.5" customHeight="1" spans="1:13">
      <c r="A43" s="35">
        <v>34</v>
      </c>
      <c r="B43" s="35" t="s">
        <v>201</v>
      </c>
      <c r="C43" s="60" t="s">
        <v>202</v>
      </c>
      <c r="D43" s="100">
        <v>2.8</v>
      </c>
      <c r="E43" s="100">
        <v>7.9</v>
      </c>
      <c r="F43" s="100">
        <v>9.2</v>
      </c>
      <c r="G43" s="100">
        <v>8.7</v>
      </c>
      <c r="H43" s="100">
        <v>3.8</v>
      </c>
      <c r="I43" s="59">
        <f t="shared" si="0"/>
        <v>32.4</v>
      </c>
      <c r="J43" s="74">
        <f t="shared" si="1"/>
        <v>81</v>
      </c>
      <c r="K43" s="107" t="str">
        <f t="shared" si="2"/>
        <v>A+</v>
      </c>
      <c r="L43" s="78">
        <f t="shared" si="3"/>
        <v>0.81</v>
      </c>
      <c r="M43" s="34" t="str">
        <f t="shared" si="4"/>
        <v>Pass</v>
      </c>
    </row>
    <row r="44" ht="19.5" customHeight="1" spans="1:13">
      <c r="A44" s="27">
        <v>35</v>
      </c>
      <c r="B44" s="27" t="s">
        <v>203</v>
      </c>
      <c r="C44" s="57" t="s">
        <v>204</v>
      </c>
      <c r="D44" s="100">
        <v>3.1</v>
      </c>
      <c r="E44" s="100">
        <v>9.5</v>
      </c>
      <c r="F44" s="100">
        <v>8.3</v>
      </c>
      <c r="G44" s="100">
        <v>9.2</v>
      </c>
      <c r="H44" s="100">
        <v>4.6</v>
      </c>
      <c r="I44" s="59">
        <f t="shared" si="0"/>
        <v>34.7</v>
      </c>
      <c r="J44" s="74">
        <f t="shared" si="1"/>
        <v>86.75</v>
      </c>
      <c r="K44" s="107" t="str">
        <f t="shared" si="2"/>
        <v>A+</v>
      </c>
      <c r="L44" s="78">
        <f t="shared" si="3"/>
        <v>0.8675</v>
      </c>
      <c r="M44" s="34" t="str">
        <f t="shared" si="4"/>
        <v>Pass</v>
      </c>
    </row>
    <row r="45" ht="19.5" customHeight="1" spans="1:13">
      <c r="A45" s="35">
        <v>36</v>
      </c>
      <c r="B45" s="35" t="s">
        <v>205</v>
      </c>
      <c r="C45" s="60" t="s">
        <v>206</v>
      </c>
      <c r="D45" s="100">
        <v>3.6</v>
      </c>
      <c r="E45" s="100">
        <v>7.1</v>
      </c>
      <c r="F45" s="100">
        <v>5.7</v>
      </c>
      <c r="G45" s="100">
        <v>5.9</v>
      </c>
      <c r="H45" s="100">
        <v>4.7</v>
      </c>
      <c r="I45" s="59">
        <f t="shared" si="0"/>
        <v>27</v>
      </c>
      <c r="J45" s="74">
        <f t="shared" si="1"/>
        <v>67.5</v>
      </c>
      <c r="K45" s="107" t="str">
        <f t="shared" si="2"/>
        <v>A</v>
      </c>
      <c r="L45" s="78">
        <f t="shared" si="3"/>
        <v>0.675</v>
      </c>
      <c r="M45" s="34" t="str">
        <f t="shared" si="4"/>
        <v>Pass</v>
      </c>
    </row>
    <row r="46" ht="19.5" customHeight="1" spans="1:13">
      <c r="A46" s="27">
        <v>37</v>
      </c>
      <c r="B46" s="27" t="s">
        <v>207</v>
      </c>
      <c r="C46" s="57" t="s">
        <v>208</v>
      </c>
      <c r="D46" s="100">
        <v>3.4</v>
      </c>
      <c r="E46" s="100">
        <v>9.2</v>
      </c>
      <c r="F46" s="100">
        <v>9.6</v>
      </c>
      <c r="G46" s="100">
        <v>9.7</v>
      </c>
      <c r="H46" s="100">
        <v>3.7</v>
      </c>
      <c r="I46" s="59">
        <f t="shared" si="0"/>
        <v>35.6</v>
      </c>
      <c r="J46" s="74">
        <f t="shared" si="1"/>
        <v>89</v>
      </c>
      <c r="K46" s="107" t="str">
        <f t="shared" si="2"/>
        <v>A+</v>
      </c>
      <c r="L46" s="78">
        <f t="shared" si="3"/>
        <v>0.89</v>
      </c>
      <c r="M46" s="34" t="str">
        <f t="shared" si="4"/>
        <v>Pass</v>
      </c>
    </row>
    <row r="47" ht="19.5" customHeight="1" spans="1:13">
      <c r="A47" s="35">
        <v>38</v>
      </c>
      <c r="B47" s="35" t="s">
        <v>209</v>
      </c>
      <c r="C47" s="60" t="s">
        <v>210</v>
      </c>
      <c r="D47" s="100">
        <v>4</v>
      </c>
      <c r="E47" s="100">
        <v>9.5</v>
      </c>
      <c r="F47" s="100">
        <v>6.6</v>
      </c>
      <c r="G47" s="100">
        <v>7</v>
      </c>
      <c r="H47" s="100">
        <v>3.6</v>
      </c>
      <c r="I47" s="59">
        <f t="shared" si="0"/>
        <v>30.7</v>
      </c>
      <c r="J47" s="74">
        <f t="shared" si="1"/>
        <v>76.75</v>
      </c>
      <c r="K47" s="107" t="str">
        <f t="shared" si="2"/>
        <v>A</v>
      </c>
      <c r="L47" s="78">
        <f t="shared" si="3"/>
        <v>0.7675</v>
      </c>
      <c r="M47" s="34" t="str">
        <f t="shared" si="4"/>
        <v>Pass</v>
      </c>
    </row>
    <row r="48" ht="19.5" customHeight="1" spans="1:13">
      <c r="A48" s="27">
        <v>39</v>
      </c>
      <c r="B48" s="27" t="s">
        <v>211</v>
      </c>
      <c r="C48" s="57" t="s">
        <v>212</v>
      </c>
      <c r="D48" s="100">
        <v>4.5</v>
      </c>
      <c r="E48" s="100">
        <v>5.6</v>
      </c>
      <c r="F48" s="100">
        <v>9.3</v>
      </c>
      <c r="G48" s="100">
        <v>8</v>
      </c>
      <c r="H48" s="100">
        <v>3.8</v>
      </c>
      <c r="I48" s="59">
        <f t="shared" si="0"/>
        <v>31.2</v>
      </c>
      <c r="J48" s="74">
        <f t="shared" si="1"/>
        <v>78</v>
      </c>
      <c r="K48" s="107" t="str">
        <f t="shared" si="2"/>
        <v>A</v>
      </c>
      <c r="L48" s="78">
        <f t="shared" si="3"/>
        <v>0.78</v>
      </c>
      <c r="M48" s="34" t="str">
        <f t="shared" si="4"/>
        <v>Pass</v>
      </c>
    </row>
    <row r="49" ht="19.5" customHeight="1" spans="1:13">
      <c r="A49" s="35">
        <v>40</v>
      </c>
      <c r="B49" s="35" t="s">
        <v>213</v>
      </c>
      <c r="C49" s="60" t="s">
        <v>214</v>
      </c>
      <c r="D49" s="100">
        <v>3.4</v>
      </c>
      <c r="E49" s="100">
        <v>7.1</v>
      </c>
      <c r="F49" s="100">
        <v>6.7</v>
      </c>
      <c r="G49" s="100">
        <v>8.5</v>
      </c>
      <c r="H49" s="100">
        <v>2.8</v>
      </c>
      <c r="I49" s="59">
        <f t="shared" si="0"/>
        <v>28.5</v>
      </c>
      <c r="J49" s="74">
        <f t="shared" si="1"/>
        <v>71.25</v>
      </c>
      <c r="K49" s="107" t="str">
        <f t="shared" si="2"/>
        <v>A</v>
      </c>
      <c r="L49" s="78">
        <f t="shared" si="3"/>
        <v>0.7125</v>
      </c>
      <c r="M49" s="34" t="str">
        <f t="shared" si="4"/>
        <v>Pass</v>
      </c>
    </row>
    <row r="50" ht="19.5" customHeight="1" spans="1:13">
      <c r="A50" s="27">
        <v>41</v>
      </c>
      <c r="B50" s="27" t="s">
        <v>215</v>
      </c>
      <c r="C50" s="57" t="s">
        <v>216</v>
      </c>
      <c r="D50" s="100">
        <v>4.2</v>
      </c>
      <c r="E50" s="100">
        <v>6.9</v>
      </c>
      <c r="F50" s="100">
        <v>8.4</v>
      </c>
      <c r="G50" s="100">
        <v>5.7</v>
      </c>
      <c r="H50" s="100">
        <v>4.3</v>
      </c>
      <c r="I50" s="59">
        <f t="shared" si="0"/>
        <v>29.5</v>
      </c>
      <c r="J50" s="74">
        <f t="shared" si="1"/>
        <v>73.75</v>
      </c>
      <c r="K50" s="107" t="str">
        <f t="shared" si="2"/>
        <v>A</v>
      </c>
      <c r="L50" s="78">
        <f t="shared" si="3"/>
        <v>0.7375</v>
      </c>
      <c r="M50" s="34" t="str">
        <f t="shared" si="4"/>
        <v>Pass</v>
      </c>
    </row>
    <row r="51" ht="19.5" customHeight="1" spans="1:13">
      <c r="A51" s="35">
        <v>42</v>
      </c>
      <c r="B51" s="35" t="s">
        <v>217</v>
      </c>
      <c r="C51" s="60" t="s">
        <v>218</v>
      </c>
      <c r="D51" s="100">
        <v>4.9</v>
      </c>
      <c r="E51" s="100">
        <v>6.9</v>
      </c>
      <c r="F51" s="100">
        <v>8.5</v>
      </c>
      <c r="G51" s="100">
        <v>5.7</v>
      </c>
      <c r="H51" s="100">
        <v>4.7</v>
      </c>
      <c r="I51" s="59">
        <f t="shared" si="0"/>
        <v>30.7</v>
      </c>
      <c r="J51" s="74">
        <f t="shared" si="1"/>
        <v>76.75</v>
      </c>
      <c r="K51" s="107" t="str">
        <f t="shared" si="2"/>
        <v>A</v>
      </c>
      <c r="L51" s="78">
        <f t="shared" si="3"/>
        <v>0.7675</v>
      </c>
      <c r="M51" s="34" t="str">
        <f t="shared" si="4"/>
        <v>Pass</v>
      </c>
    </row>
    <row r="52" ht="19.5" customHeight="1" spans="1:13">
      <c r="A52" s="27">
        <v>43</v>
      </c>
      <c r="B52" s="27" t="s">
        <v>219</v>
      </c>
      <c r="C52" s="57" t="s">
        <v>220</v>
      </c>
      <c r="D52" s="100">
        <v>3.6</v>
      </c>
      <c r="E52" s="100">
        <v>10</v>
      </c>
      <c r="F52" s="100">
        <v>7</v>
      </c>
      <c r="G52" s="100">
        <v>7.1</v>
      </c>
      <c r="H52" s="100">
        <v>3.1</v>
      </c>
      <c r="I52" s="59">
        <f t="shared" si="0"/>
        <v>30.8</v>
      </c>
      <c r="J52" s="74">
        <f t="shared" si="1"/>
        <v>77</v>
      </c>
      <c r="K52" s="107" t="str">
        <f t="shared" si="2"/>
        <v>A</v>
      </c>
      <c r="L52" s="78">
        <f t="shared" si="3"/>
        <v>0.77</v>
      </c>
      <c r="M52" s="34" t="str">
        <f t="shared" si="4"/>
        <v>Pass</v>
      </c>
    </row>
    <row r="53" ht="19.5" customHeight="1" spans="1:13">
      <c r="A53" s="35">
        <v>44</v>
      </c>
      <c r="B53" s="35" t="s">
        <v>221</v>
      </c>
      <c r="C53" s="60" t="s">
        <v>222</v>
      </c>
      <c r="D53" s="100">
        <v>3.1</v>
      </c>
      <c r="E53" s="100">
        <v>8.3</v>
      </c>
      <c r="F53" s="100">
        <v>6.6</v>
      </c>
      <c r="G53" s="100">
        <v>5.6</v>
      </c>
      <c r="H53" s="100">
        <v>3.9</v>
      </c>
      <c r="I53" s="59">
        <f t="shared" si="0"/>
        <v>27.5</v>
      </c>
      <c r="J53" s="74">
        <f t="shared" si="1"/>
        <v>68.75</v>
      </c>
      <c r="K53" s="107" t="str">
        <f t="shared" si="2"/>
        <v>A</v>
      </c>
      <c r="L53" s="78">
        <f t="shared" si="3"/>
        <v>0.6875</v>
      </c>
      <c r="M53" s="34" t="str">
        <f t="shared" si="4"/>
        <v>Pass</v>
      </c>
    </row>
    <row r="54" ht="19.5" customHeight="1" spans="1:13">
      <c r="A54" s="27">
        <v>45</v>
      </c>
      <c r="B54" s="27" t="s">
        <v>223</v>
      </c>
      <c r="C54" s="57" t="s">
        <v>224</v>
      </c>
      <c r="D54" s="100">
        <v>3.8</v>
      </c>
      <c r="E54" s="100">
        <v>9.9</v>
      </c>
      <c r="F54" s="100">
        <v>6.4</v>
      </c>
      <c r="G54" s="100">
        <v>8.3</v>
      </c>
      <c r="H54" s="100">
        <v>5</v>
      </c>
      <c r="I54" s="59">
        <f t="shared" si="0"/>
        <v>33.4</v>
      </c>
      <c r="J54" s="74">
        <f t="shared" si="1"/>
        <v>83.5</v>
      </c>
      <c r="K54" s="107" t="str">
        <f t="shared" si="2"/>
        <v>A+</v>
      </c>
      <c r="L54" s="78">
        <f t="shared" si="3"/>
        <v>0.835</v>
      </c>
      <c r="M54" s="34" t="str">
        <f t="shared" si="4"/>
        <v>Pass</v>
      </c>
    </row>
    <row r="55" ht="19.5" customHeight="1" spans="1:13">
      <c r="A55" s="35">
        <v>46</v>
      </c>
      <c r="B55" s="35" t="s">
        <v>225</v>
      </c>
      <c r="C55" s="60" t="s">
        <v>226</v>
      </c>
      <c r="D55" s="100">
        <v>3.7</v>
      </c>
      <c r="E55" s="100">
        <v>9.6</v>
      </c>
      <c r="F55" s="100">
        <v>6.2</v>
      </c>
      <c r="G55" s="100">
        <v>8.6</v>
      </c>
      <c r="H55" s="100">
        <v>4.6</v>
      </c>
      <c r="I55" s="59">
        <f t="shared" si="0"/>
        <v>32.7</v>
      </c>
      <c r="J55" s="74">
        <f t="shared" si="1"/>
        <v>81.75</v>
      </c>
      <c r="K55" s="107" t="str">
        <f t="shared" si="2"/>
        <v>A+</v>
      </c>
      <c r="L55" s="78">
        <f t="shared" si="3"/>
        <v>0.8175</v>
      </c>
      <c r="M55" s="34" t="str">
        <f t="shared" si="4"/>
        <v>Pass</v>
      </c>
    </row>
    <row r="56" ht="19.5" customHeight="1" spans="1:13">
      <c r="A56" s="27">
        <v>47</v>
      </c>
      <c r="B56" s="27" t="s">
        <v>227</v>
      </c>
      <c r="C56" s="57" t="s">
        <v>228</v>
      </c>
      <c r="D56" s="100">
        <v>3.3</v>
      </c>
      <c r="E56" s="100">
        <v>7.4</v>
      </c>
      <c r="F56" s="100">
        <v>7.9</v>
      </c>
      <c r="G56" s="100">
        <v>6.1</v>
      </c>
      <c r="H56" s="100">
        <v>4.2</v>
      </c>
      <c r="I56" s="59">
        <f t="shared" si="0"/>
        <v>28.9</v>
      </c>
      <c r="J56" s="74">
        <f t="shared" si="1"/>
        <v>72.25</v>
      </c>
      <c r="K56" s="107" t="str">
        <f t="shared" si="2"/>
        <v>A</v>
      </c>
      <c r="L56" s="78">
        <f t="shared" si="3"/>
        <v>0.7225</v>
      </c>
      <c r="M56" s="34" t="str">
        <f t="shared" si="4"/>
        <v>Pass</v>
      </c>
    </row>
    <row r="57" ht="19.5" customHeight="1" spans="1:13">
      <c r="A57" s="35">
        <v>48</v>
      </c>
      <c r="B57" s="35" t="s">
        <v>229</v>
      </c>
      <c r="C57" s="60" t="s">
        <v>230</v>
      </c>
      <c r="D57" s="100">
        <v>4.3</v>
      </c>
      <c r="E57" s="100">
        <v>6.4</v>
      </c>
      <c r="F57" s="100">
        <v>7.8</v>
      </c>
      <c r="G57" s="100">
        <v>9.2</v>
      </c>
      <c r="H57" s="100">
        <v>3.5</v>
      </c>
      <c r="I57" s="59">
        <f t="shared" si="0"/>
        <v>31.2</v>
      </c>
      <c r="J57" s="74">
        <f t="shared" si="1"/>
        <v>78</v>
      </c>
      <c r="K57" s="107" t="str">
        <f t="shared" si="2"/>
        <v>A</v>
      </c>
      <c r="L57" s="78">
        <f t="shared" si="3"/>
        <v>0.78</v>
      </c>
      <c r="M57" s="34" t="str">
        <f t="shared" si="4"/>
        <v>Pass</v>
      </c>
    </row>
    <row r="58" ht="19.5" customHeight="1" spans="1:13">
      <c r="A58" s="27">
        <v>49</v>
      </c>
      <c r="B58" s="27" t="s">
        <v>231</v>
      </c>
      <c r="C58" s="57" t="s">
        <v>232</v>
      </c>
      <c r="D58" s="100">
        <v>3.9</v>
      </c>
      <c r="E58" s="100">
        <v>7.3</v>
      </c>
      <c r="F58" s="100">
        <v>5.7</v>
      </c>
      <c r="G58" s="100">
        <v>6.8</v>
      </c>
      <c r="H58" s="100">
        <v>2.8</v>
      </c>
      <c r="I58" s="59">
        <f t="shared" si="0"/>
        <v>26.5</v>
      </c>
      <c r="J58" s="74">
        <f t="shared" si="1"/>
        <v>66.25</v>
      </c>
      <c r="K58" s="107" t="str">
        <f t="shared" si="2"/>
        <v>A</v>
      </c>
      <c r="L58" s="78">
        <f t="shared" si="3"/>
        <v>0.6625</v>
      </c>
      <c r="M58" s="34" t="str">
        <f t="shared" si="4"/>
        <v>Pass</v>
      </c>
    </row>
    <row r="59" ht="19.5" customHeight="1" spans="1:13">
      <c r="A59" s="35">
        <v>50</v>
      </c>
      <c r="B59" s="35" t="s">
        <v>233</v>
      </c>
      <c r="C59" s="60" t="s">
        <v>234</v>
      </c>
      <c r="D59" s="100">
        <v>3.5</v>
      </c>
      <c r="E59" s="100">
        <v>6.2</v>
      </c>
      <c r="F59" s="100">
        <v>6.8</v>
      </c>
      <c r="G59" s="100">
        <v>9.1</v>
      </c>
      <c r="H59" s="100">
        <v>2.8</v>
      </c>
      <c r="I59" s="59">
        <f t="shared" si="0"/>
        <v>28.4</v>
      </c>
      <c r="J59" s="74">
        <f t="shared" si="1"/>
        <v>71</v>
      </c>
      <c r="K59" s="107" t="str">
        <f t="shared" si="2"/>
        <v>A</v>
      </c>
      <c r="L59" s="78">
        <f t="shared" si="3"/>
        <v>0.71</v>
      </c>
      <c r="M59" s="34" t="str">
        <f t="shared" si="4"/>
        <v>Pass</v>
      </c>
    </row>
    <row r="60" ht="15.15"/>
    <row r="61" ht="21.75" customHeight="1" spans="1:13">
      <c r="A61" s="52" t="s">
        <v>235</v>
      </c>
      <c r="B61" s="52"/>
      <c r="C61" s="52"/>
      <c r="D61" s="61">
        <f t="shared" ref="D61:J61" si="5">AVERAGE(D10:D59)</f>
        <v>3.852</v>
      </c>
      <c r="E61" s="61">
        <f t="shared" si="5"/>
        <v>7.874</v>
      </c>
      <c r="F61" s="61">
        <f t="shared" si="5"/>
        <v>7.742</v>
      </c>
      <c r="G61" s="61">
        <f t="shared" si="5"/>
        <v>7.514</v>
      </c>
      <c r="H61" s="61">
        <f t="shared" si="5"/>
        <v>3.862</v>
      </c>
      <c r="I61" s="61">
        <f t="shared" si="5"/>
        <v>30.844</v>
      </c>
      <c r="J61" s="61">
        <f t="shared" si="5"/>
        <v>77.11</v>
      </c>
      <c r="K61" s="62"/>
      <c r="L61" s="79">
        <f>AVERAGE(L10:L59)</f>
        <v>0.7711</v>
      </c>
      <c r="M61" s="62"/>
    </row>
  </sheetData>
  <mergeCells count="8">
    <mergeCell ref="A1:M1"/>
    <mergeCell ref="A2:M2"/>
    <mergeCell ref="A7:C7"/>
    <mergeCell ref="D7:H7"/>
    <mergeCell ref="I7:M7"/>
    <mergeCell ref="A8:C8"/>
    <mergeCell ref="A9:C9"/>
    <mergeCell ref="A61:C6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showGridLines="0" tabSelected="1" workbookViewId="0">
      <pane xSplit="3" ySplit="5" topLeftCell="D6" activePane="bottomRight" state="frozen"/>
      <selection/>
      <selection pane="topRight"/>
      <selection pane="bottomLeft"/>
      <selection pane="bottomRight" activeCell="A1" sqref="A1:L1"/>
    </sheetView>
  </sheetViews>
  <sheetFormatPr defaultColWidth="8.67592592592593" defaultRowHeight="14.4"/>
  <cols>
    <col min="1" max="1" width="5" customWidth="1"/>
    <col min="2" max="2" width="14" customWidth="1"/>
    <col min="3" max="3" width="24" customWidth="1"/>
    <col min="4" max="7" width="18" customWidth="1"/>
    <col min="8" max="8" width="12" customWidth="1"/>
    <col min="9" max="9" width="10" customWidth="1"/>
    <col min="10" max="10" width="9" customWidth="1"/>
    <col min="11" max="12" width="11" customWidth="1"/>
  </cols>
  <sheetData>
    <row r="1" ht="45.75" customHeight="1" spans="1:12">
      <c r="A1" s="97" t="s">
        <v>236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ht="15.75" customHeight="1" spans="1:12">
      <c r="A2" s="98" t="s">
        <v>237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3" ht="7.5" customHeight="1"/>
    <row r="4" ht="25.5" customHeight="1" spans="1:12">
      <c r="A4" s="20" t="s">
        <v>118</v>
      </c>
      <c r="B4" s="20"/>
      <c r="C4" s="20"/>
      <c r="D4" s="82" t="s">
        <v>238</v>
      </c>
      <c r="E4" s="82"/>
      <c r="F4" s="82"/>
      <c r="G4" s="82"/>
      <c r="H4" s="68" t="s">
        <v>120</v>
      </c>
      <c r="I4" s="68"/>
      <c r="J4" s="68"/>
      <c r="K4" s="68"/>
      <c r="L4" s="68"/>
    </row>
    <row r="5" ht="52" customHeight="1" spans="1:12">
      <c r="A5" s="20" t="s">
        <v>121</v>
      </c>
      <c r="B5" s="20"/>
      <c r="C5" s="20"/>
      <c r="D5" s="70" t="s">
        <v>239</v>
      </c>
      <c r="E5" s="70" t="s">
        <v>240</v>
      </c>
      <c r="F5" s="70" t="s">
        <v>241</v>
      </c>
      <c r="G5" s="70" t="s">
        <v>242</v>
      </c>
      <c r="H5" s="54" t="s">
        <v>243</v>
      </c>
      <c r="I5" s="54" t="s">
        <v>244</v>
      </c>
      <c r="J5" s="56" t="s">
        <v>129</v>
      </c>
      <c r="K5" s="99" t="s">
        <v>245</v>
      </c>
      <c r="L5" s="53" t="s">
        <v>131</v>
      </c>
    </row>
    <row r="6" ht="19.5" customHeight="1" spans="1:12">
      <c r="A6" s="27">
        <v>1</v>
      </c>
      <c r="B6" s="27" t="s">
        <v>135</v>
      </c>
      <c r="C6" s="57" t="s">
        <v>136</v>
      </c>
      <c r="D6" s="100">
        <v>24.7</v>
      </c>
      <c r="E6" s="100">
        <v>19.3</v>
      </c>
      <c r="F6" s="100">
        <v>12.9</v>
      </c>
      <c r="G6" s="100">
        <v>3.1</v>
      </c>
      <c r="H6" s="59">
        <f t="shared" ref="H6:H55" si="0">SUM(D6,E6,F6,G6)</f>
        <v>60</v>
      </c>
      <c r="I6" s="74">
        <f t="shared" ref="I6:I55" si="1">H6/60*100</f>
        <v>100</v>
      </c>
      <c r="J6" s="101" t="str">
        <f t="shared" ref="J6:J55" si="2">IF(H6&gt;=54,"O",IF(H6&gt;=48,"A+",IF(H6&gt;=36,"A",IF(H6&gt;=24,"B","F"))))</f>
        <v>O</v>
      </c>
      <c r="K6" s="78">
        <f t="shared" ref="K6:K55" si="3">H6/60</f>
        <v>1</v>
      </c>
      <c r="L6" s="34" t="str">
        <f t="shared" ref="L6:L55" si="4">IF(H6&gt;=24,"Pass","Fail")</f>
        <v>Pass</v>
      </c>
    </row>
    <row r="7" ht="19.5" customHeight="1" spans="1:12">
      <c r="A7" s="35">
        <v>2</v>
      </c>
      <c r="B7" s="35" t="s">
        <v>137</v>
      </c>
      <c r="C7" s="60" t="s">
        <v>138</v>
      </c>
      <c r="D7" s="100">
        <v>15.5</v>
      </c>
      <c r="E7" s="100">
        <v>17.8</v>
      </c>
      <c r="F7" s="100">
        <v>12.4</v>
      </c>
      <c r="G7" s="100">
        <v>4.9</v>
      </c>
      <c r="H7" s="59">
        <f t="shared" si="0"/>
        <v>50.6</v>
      </c>
      <c r="I7" s="74">
        <f t="shared" si="1"/>
        <v>84.3333333333333</v>
      </c>
      <c r="J7" s="101" t="str">
        <f t="shared" si="2"/>
        <v>A+</v>
      </c>
      <c r="K7" s="78">
        <f t="shared" si="3"/>
        <v>0.843333333333333</v>
      </c>
      <c r="L7" s="34" t="str">
        <f t="shared" si="4"/>
        <v>Pass</v>
      </c>
    </row>
    <row r="8" ht="19.5" customHeight="1" spans="1:12">
      <c r="A8" s="27">
        <v>3</v>
      </c>
      <c r="B8" s="27" t="s">
        <v>139</v>
      </c>
      <c r="C8" s="57" t="s">
        <v>140</v>
      </c>
      <c r="D8" s="100">
        <v>14.8</v>
      </c>
      <c r="E8" s="100">
        <v>11.5</v>
      </c>
      <c r="F8" s="100">
        <v>13.3</v>
      </c>
      <c r="G8" s="100">
        <v>4.9</v>
      </c>
      <c r="H8" s="59">
        <f t="shared" si="0"/>
        <v>44.5</v>
      </c>
      <c r="I8" s="74">
        <f t="shared" si="1"/>
        <v>74.1666666666667</v>
      </c>
      <c r="J8" s="101" t="str">
        <f t="shared" si="2"/>
        <v>A</v>
      </c>
      <c r="K8" s="78">
        <f t="shared" si="3"/>
        <v>0.741666666666667</v>
      </c>
      <c r="L8" s="34" t="str">
        <f t="shared" si="4"/>
        <v>Pass</v>
      </c>
    </row>
    <row r="9" ht="19.5" customHeight="1" spans="1:12">
      <c r="A9" s="35">
        <v>4</v>
      </c>
      <c r="B9" s="35" t="s">
        <v>141</v>
      </c>
      <c r="C9" s="60" t="s">
        <v>142</v>
      </c>
      <c r="D9" s="100">
        <v>15.5</v>
      </c>
      <c r="E9" s="100">
        <v>12</v>
      </c>
      <c r="F9" s="100">
        <v>13.5</v>
      </c>
      <c r="G9" s="100">
        <v>3.2</v>
      </c>
      <c r="H9" s="59">
        <f t="shared" si="0"/>
        <v>44.2</v>
      </c>
      <c r="I9" s="74">
        <f t="shared" si="1"/>
        <v>73.6666666666667</v>
      </c>
      <c r="J9" s="101" t="str">
        <f t="shared" si="2"/>
        <v>A</v>
      </c>
      <c r="K9" s="78">
        <f t="shared" si="3"/>
        <v>0.736666666666667</v>
      </c>
      <c r="L9" s="34" t="str">
        <f t="shared" si="4"/>
        <v>Pass</v>
      </c>
    </row>
    <row r="10" ht="19.5" customHeight="1" spans="1:12">
      <c r="A10" s="27">
        <v>5</v>
      </c>
      <c r="B10" s="27" t="s">
        <v>143</v>
      </c>
      <c r="C10" s="57" t="s">
        <v>144</v>
      </c>
      <c r="D10" s="100">
        <v>17.9</v>
      </c>
      <c r="E10" s="100">
        <v>13.8</v>
      </c>
      <c r="F10" s="100">
        <v>13.1</v>
      </c>
      <c r="G10" s="100">
        <v>3.9</v>
      </c>
      <c r="H10" s="59">
        <f t="shared" si="0"/>
        <v>48.7</v>
      </c>
      <c r="I10" s="74">
        <f t="shared" si="1"/>
        <v>81.1666666666667</v>
      </c>
      <c r="J10" s="101" t="str">
        <f t="shared" si="2"/>
        <v>A+</v>
      </c>
      <c r="K10" s="78">
        <f t="shared" si="3"/>
        <v>0.811666666666667</v>
      </c>
      <c r="L10" s="34" t="str">
        <f t="shared" si="4"/>
        <v>Pass</v>
      </c>
    </row>
    <row r="11" ht="19.5" customHeight="1" spans="1:12">
      <c r="A11" s="35">
        <v>6</v>
      </c>
      <c r="B11" s="35" t="s">
        <v>145</v>
      </c>
      <c r="C11" s="60" t="s">
        <v>146</v>
      </c>
      <c r="D11" s="100">
        <v>15.6</v>
      </c>
      <c r="E11" s="100">
        <v>18.9</v>
      </c>
      <c r="F11" s="100">
        <v>9.6</v>
      </c>
      <c r="G11" s="100">
        <v>3.2</v>
      </c>
      <c r="H11" s="59">
        <f t="shared" si="0"/>
        <v>47.3</v>
      </c>
      <c r="I11" s="74">
        <f t="shared" si="1"/>
        <v>78.8333333333333</v>
      </c>
      <c r="J11" s="101" t="str">
        <f t="shared" si="2"/>
        <v>A</v>
      </c>
      <c r="K11" s="78">
        <f t="shared" si="3"/>
        <v>0.788333333333333</v>
      </c>
      <c r="L11" s="34" t="str">
        <f t="shared" si="4"/>
        <v>Pass</v>
      </c>
    </row>
    <row r="12" ht="19.5" customHeight="1" spans="1:12">
      <c r="A12" s="27">
        <v>7</v>
      </c>
      <c r="B12" s="27" t="s">
        <v>147</v>
      </c>
      <c r="C12" s="57" t="s">
        <v>148</v>
      </c>
      <c r="D12" s="100">
        <v>19.8</v>
      </c>
      <c r="E12" s="100">
        <v>13.8</v>
      </c>
      <c r="F12" s="100">
        <v>14.9</v>
      </c>
      <c r="G12" s="100">
        <v>4.2</v>
      </c>
      <c r="H12" s="59">
        <f t="shared" si="0"/>
        <v>52.7</v>
      </c>
      <c r="I12" s="74">
        <f t="shared" si="1"/>
        <v>87.8333333333333</v>
      </c>
      <c r="J12" s="101" t="str">
        <f t="shared" si="2"/>
        <v>A+</v>
      </c>
      <c r="K12" s="78">
        <f t="shared" si="3"/>
        <v>0.878333333333333</v>
      </c>
      <c r="L12" s="34" t="str">
        <f t="shared" si="4"/>
        <v>Pass</v>
      </c>
    </row>
    <row r="13" ht="19.5" customHeight="1" spans="1:12">
      <c r="A13" s="35">
        <v>8</v>
      </c>
      <c r="B13" s="35" t="s">
        <v>149</v>
      </c>
      <c r="C13" s="60" t="s">
        <v>150</v>
      </c>
      <c r="D13" s="100">
        <v>20.1</v>
      </c>
      <c r="E13" s="100">
        <v>19.6</v>
      </c>
      <c r="F13" s="100">
        <v>11.2</v>
      </c>
      <c r="G13" s="100">
        <v>4.2</v>
      </c>
      <c r="H13" s="59">
        <f t="shared" si="0"/>
        <v>55.1</v>
      </c>
      <c r="I13" s="74">
        <f t="shared" si="1"/>
        <v>91.8333333333333</v>
      </c>
      <c r="J13" s="101" t="str">
        <f t="shared" si="2"/>
        <v>O</v>
      </c>
      <c r="K13" s="78">
        <f t="shared" si="3"/>
        <v>0.918333333333333</v>
      </c>
      <c r="L13" s="34" t="str">
        <f t="shared" si="4"/>
        <v>Pass</v>
      </c>
    </row>
    <row r="14" ht="19.5" customHeight="1" spans="1:12">
      <c r="A14" s="27">
        <v>9</v>
      </c>
      <c r="B14" s="27" t="s">
        <v>151</v>
      </c>
      <c r="C14" s="57" t="s">
        <v>152</v>
      </c>
      <c r="D14" s="100">
        <v>21.3</v>
      </c>
      <c r="E14" s="100">
        <v>19.4</v>
      </c>
      <c r="F14" s="100">
        <v>12.5</v>
      </c>
      <c r="G14" s="100">
        <v>4.9</v>
      </c>
      <c r="H14" s="59">
        <f t="shared" si="0"/>
        <v>58.1</v>
      </c>
      <c r="I14" s="74">
        <f t="shared" si="1"/>
        <v>96.8333333333333</v>
      </c>
      <c r="J14" s="101" t="str">
        <f t="shared" si="2"/>
        <v>O</v>
      </c>
      <c r="K14" s="78">
        <f t="shared" si="3"/>
        <v>0.968333333333333</v>
      </c>
      <c r="L14" s="34" t="str">
        <f t="shared" si="4"/>
        <v>Pass</v>
      </c>
    </row>
    <row r="15" ht="19.5" customHeight="1" spans="1:12">
      <c r="A15" s="35">
        <v>10</v>
      </c>
      <c r="B15" s="35" t="s">
        <v>153</v>
      </c>
      <c r="C15" s="60" t="s">
        <v>154</v>
      </c>
      <c r="D15" s="100">
        <v>14.3</v>
      </c>
      <c r="E15" s="100">
        <v>14</v>
      </c>
      <c r="F15" s="100">
        <v>14.3</v>
      </c>
      <c r="G15" s="100">
        <v>3.1</v>
      </c>
      <c r="H15" s="59">
        <f t="shared" si="0"/>
        <v>45.7</v>
      </c>
      <c r="I15" s="74">
        <f t="shared" si="1"/>
        <v>76.1666666666667</v>
      </c>
      <c r="J15" s="101" t="str">
        <f t="shared" si="2"/>
        <v>A</v>
      </c>
      <c r="K15" s="78">
        <f t="shared" si="3"/>
        <v>0.761666666666667</v>
      </c>
      <c r="L15" s="34" t="str">
        <f t="shared" si="4"/>
        <v>Pass</v>
      </c>
    </row>
    <row r="16" ht="19.5" customHeight="1" spans="1:12">
      <c r="A16" s="27">
        <v>11</v>
      </c>
      <c r="B16" s="27" t="s">
        <v>155</v>
      </c>
      <c r="C16" s="57" t="s">
        <v>156</v>
      </c>
      <c r="D16" s="100">
        <v>21.6</v>
      </c>
      <c r="E16" s="100">
        <v>12.8</v>
      </c>
      <c r="F16" s="100">
        <v>11.7</v>
      </c>
      <c r="G16" s="100">
        <v>3.8</v>
      </c>
      <c r="H16" s="59">
        <f t="shared" si="0"/>
        <v>49.9</v>
      </c>
      <c r="I16" s="74">
        <f t="shared" si="1"/>
        <v>83.1666666666667</v>
      </c>
      <c r="J16" s="101" t="str">
        <f t="shared" si="2"/>
        <v>A+</v>
      </c>
      <c r="K16" s="78">
        <f t="shared" si="3"/>
        <v>0.831666666666667</v>
      </c>
      <c r="L16" s="34" t="str">
        <f t="shared" si="4"/>
        <v>Pass</v>
      </c>
    </row>
    <row r="17" ht="19.5" customHeight="1" spans="1:12">
      <c r="A17" s="35">
        <v>12</v>
      </c>
      <c r="B17" s="35" t="s">
        <v>157</v>
      </c>
      <c r="C17" s="60" t="s">
        <v>158</v>
      </c>
      <c r="D17" s="100">
        <v>20.6</v>
      </c>
      <c r="E17" s="100">
        <v>12</v>
      </c>
      <c r="F17" s="100">
        <v>13.5</v>
      </c>
      <c r="G17" s="100">
        <v>3.5</v>
      </c>
      <c r="H17" s="59">
        <f t="shared" si="0"/>
        <v>49.6</v>
      </c>
      <c r="I17" s="74">
        <f t="shared" si="1"/>
        <v>82.6666666666667</v>
      </c>
      <c r="J17" s="101" t="str">
        <f t="shared" si="2"/>
        <v>A+</v>
      </c>
      <c r="K17" s="78">
        <f t="shared" si="3"/>
        <v>0.826666666666667</v>
      </c>
      <c r="L17" s="34" t="str">
        <f t="shared" si="4"/>
        <v>Pass</v>
      </c>
    </row>
    <row r="18" ht="19.5" customHeight="1" spans="1:12">
      <c r="A18" s="27">
        <v>13</v>
      </c>
      <c r="B18" s="27" t="s">
        <v>159</v>
      </c>
      <c r="C18" s="57" t="s">
        <v>160</v>
      </c>
      <c r="D18" s="100">
        <v>15.2</v>
      </c>
      <c r="E18" s="100">
        <v>12.1</v>
      </c>
      <c r="F18" s="100">
        <v>9.4</v>
      </c>
      <c r="G18" s="100">
        <v>4.5</v>
      </c>
      <c r="H18" s="59">
        <f t="shared" si="0"/>
        <v>41.2</v>
      </c>
      <c r="I18" s="74">
        <f t="shared" si="1"/>
        <v>68.6666666666667</v>
      </c>
      <c r="J18" s="101" t="str">
        <f t="shared" si="2"/>
        <v>A</v>
      </c>
      <c r="K18" s="78">
        <f t="shared" si="3"/>
        <v>0.686666666666667</v>
      </c>
      <c r="L18" s="34" t="str">
        <f t="shared" si="4"/>
        <v>Pass</v>
      </c>
    </row>
    <row r="19" ht="19.5" customHeight="1" spans="1:12">
      <c r="A19" s="35">
        <v>14</v>
      </c>
      <c r="B19" s="35" t="s">
        <v>161</v>
      </c>
      <c r="C19" s="60" t="s">
        <v>162</v>
      </c>
      <c r="D19" s="100">
        <v>15</v>
      </c>
      <c r="E19" s="100">
        <v>16.8</v>
      </c>
      <c r="F19" s="100">
        <v>10.5</v>
      </c>
      <c r="G19" s="100">
        <v>4.1</v>
      </c>
      <c r="H19" s="59">
        <f t="shared" si="0"/>
        <v>46.4</v>
      </c>
      <c r="I19" s="74">
        <f t="shared" si="1"/>
        <v>77.3333333333333</v>
      </c>
      <c r="J19" s="101" t="str">
        <f t="shared" si="2"/>
        <v>A</v>
      </c>
      <c r="K19" s="78">
        <f t="shared" si="3"/>
        <v>0.773333333333333</v>
      </c>
      <c r="L19" s="34" t="str">
        <f t="shared" si="4"/>
        <v>Pass</v>
      </c>
    </row>
    <row r="20" ht="19.5" customHeight="1" spans="1:12">
      <c r="A20" s="27">
        <v>15</v>
      </c>
      <c r="B20" s="27" t="s">
        <v>163</v>
      </c>
      <c r="C20" s="57" t="s">
        <v>164</v>
      </c>
      <c r="D20" s="100">
        <v>21</v>
      </c>
      <c r="E20" s="100">
        <v>13.3</v>
      </c>
      <c r="F20" s="100">
        <v>13.9</v>
      </c>
      <c r="G20" s="100">
        <v>4.4</v>
      </c>
      <c r="H20" s="59">
        <f t="shared" si="0"/>
        <v>52.6</v>
      </c>
      <c r="I20" s="74">
        <f t="shared" si="1"/>
        <v>87.6666666666667</v>
      </c>
      <c r="J20" s="101" t="str">
        <f t="shared" si="2"/>
        <v>A+</v>
      </c>
      <c r="K20" s="78">
        <f t="shared" si="3"/>
        <v>0.876666666666667</v>
      </c>
      <c r="L20" s="34" t="str">
        <f t="shared" si="4"/>
        <v>Pass</v>
      </c>
    </row>
    <row r="21" ht="19.5" customHeight="1" spans="1:12">
      <c r="A21" s="35">
        <v>16</v>
      </c>
      <c r="B21" s="35" t="s">
        <v>165</v>
      </c>
      <c r="C21" s="60" t="s">
        <v>166</v>
      </c>
      <c r="D21" s="100">
        <v>21.5</v>
      </c>
      <c r="E21" s="100">
        <v>18.9</v>
      </c>
      <c r="F21" s="100">
        <v>12.7</v>
      </c>
      <c r="G21" s="100">
        <v>3.4</v>
      </c>
      <c r="H21" s="59">
        <f t="shared" si="0"/>
        <v>56.5</v>
      </c>
      <c r="I21" s="74">
        <f t="shared" si="1"/>
        <v>94.1666666666667</v>
      </c>
      <c r="J21" s="101" t="str">
        <f t="shared" si="2"/>
        <v>O</v>
      </c>
      <c r="K21" s="78">
        <f t="shared" si="3"/>
        <v>0.941666666666667</v>
      </c>
      <c r="L21" s="34" t="str">
        <f t="shared" si="4"/>
        <v>Pass</v>
      </c>
    </row>
    <row r="22" ht="19.5" customHeight="1" spans="1:12">
      <c r="A22" s="27">
        <v>17</v>
      </c>
      <c r="B22" s="27" t="s">
        <v>167</v>
      </c>
      <c r="C22" s="57" t="s">
        <v>168</v>
      </c>
      <c r="D22" s="100">
        <v>15.3</v>
      </c>
      <c r="E22" s="100">
        <v>11</v>
      </c>
      <c r="F22" s="100">
        <v>11.7</v>
      </c>
      <c r="G22" s="100">
        <v>4.8</v>
      </c>
      <c r="H22" s="59">
        <f t="shared" si="0"/>
        <v>42.8</v>
      </c>
      <c r="I22" s="74">
        <f t="shared" si="1"/>
        <v>71.3333333333333</v>
      </c>
      <c r="J22" s="101" t="str">
        <f t="shared" si="2"/>
        <v>A</v>
      </c>
      <c r="K22" s="78">
        <f t="shared" si="3"/>
        <v>0.713333333333333</v>
      </c>
      <c r="L22" s="34" t="str">
        <f t="shared" si="4"/>
        <v>Pass</v>
      </c>
    </row>
    <row r="23" ht="19.5" customHeight="1" spans="1:12">
      <c r="A23" s="35">
        <v>18</v>
      </c>
      <c r="B23" s="35" t="s">
        <v>169</v>
      </c>
      <c r="C23" s="60" t="s">
        <v>170</v>
      </c>
      <c r="D23" s="100">
        <v>14.5</v>
      </c>
      <c r="E23" s="100">
        <v>16.1</v>
      </c>
      <c r="F23" s="100">
        <v>12.3</v>
      </c>
      <c r="G23" s="100">
        <v>3.5</v>
      </c>
      <c r="H23" s="59">
        <f t="shared" si="0"/>
        <v>46.4</v>
      </c>
      <c r="I23" s="74">
        <f t="shared" si="1"/>
        <v>77.3333333333333</v>
      </c>
      <c r="J23" s="101" t="str">
        <f t="shared" si="2"/>
        <v>A</v>
      </c>
      <c r="K23" s="78">
        <f t="shared" si="3"/>
        <v>0.773333333333333</v>
      </c>
      <c r="L23" s="34" t="str">
        <f t="shared" si="4"/>
        <v>Pass</v>
      </c>
    </row>
    <row r="24" ht="19.5" customHeight="1" spans="1:12">
      <c r="A24" s="27">
        <v>19</v>
      </c>
      <c r="B24" s="27" t="s">
        <v>171</v>
      </c>
      <c r="C24" s="57" t="s">
        <v>172</v>
      </c>
      <c r="D24" s="100">
        <v>15.2</v>
      </c>
      <c r="E24" s="100">
        <v>17.4</v>
      </c>
      <c r="F24" s="100">
        <v>10.6</v>
      </c>
      <c r="G24" s="100">
        <v>4.2</v>
      </c>
      <c r="H24" s="59">
        <f t="shared" si="0"/>
        <v>47.4</v>
      </c>
      <c r="I24" s="74">
        <f t="shared" si="1"/>
        <v>79</v>
      </c>
      <c r="J24" s="101" t="str">
        <f t="shared" si="2"/>
        <v>A</v>
      </c>
      <c r="K24" s="78">
        <f t="shared" si="3"/>
        <v>0.79</v>
      </c>
      <c r="L24" s="34" t="str">
        <f t="shared" si="4"/>
        <v>Pass</v>
      </c>
    </row>
    <row r="25" ht="19.5" customHeight="1" spans="1:12">
      <c r="A25" s="35">
        <v>20</v>
      </c>
      <c r="B25" s="35" t="s">
        <v>173</v>
      </c>
      <c r="C25" s="60" t="s">
        <v>174</v>
      </c>
      <c r="D25" s="100">
        <v>21.1</v>
      </c>
      <c r="E25" s="100">
        <v>14</v>
      </c>
      <c r="F25" s="100">
        <v>12</v>
      </c>
      <c r="G25" s="100">
        <v>3.2</v>
      </c>
      <c r="H25" s="59">
        <f t="shared" si="0"/>
        <v>50.3</v>
      </c>
      <c r="I25" s="74">
        <f t="shared" si="1"/>
        <v>83.8333333333333</v>
      </c>
      <c r="J25" s="101" t="str">
        <f t="shared" si="2"/>
        <v>A+</v>
      </c>
      <c r="K25" s="78">
        <f t="shared" si="3"/>
        <v>0.838333333333333</v>
      </c>
      <c r="L25" s="34" t="str">
        <f t="shared" si="4"/>
        <v>Pass</v>
      </c>
    </row>
    <row r="26" ht="19.5" customHeight="1" spans="1:12">
      <c r="A26" s="27">
        <v>21</v>
      </c>
      <c r="B26" s="27" t="s">
        <v>175</v>
      </c>
      <c r="C26" s="57" t="s">
        <v>176</v>
      </c>
      <c r="D26" s="100">
        <v>22.1</v>
      </c>
      <c r="E26" s="100">
        <v>12.1</v>
      </c>
      <c r="F26" s="100">
        <v>11.4</v>
      </c>
      <c r="G26" s="100">
        <v>3.2</v>
      </c>
      <c r="H26" s="59">
        <f t="shared" si="0"/>
        <v>48.8</v>
      </c>
      <c r="I26" s="74">
        <f t="shared" si="1"/>
        <v>81.3333333333333</v>
      </c>
      <c r="J26" s="101" t="str">
        <f t="shared" si="2"/>
        <v>A+</v>
      </c>
      <c r="K26" s="78">
        <f t="shared" si="3"/>
        <v>0.813333333333333</v>
      </c>
      <c r="L26" s="34" t="str">
        <f t="shared" si="4"/>
        <v>Pass</v>
      </c>
    </row>
    <row r="27" ht="19.5" customHeight="1" spans="1:12">
      <c r="A27" s="35">
        <v>22</v>
      </c>
      <c r="B27" s="35" t="s">
        <v>177</v>
      </c>
      <c r="C27" s="60" t="s">
        <v>178</v>
      </c>
      <c r="D27" s="100">
        <v>24.7</v>
      </c>
      <c r="E27" s="100">
        <v>17.7</v>
      </c>
      <c r="F27" s="100">
        <v>10.3</v>
      </c>
      <c r="G27" s="100">
        <v>4.5</v>
      </c>
      <c r="H27" s="59">
        <f t="shared" si="0"/>
        <v>57.2</v>
      </c>
      <c r="I27" s="74">
        <f t="shared" si="1"/>
        <v>95.3333333333333</v>
      </c>
      <c r="J27" s="101" t="str">
        <f t="shared" si="2"/>
        <v>O</v>
      </c>
      <c r="K27" s="78">
        <f t="shared" si="3"/>
        <v>0.953333333333333</v>
      </c>
      <c r="L27" s="34" t="str">
        <f t="shared" si="4"/>
        <v>Pass</v>
      </c>
    </row>
    <row r="28" ht="19.5" customHeight="1" spans="1:12">
      <c r="A28" s="27">
        <v>23</v>
      </c>
      <c r="B28" s="27" t="s">
        <v>179</v>
      </c>
      <c r="C28" s="57" t="s">
        <v>180</v>
      </c>
      <c r="D28" s="100">
        <v>22.9</v>
      </c>
      <c r="E28" s="100">
        <v>12.3</v>
      </c>
      <c r="F28" s="100">
        <v>14.5</v>
      </c>
      <c r="G28" s="100">
        <v>3.5</v>
      </c>
      <c r="H28" s="59">
        <f t="shared" si="0"/>
        <v>53.2</v>
      </c>
      <c r="I28" s="74">
        <f t="shared" si="1"/>
        <v>88.6666666666667</v>
      </c>
      <c r="J28" s="101" t="str">
        <f t="shared" si="2"/>
        <v>A+</v>
      </c>
      <c r="K28" s="78">
        <f t="shared" si="3"/>
        <v>0.886666666666667</v>
      </c>
      <c r="L28" s="34" t="str">
        <f t="shared" si="4"/>
        <v>Pass</v>
      </c>
    </row>
    <row r="29" ht="19.5" customHeight="1" spans="1:12">
      <c r="A29" s="35">
        <v>24</v>
      </c>
      <c r="B29" s="35" t="s">
        <v>181</v>
      </c>
      <c r="C29" s="60" t="s">
        <v>182</v>
      </c>
      <c r="D29" s="100">
        <v>22.2</v>
      </c>
      <c r="E29" s="100">
        <v>14.9</v>
      </c>
      <c r="F29" s="100">
        <v>9.5</v>
      </c>
      <c r="G29" s="100">
        <v>3.8</v>
      </c>
      <c r="H29" s="59">
        <f t="shared" si="0"/>
        <v>50.4</v>
      </c>
      <c r="I29" s="74">
        <f t="shared" si="1"/>
        <v>84</v>
      </c>
      <c r="J29" s="101" t="str">
        <f t="shared" si="2"/>
        <v>A+</v>
      </c>
      <c r="K29" s="78">
        <f t="shared" si="3"/>
        <v>0.84</v>
      </c>
      <c r="L29" s="34" t="str">
        <f t="shared" si="4"/>
        <v>Pass</v>
      </c>
    </row>
    <row r="30" ht="19.5" customHeight="1" spans="1:12">
      <c r="A30" s="27">
        <v>25</v>
      </c>
      <c r="B30" s="27" t="s">
        <v>183</v>
      </c>
      <c r="C30" s="57" t="s">
        <v>184</v>
      </c>
      <c r="D30" s="100">
        <v>16.9</v>
      </c>
      <c r="E30" s="100">
        <v>17.8</v>
      </c>
      <c r="F30" s="100">
        <v>9.5</v>
      </c>
      <c r="G30" s="100">
        <v>3.1</v>
      </c>
      <c r="H30" s="59">
        <f t="shared" si="0"/>
        <v>47.3</v>
      </c>
      <c r="I30" s="74">
        <f t="shared" si="1"/>
        <v>78.8333333333333</v>
      </c>
      <c r="J30" s="101" t="str">
        <f t="shared" si="2"/>
        <v>A</v>
      </c>
      <c r="K30" s="78">
        <f t="shared" si="3"/>
        <v>0.788333333333333</v>
      </c>
      <c r="L30" s="34" t="str">
        <f t="shared" si="4"/>
        <v>Pass</v>
      </c>
    </row>
    <row r="31" ht="19.5" customHeight="1" spans="1:12">
      <c r="A31" s="35">
        <v>26</v>
      </c>
      <c r="B31" s="35" t="s">
        <v>185</v>
      </c>
      <c r="C31" s="60" t="s">
        <v>186</v>
      </c>
      <c r="D31" s="100">
        <v>20.4</v>
      </c>
      <c r="E31" s="100">
        <v>16.7</v>
      </c>
      <c r="F31" s="100">
        <v>8.6</v>
      </c>
      <c r="G31" s="100">
        <v>2.8</v>
      </c>
      <c r="H31" s="59">
        <f t="shared" si="0"/>
        <v>48.5</v>
      </c>
      <c r="I31" s="74">
        <f t="shared" si="1"/>
        <v>80.8333333333333</v>
      </c>
      <c r="J31" s="101" t="str">
        <f t="shared" si="2"/>
        <v>A+</v>
      </c>
      <c r="K31" s="78">
        <f t="shared" si="3"/>
        <v>0.808333333333333</v>
      </c>
      <c r="L31" s="34" t="str">
        <f t="shared" si="4"/>
        <v>Pass</v>
      </c>
    </row>
    <row r="32" ht="19.5" customHeight="1" spans="1:12">
      <c r="A32" s="27">
        <v>27</v>
      </c>
      <c r="B32" s="27" t="s">
        <v>187</v>
      </c>
      <c r="C32" s="57" t="s">
        <v>188</v>
      </c>
      <c r="D32" s="100">
        <v>21.8</v>
      </c>
      <c r="E32" s="100">
        <v>16.7</v>
      </c>
      <c r="F32" s="100">
        <v>9.2</v>
      </c>
      <c r="G32" s="100">
        <v>3</v>
      </c>
      <c r="H32" s="59">
        <f t="shared" si="0"/>
        <v>50.7</v>
      </c>
      <c r="I32" s="74">
        <f t="shared" si="1"/>
        <v>84.5</v>
      </c>
      <c r="J32" s="101" t="str">
        <f t="shared" si="2"/>
        <v>A+</v>
      </c>
      <c r="K32" s="78">
        <f t="shared" si="3"/>
        <v>0.845</v>
      </c>
      <c r="L32" s="34" t="str">
        <f t="shared" si="4"/>
        <v>Pass</v>
      </c>
    </row>
    <row r="33" ht="19.5" customHeight="1" spans="1:12">
      <c r="A33" s="35">
        <v>28</v>
      </c>
      <c r="B33" s="35" t="s">
        <v>189</v>
      </c>
      <c r="C33" s="60" t="s">
        <v>190</v>
      </c>
      <c r="D33" s="100">
        <v>22.2</v>
      </c>
      <c r="E33" s="100">
        <v>16.3</v>
      </c>
      <c r="F33" s="100">
        <v>11.5</v>
      </c>
      <c r="G33" s="100">
        <v>3</v>
      </c>
      <c r="H33" s="59">
        <f t="shared" si="0"/>
        <v>53</v>
      </c>
      <c r="I33" s="74">
        <f t="shared" si="1"/>
        <v>88.3333333333333</v>
      </c>
      <c r="J33" s="101" t="str">
        <f t="shared" si="2"/>
        <v>A+</v>
      </c>
      <c r="K33" s="78">
        <f t="shared" si="3"/>
        <v>0.883333333333333</v>
      </c>
      <c r="L33" s="34" t="str">
        <f t="shared" si="4"/>
        <v>Pass</v>
      </c>
    </row>
    <row r="34" ht="19.5" customHeight="1" spans="1:12">
      <c r="A34" s="27">
        <v>29</v>
      </c>
      <c r="B34" s="27" t="s">
        <v>191</v>
      </c>
      <c r="C34" s="57" t="s">
        <v>192</v>
      </c>
      <c r="D34" s="100">
        <v>17.2</v>
      </c>
      <c r="E34" s="100">
        <v>12.4</v>
      </c>
      <c r="F34" s="100">
        <v>10.8</v>
      </c>
      <c r="G34" s="100">
        <v>2.9</v>
      </c>
      <c r="H34" s="59">
        <f t="shared" si="0"/>
        <v>43.3</v>
      </c>
      <c r="I34" s="74">
        <f t="shared" si="1"/>
        <v>72.1666666666667</v>
      </c>
      <c r="J34" s="101" t="str">
        <f t="shared" si="2"/>
        <v>A</v>
      </c>
      <c r="K34" s="78">
        <f t="shared" si="3"/>
        <v>0.721666666666667</v>
      </c>
      <c r="L34" s="34" t="str">
        <f t="shared" si="4"/>
        <v>Pass</v>
      </c>
    </row>
    <row r="35" ht="19.5" customHeight="1" spans="1:12">
      <c r="A35" s="35">
        <v>30</v>
      </c>
      <c r="B35" s="35" t="s">
        <v>193</v>
      </c>
      <c r="C35" s="60" t="s">
        <v>194</v>
      </c>
      <c r="D35" s="100">
        <v>20.5</v>
      </c>
      <c r="E35" s="100">
        <v>16.2</v>
      </c>
      <c r="F35" s="100">
        <v>10.7</v>
      </c>
      <c r="G35" s="100">
        <v>3.4</v>
      </c>
      <c r="H35" s="59">
        <f t="shared" si="0"/>
        <v>50.8</v>
      </c>
      <c r="I35" s="74">
        <f t="shared" si="1"/>
        <v>84.6666666666667</v>
      </c>
      <c r="J35" s="101" t="str">
        <f t="shared" si="2"/>
        <v>A+</v>
      </c>
      <c r="K35" s="78">
        <f t="shared" si="3"/>
        <v>0.846666666666667</v>
      </c>
      <c r="L35" s="34" t="str">
        <f t="shared" si="4"/>
        <v>Pass</v>
      </c>
    </row>
    <row r="36" ht="19.5" customHeight="1" spans="1:12">
      <c r="A36" s="27">
        <v>31</v>
      </c>
      <c r="B36" s="27" t="s">
        <v>195</v>
      </c>
      <c r="C36" s="57" t="s">
        <v>196</v>
      </c>
      <c r="D36" s="100">
        <v>18.7</v>
      </c>
      <c r="E36" s="100">
        <v>13.6</v>
      </c>
      <c r="F36" s="100">
        <v>12.9</v>
      </c>
      <c r="G36" s="100">
        <v>4.7</v>
      </c>
      <c r="H36" s="59">
        <f t="shared" si="0"/>
        <v>49.9</v>
      </c>
      <c r="I36" s="74">
        <f t="shared" si="1"/>
        <v>83.1666666666667</v>
      </c>
      <c r="J36" s="101" t="str">
        <f t="shared" si="2"/>
        <v>A+</v>
      </c>
      <c r="K36" s="78">
        <f t="shared" si="3"/>
        <v>0.831666666666667</v>
      </c>
      <c r="L36" s="34" t="str">
        <f t="shared" si="4"/>
        <v>Pass</v>
      </c>
    </row>
    <row r="37" ht="19.5" customHeight="1" spans="1:12">
      <c r="A37" s="35">
        <v>32</v>
      </c>
      <c r="B37" s="35" t="s">
        <v>197</v>
      </c>
      <c r="C37" s="60" t="s">
        <v>198</v>
      </c>
      <c r="D37" s="100">
        <v>23.2</v>
      </c>
      <c r="E37" s="100">
        <v>18.2</v>
      </c>
      <c r="F37" s="100">
        <v>9.9</v>
      </c>
      <c r="G37" s="100">
        <v>3.2</v>
      </c>
      <c r="H37" s="59">
        <f t="shared" si="0"/>
        <v>54.5</v>
      </c>
      <c r="I37" s="74">
        <f t="shared" si="1"/>
        <v>90.8333333333333</v>
      </c>
      <c r="J37" s="101" t="str">
        <f t="shared" si="2"/>
        <v>O</v>
      </c>
      <c r="K37" s="78">
        <f t="shared" si="3"/>
        <v>0.908333333333333</v>
      </c>
      <c r="L37" s="34" t="str">
        <f t="shared" si="4"/>
        <v>Pass</v>
      </c>
    </row>
    <row r="38" ht="19.5" customHeight="1" spans="1:12">
      <c r="A38" s="27">
        <v>33</v>
      </c>
      <c r="B38" s="27" t="s">
        <v>199</v>
      </c>
      <c r="C38" s="57" t="s">
        <v>200</v>
      </c>
      <c r="D38" s="100">
        <v>15.6</v>
      </c>
      <c r="E38" s="100">
        <v>13.5</v>
      </c>
      <c r="F38" s="100">
        <v>14.1</v>
      </c>
      <c r="G38" s="100">
        <v>4.8</v>
      </c>
      <c r="H38" s="59">
        <f t="shared" si="0"/>
        <v>48</v>
      </c>
      <c r="I38" s="74">
        <f t="shared" si="1"/>
        <v>80</v>
      </c>
      <c r="J38" s="101" t="str">
        <f t="shared" si="2"/>
        <v>A+</v>
      </c>
      <c r="K38" s="78">
        <f t="shared" si="3"/>
        <v>0.8</v>
      </c>
      <c r="L38" s="34" t="str">
        <f t="shared" si="4"/>
        <v>Pass</v>
      </c>
    </row>
    <row r="39" ht="19.5" customHeight="1" spans="1:12">
      <c r="A39" s="35">
        <v>34</v>
      </c>
      <c r="B39" s="35" t="s">
        <v>201</v>
      </c>
      <c r="C39" s="60" t="s">
        <v>202</v>
      </c>
      <c r="D39" s="100">
        <v>14.2</v>
      </c>
      <c r="E39" s="100">
        <v>16.8</v>
      </c>
      <c r="F39" s="100">
        <v>10.3</v>
      </c>
      <c r="G39" s="100">
        <v>4.9</v>
      </c>
      <c r="H39" s="59">
        <f t="shared" si="0"/>
        <v>46.2</v>
      </c>
      <c r="I39" s="74">
        <f t="shared" si="1"/>
        <v>77</v>
      </c>
      <c r="J39" s="101" t="str">
        <f t="shared" si="2"/>
        <v>A</v>
      </c>
      <c r="K39" s="78">
        <f t="shared" si="3"/>
        <v>0.77</v>
      </c>
      <c r="L39" s="34" t="str">
        <f t="shared" si="4"/>
        <v>Pass</v>
      </c>
    </row>
    <row r="40" ht="19.5" customHeight="1" spans="1:12">
      <c r="A40" s="27">
        <v>35</v>
      </c>
      <c r="B40" s="27" t="s">
        <v>203</v>
      </c>
      <c r="C40" s="57" t="s">
        <v>204</v>
      </c>
      <c r="D40" s="100">
        <v>14.1</v>
      </c>
      <c r="E40" s="100">
        <v>11.9</v>
      </c>
      <c r="F40" s="100">
        <v>13.7</v>
      </c>
      <c r="G40" s="100">
        <v>4.7</v>
      </c>
      <c r="H40" s="59">
        <f t="shared" si="0"/>
        <v>44.4</v>
      </c>
      <c r="I40" s="74">
        <f t="shared" si="1"/>
        <v>74</v>
      </c>
      <c r="J40" s="101" t="str">
        <f t="shared" si="2"/>
        <v>A</v>
      </c>
      <c r="K40" s="78">
        <f t="shared" si="3"/>
        <v>0.74</v>
      </c>
      <c r="L40" s="34" t="str">
        <f t="shared" si="4"/>
        <v>Pass</v>
      </c>
    </row>
    <row r="41" ht="19.5" customHeight="1" spans="1:12">
      <c r="A41" s="35">
        <v>36</v>
      </c>
      <c r="B41" s="35" t="s">
        <v>205</v>
      </c>
      <c r="C41" s="60" t="s">
        <v>206</v>
      </c>
      <c r="D41" s="100">
        <v>22.6</v>
      </c>
      <c r="E41" s="100">
        <v>14.2</v>
      </c>
      <c r="F41" s="100">
        <v>9</v>
      </c>
      <c r="G41" s="100">
        <v>4.2</v>
      </c>
      <c r="H41" s="59">
        <f t="shared" si="0"/>
        <v>50</v>
      </c>
      <c r="I41" s="74">
        <f t="shared" si="1"/>
        <v>83.3333333333333</v>
      </c>
      <c r="J41" s="101" t="str">
        <f t="shared" si="2"/>
        <v>A+</v>
      </c>
      <c r="K41" s="78">
        <f t="shared" si="3"/>
        <v>0.833333333333333</v>
      </c>
      <c r="L41" s="34" t="str">
        <f t="shared" si="4"/>
        <v>Pass</v>
      </c>
    </row>
    <row r="42" ht="19.5" customHeight="1" spans="1:12">
      <c r="A42" s="27">
        <v>37</v>
      </c>
      <c r="B42" s="27" t="s">
        <v>207</v>
      </c>
      <c r="C42" s="57" t="s">
        <v>208</v>
      </c>
      <c r="D42" s="100">
        <v>19.3</v>
      </c>
      <c r="E42" s="100">
        <v>15.8</v>
      </c>
      <c r="F42" s="100">
        <v>11.5</v>
      </c>
      <c r="G42" s="100">
        <v>3.7</v>
      </c>
      <c r="H42" s="59">
        <f t="shared" si="0"/>
        <v>50.3</v>
      </c>
      <c r="I42" s="74">
        <f t="shared" si="1"/>
        <v>83.8333333333333</v>
      </c>
      <c r="J42" s="101" t="str">
        <f t="shared" si="2"/>
        <v>A+</v>
      </c>
      <c r="K42" s="78">
        <f t="shared" si="3"/>
        <v>0.838333333333333</v>
      </c>
      <c r="L42" s="34" t="str">
        <f t="shared" si="4"/>
        <v>Pass</v>
      </c>
    </row>
    <row r="43" ht="19.5" customHeight="1" spans="1:12">
      <c r="A43" s="35">
        <v>38</v>
      </c>
      <c r="B43" s="35" t="s">
        <v>209</v>
      </c>
      <c r="C43" s="60" t="s">
        <v>210</v>
      </c>
      <c r="D43" s="100">
        <v>15.2</v>
      </c>
      <c r="E43" s="100">
        <v>17.1</v>
      </c>
      <c r="F43" s="100">
        <v>11.8</v>
      </c>
      <c r="G43" s="100">
        <v>4</v>
      </c>
      <c r="H43" s="59">
        <f t="shared" si="0"/>
        <v>48.1</v>
      </c>
      <c r="I43" s="74">
        <f t="shared" si="1"/>
        <v>80.1666666666667</v>
      </c>
      <c r="J43" s="101" t="str">
        <f t="shared" si="2"/>
        <v>A+</v>
      </c>
      <c r="K43" s="78">
        <f t="shared" si="3"/>
        <v>0.801666666666667</v>
      </c>
      <c r="L43" s="34" t="str">
        <f t="shared" si="4"/>
        <v>Pass</v>
      </c>
    </row>
    <row r="44" ht="19.5" customHeight="1" spans="1:12">
      <c r="A44" s="27">
        <v>39</v>
      </c>
      <c r="B44" s="27" t="s">
        <v>211</v>
      </c>
      <c r="C44" s="57" t="s">
        <v>212</v>
      </c>
      <c r="D44" s="100">
        <v>15</v>
      </c>
      <c r="E44" s="100">
        <v>13.6</v>
      </c>
      <c r="F44" s="100">
        <v>11</v>
      </c>
      <c r="G44" s="100">
        <v>4.1</v>
      </c>
      <c r="H44" s="59">
        <f t="shared" si="0"/>
        <v>43.7</v>
      </c>
      <c r="I44" s="74">
        <f t="shared" si="1"/>
        <v>72.8333333333333</v>
      </c>
      <c r="J44" s="101" t="str">
        <f t="shared" si="2"/>
        <v>A</v>
      </c>
      <c r="K44" s="78">
        <f t="shared" si="3"/>
        <v>0.728333333333333</v>
      </c>
      <c r="L44" s="34" t="str">
        <f t="shared" si="4"/>
        <v>Pass</v>
      </c>
    </row>
    <row r="45" ht="19.5" customHeight="1" spans="1:12">
      <c r="A45" s="35">
        <v>40</v>
      </c>
      <c r="B45" s="35" t="s">
        <v>213</v>
      </c>
      <c r="C45" s="60" t="s">
        <v>214</v>
      </c>
      <c r="D45" s="100">
        <v>15.8</v>
      </c>
      <c r="E45" s="100">
        <v>18.6</v>
      </c>
      <c r="F45" s="100">
        <v>9.8</v>
      </c>
      <c r="G45" s="100">
        <v>3.5</v>
      </c>
      <c r="H45" s="59">
        <f t="shared" si="0"/>
        <v>47.7</v>
      </c>
      <c r="I45" s="74">
        <f t="shared" si="1"/>
        <v>79.5</v>
      </c>
      <c r="J45" s="101" t="str">
        <f t="shared" si="2"/>
        <v>A</v>
      </c>
      <c r="K45" s="78">
        <f t="shared" si="3"/>
        <v>0.795</v>
      </c>
      <c r="L45" s="34" t="str">
        <f t="shared" si="4"/>
        <v>Pass</v>
      </c>
    </row>
    <row r="46" ht="19.5" customHeight="1" spans="1:12">
      <c r="A46" s="27">
        <v>41</v>
      </c>
      <c r="B46" s="27" t="s">
        <v>215</v>
      </c>
      <c r="C46" s="57" t="s">
        <v>216</v>
      </c>
      <c r="D46" s="100">
        <v>24.2</v>
      </c>
      <c r="E46" s="100">
        <v>15.6</v>
      </c>
      <c r="F46" s="100">
        <v>8.9</v>
      </c>
      <c r="G46" s="100">
        <v>3.7</v>
      </c>
      <c r="H46" s="59">
        <f t="shared" si="0"/>
        <v>52.4</v>
      </c>
      <c r="I46" s="74">
        <f t="shared" si="1"/>
        <v>87.3333333333333</v>
      </c>
      <c r="J46" s="101" t="str">
        <f t="shared" si="2"/>
        <v>A+</v>
      </c>
      <c r="K46" s="78">
        <f t="shared" si="3"/>
        <v>0.873333333333333</v>
      </c>
      <c r="L46" s="34" t="str">
        <f t="shared" si="4"/>
        <v>Pass</v>
      </c>
    </row>
    <row r="47" ht="19.5" customHeight="1" spans="1:12">
      <c r="A47" s="35">
        <v>42</v>
      </c>
      <c r="B47" s="35" t="s">
        <v>217</v>
      </c>
      <c r="C47" s="60" t="s">
        <v>218</v>
      </c>
      <c r="D47" s="100">
        <v>15.4</v>
      </c>
      <c r="E47" s="100">
        <v>11.4</v>
      </c>
      <c r="F47" s="100">
        <v>13</v>
      </c>
      <c r="G47" s="100">
        <v>4.1</v>
      </c>
      <c r="H47" s="59">
        <f t="shared" si="0"/>
        <v>43.9</v>
      </c>
      <c r="I47" s="74">
        <f t="shared" si="1"/>
        <v>73.1666666666667</v>
      </c>
      <c r="J47" s="101" t="str">
        <f t="shared" si="2"/>
        <v>A</v>
      </c>
      <c r="K47" s="78">
        <f t="shared" si="3"/>
        <v>0.731666666666667</v>
      </c>
      <c r="L47" s="34" t="str">
        <f t="shared" si="4"/>
        <v>Pass</v>
      </c>
    </row>
    <row r="48" ht="19.5" customHeight="1" spans="1:12">
      <c r="A48" s="27">
        <v>43</v>
      </c>
      <c r="B48" s="27" t="s">
        <v>219</v>
      </c>
      <c r="C48" s="57" t="s">
        <v>220</v>
      </c>
      <c r="D48" s="100">
        <v>22.5</v>
      </c>
      <c r="E48" s="100">
        <v>19.4</v>
      </c>
      <c r="F48" s="100">
        <v>12.6</v>
      </c>
      <c r="G48" s="100">
        <v>3.7</v>
      </c>
      <c r="H48" s="59">
        <f t="shared" si="0"/>
        <v>58.2</v>
      </c>
      <c r="I48" s="74">
        <f t="shared" si="1"/>
        <v>97</v>
      </c>
      <c r="J48" s="101" t="str">
        <f t="shared" si="2"/>
        <v>O</v>
      </c>
      <c r="K48" s="78">
        <f t="shared" si="3"/>
        <v>0.97</v>
      </c>
      <c r="L48" s="34" t="str">
        <f t="shared" si="4"/>
        <v>Pass</v>
      </c>
    </row>
    <row r="49" ht="19.5" customHeight="1" spans="1:12">
      <c r="A49" s="35">
        <v>44</v>
      </c>
      <c r="B49" s="35" t="s">
        <v>221</v>
      </c>
      <c r="C49" s="60" t="s">
        <v>222</v>
      </c>
      <c r="D49" s="100">
        <v>21.3</v>
      </c>
      <c r="E49" s="100">
        <v>15.4</v>
      </c>
      <c r="F49" s="100">
        <v>11.7</v>
      </c>
      <c r="G49" s="100">
        <v>4.7</v>
      </c>
      <c r="H49" s="59">
        <f t="shared" si="0"/>
        <v>53.1</v>
      </c>
      <c r="I49" s="74">
        <f t="shared" si="1"/>
        <v>88.5</v>
      </c>
      <c r="J49" s="101" t="str">
        <f t="shared" si="2"/>
        <v>A+</v>
      </c>
      <c r="K49" s="78">
        <f t="shared" si="3"/>
        <v>0.885</v>
      </c>
      <c r="L49" s="34" t="str">
        <f t="shared" si="4"/>
        <v>Pass</v>
      </c>
    </row>
    <row r="50" ht="19.5" customHeight="1" spans="1:12">
      <c r="A50" s="27">
        <v>45</v>
      </c>
      <c r="B50" s="27" t="s">
        <v>223</v>
      </c>
      <c r="C50" s="57" t="s">
        <v>224</v>
      </c>
      <c r="D50" s="100">
        <v>19.9</v>
      </c>
      <c r="E50" s="100">
        <v>13.1</v>
      </c>
      <c r="F50" s="100">
        <v>8.3</v>
      </c>
      <c r="G50" s="100">
        <v>2.9</v>
      </c>
      <c r="H50" s="59">
        <f t="shared" si="0"/>
        <v>44.2</v>
      </c>
      <c r="I50" s="74">
        <f t="shared" si="1"/>
        <v>73.6666666666667</v>
      </c>
      <c r="J50" s="101" t="str">
        <f t="shared" si="2"/>
        <v>A</v>
      </c>
      <c r="K50" s="78">
        <f t="shared" si="3"/>
        <v>0.736666666666667</v>
      </c>
      <c r="L50" s="34" t="str">
        <f t="shared" si="4"/>
        <v>Pass</v>
      </c>
    </row>
    <row r="51" ht="19.5" customHeight="1" spans="1:12">
      <c r="A51" s="35">
        <v>46</v>
      </c>
      <c r="B51" s="35" t="s">
        <v>225</v>
      </c>
      <c r="C51" s="60" t="s">
        <v>226</v>
      </c>
      <c r="D51" s="100">
        <v>23.2</v>
      </c>
      <c r="E51" s="100">
        <v>16.9</v>
      </c>
      <c r="F51" s="100">
        <v>8.5</v>
      </c>
      <c r="G51" s="100">
        <v>4.7</v>
      </c>
      <c r="H51" s="59">
        <f t="shared" si="0"/>
        <v>53.3</v>
      </c>
      <c r="I51" s="74">
        <f t="shared" si="1"/>
        <v>88.8333333333333</v>
      </c>
      <c r="J51" s="101" t="str">
        <f t="shared" si="2"/>
        <v>A+</v>
      </c>
      <c r="K51" s="78">
        <f t="shared" si="3"/>
        <v>0.888333333333333</v>
      </c>
      <c r="L51" s="34" t="str">
        <f t="shared" si="4"/>
        <v>Pass</v>
      </c>
    </row>
    <row r="52" ht="19.5" customHeight="1" spans="1:12">
      <c r="A52" s="27">
        <v>47</v>
      </c>
      <c r="B52" s="27" t="s">
        <v>227</v>
      </c>
      <c r="C52" s="57" t="s">
        <v>228</v>
      </c>
      <c r="D52" s="100">
        <v>23.4</v>
      </c>
      <c r="E52" s="100">
        <v>11.6</v>
      </c>
      <c r="F52" s="100">
        <v>10</v>
      </c>
      <c r="G52" s="100">
        <v>4.8</v>
      </c>
      <c r="H52" s="59">
        <f t="shared" si="0"/>
        <v>49.8</v>
      </c>
      <c r="I52" s="74">
        <f t="shared" si="1"/>
        <v>83</v>
      </c>
      <c r="J52" s="101" t="str">
        <f t="shared" si="2"/>
        <v>A+</v>
      </c>
      <c r="K52" s="78">
        <f t="shared" si="3"/>
        <v>0.83</v>
      </c>
      <c r="L52" s="34" t="str">
        <f t="shared" si="4"/>
        <v>Pass</v>
      </c>
    </row>
    <row r="53" ht="19.5" customHeight="1" spans="1:12">
      <c r="A53" s="35">
        <v>48</v>
      </c>
      <c r="B53" s="35" t="s">
        <v>229</v>
      </c>
      <c r="C53" s="60" t="s">
        <v>230</v>
      </c>
      <c r="D53" s="100">
        <v>19</v>
      </c>
      <c r="E53" s="100">
        <v>11.4</v>
      </c>
      <c r="F53" s="100">
        <v>10.6</v>
      </c>
      <c r="G53" s="100">
        <v>4.6</v>
      </c>
      <c r="H53" s="59">
        <f t="shared" si="0"/>
        <v>45.6</v>
      </c>
      <c r="I53" s="74">
        <f t="shared" si="1"/>
        <v>76</v>
      </c>
      <c r="J53" s="101" t="str">
        <f t="shared" si="2"/>
        <v>A</v>
      </c>
      <c r="K53" s="78">
        <f t="shared" si="3"/>
        <v>0.76</v>
      </c>
      <c r="L53" s="34" t="str">
        <f t="shared" si="4"/>
        <v>Pass</v>
      </c>
    </row>
    <row r="54" ht="19.5" customHeight="1" spans="1:12">
      <c r="A54" s="27">
        <v>49</v>
      </c>
      <c r="B54" s="27" t="s">
        <v>231</v>
      </c>
      <c r="C54" s="57" t="s">
        <v>232</v>
      </c>
      <c r="D54" s="100">
        <v>21.8</v>
      </c>
      <c r="E54" s="100">
        <v>12.2</v>
      </c>
      <c r="F54" s="100">
        <v>9.9</v>
      </c>
      <c r="G54" s="100">
        <v>3.7</v>
      </c>
      <c r="H54" s="59">
        <f t="shared" si="0"/>
        <v>47.6</v>
      </c>
      <c r="I54" s="74">
        <f t="shared" si="1"/>
        <v>79.3333333333333</v>
      </c>
      <c r="J54" s="101" t="str">
        <f t="shared" si="2"/>
        <v>A</v>
      </c>
      <c r="K54" s="78">
        <f t="shared" si="3"/>
        <v>0.793333333333333</v>
      </c>
      <c r="L54" s="34" t="str">
        <f t="shared" si="4"/>
        <v>Pass</v>
      </c>
    </row>
    <row r="55" ht="19.5" customHeight="1" spans="1:12">
      <c r="A55" s="35">
        <v>50</v>
      </c>
      <c r="B55" s="35" t="s">
        <v>233</v>
      </c>
      <c r="C55" s="60" t="s">
        <v>234</v>
      </c>
      <c r="D55" s="100">
        <v>24.1</v>
      </c>
      <c r="E55" s="100">
        <v>14.7</v>
      </c>
      <c r="F55" s="100">
        <v>11.9</v>
      </c>
      <c r="G55" s="100">
        <v>5</v>
      </c>
      <c r="H55" s="59">
        <f t="shared" si="0"/>
        <v>55.7</v>
      </c>
      <c r="I55" s="74">
        <f t="shared" si="1"/>
        <v>92.8333333333333</v>
      </c>
      <c r="J55" s="101" t="str">
        <f t="shared" si="2"/>
        <v>O</v>
      </c>
      <c r="K55" s="78">
        <f t="shared" si="3"/>
        <v>0.928333333333333</v>
      </c>
      <c r="L55" s="34" t="str">
        <f t="shared" si="4"/>
        <v>Pass</v>
      </c>
    </row>
    <row r="56" ht="15.15"/>
    <row r="57" ht="21.75" customHeight="1" spans="1:12">
      <c r="A57" s="52" t="s">
        <v>235</v>
      </c>
      <c r="B57" s="52"/>
      <c r="C57" s="52"/>
      <c r="D57" s="61">
        <f t="shared" ref="D57:I57" si="5">AVERAGE(D6:D55)</f>
        <v>19.198</v>
      </c>
      <c r="E57" s="61">
        <f t="shared" si="5"/>
        <v>15.052</v>
      </c>
      <c r="F57" s="61">
        <f t="shared" si="5"/>
        <v>11.428</v>
      </c>
      <c r="G57" s="61">
        <f t="shared" si="5"/>
        <v>3.918</v>
      </c>
      <c r="H57" s="61">
        <f t="shared" si="5"/>
        <v>49.596</v>
      </c>
      <c r="I57" s="61">
        <f t="shared" si="5"/>
        <v>82.66</v>
      </c>
      <c r="J57" s="62"/>
      <c r="K57" s="79">
        <f>AVERAGE(K6:K55)</f>
        <v>0.8266</v>
      </c>
      <c r="L57" s="62"/>
    </row>
  </sheetData>
  <mergeCells count="7">
    <mergeCell ref="A1:L1"/>
    <mergeCell ref="A2:L2"/>
    <mergeCell ref="A4:C4"/>
    <mergeCell ref="D4:G4"/>
    <mergeCell ref="H4:L4"/>
    <mergeCell ref="A5:C5"/>
    <mergeCell ref="A57:C5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showGridLines="0" workbookViewId="0">
      <selection activeCell="A1" sqref="A1:J1"/>
    </sheetView>
  </sheetViews>
  <sheetFormatPr defaultColWidth="8.67592592592593" defaultRowHeight="14.4"/>
  <cols>
    <col min="1" max="1" width="5" customWidth="1"/>
    <col min="2" max="2" width="14" customWidth="1"/>
    <col min="3" max="3" width="22" customWidth="1"/>
    <col min="4" max="4" width="30" customWidth="1"/>
    <col min="5" max="5" width="18" customWidth="1"/>
    <col min="6" max="6" width="16" customWidth="1"/>
    <col min="7" max="7" width="12" customWidth="1"/>
    <col min="8" max="8" width="13" customWidth="1"/>
    <col min="9" max="9" width="18" customWidth="1"/>
    <col min="10" max="10" width="12" customWidth="1"/>
  </cols>
  <sheetData>
    <row r="1" ht="43.5" customHeight="1" spans="1:10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</row>
    <row r="2" ht="13.5" customHeight="1" spans="1:10">
      <c r="A2" s="19" t="s">
        <v>247</v>
      </c>
      <c r="B2" s="19"/>
      <c r="C2" s="19"/>
      <c r="D2" s="19"/>
      <c r="E2" s="19"/>
      <c r="F2" s="19"/>
      <c r="G2" s="19"/>
      <c r="H2" s="19"/>
      <c r="I2" s="19"/>
      <c r="J2" s="19"/>
    </row>
    <row r="3" ht="7.5" customHeight="1"/>
    <row r="4" ht="21.75" customHeight="1" spans="1:10">
      <c r="A4" s="26" t="s">
        <v>248</v>
      </c>
      <c r="B4" s="26" t="s">
        <v>249</v>
      </c>
      <c r="C4" s="26" t="s">
        <v>250</v>
      </c>
      <c r="D4" s="26" t="s">
        <v>251</v>
      </c>
      <c r="E4" s="26" t="s">
        <v>252</v>
      </c>
      <c r="F4" s="26" t="s">
        <v>253</v>
      </c>
      <c r="G4" s="26" t="s">
        <v>254</v>
      </c>
      <c r="H4" s="26" t="s">
        <v>255</v>
      </c>
      <c r="I4" s="26" t="s">
        <v>256</v>
      </c>
      <c r="J4" s="26" t="s">
        <v>257</v>
      </c>
    </row>
    <row r="5" ht="19.5" customHeight="1" spans="1:10">
      <c r="A5" s="27">
        <v>1</v>
      </c>
      <c r="B5" s="27" t="s">
        <v>135</v>
      </c>
      <c r="C5" s="57" t="s">
        <v>136</v>
      </c>
      <c r="D5" s="57" t="s">
        <v>258</v>
      </c>
      <c r="E5" s="27" t="s">
        <v>259</v>
      </c>
      <c r="F5" s="94" t="s">
        <v>260</v>
      </c>
      <c r="G5" s="27" t="s">
        <v>261</v>
      </c>
      <c r="H5" s="95" t="s">
        <v>262</v>
      </c>
      <c r="I5" s="27" t="s">
        <v>263</v>
      </c>
      <c r="J5" s="96" t="s">
        <v>264</v>
      </c>
    </row>
    <row r="6" ht="19.5" customHeight="1" spans="1:10">
      <c r="A6" s="35">
        <v>2</v>
      </c>
      <c r="B6" s="35" t="s">
        <v>137</v>
      </c>
      <c r="C6" s="60" t="s">
        <v>138</v>
      </c>
      <c r="D6" s="60" t="s">
        <v>265</v>
      </c>
      <c r="E6" s="35" t="s">
        <v>266</v>
      </c>
      <c r="F6" s="94" t="s">
        <v>267</v>
      </c>
      <c r="G6" s="35" t="s">
        <v>268</v>
      </c>
      <c r="H6" s="95" t="s">
        <v>262</v>
      </c>
      <c r="I6" s="35" t="s">
        <v>269</v>
      </c>
      <c r="J6" s="96" t="s">
        <v>264</v>
      </c>
    </row>
    <row r="7" ht="19.5" customHeight="1" spans="1:10">
      <c r="A7" s="27">
        <v>3</v>
      </c>
      <c r="B7" s="27" t="s">
        <v>139</v>
      </c>
      <c r="C7" s="57" t="s">
        <v>140</v>
      </c>
      <c r="D7" s="57" t="s">
        <v>270</v>
      </c>
      <c r="E7" s="27" t="s">
        <v>271</v>
      </c>
      <c r="F7" s="94" t="s">
        <v>272</v>
      </c>
      <c r="G7" s="27" t="s">
        <v>273</v>
      </c>
      <c r="H7" s="95" t="s">
        <v>262</v>
      </c>
      <c r="I7" s="27" t="s">
        <v>274</v>
      </c>
      <c r="J7" s="96" t="s">
        <v>264</v>
      </c>
    </row>
    <row r="8" ht="19.5" customHeight="1" spans="1:10">
      <c r="A8" s="35">
        <v>4</v>
      </c>
      <c r="B8" s="35" t="s">
        <v>141</v>
      </c>
      <c r="C8" s="60" t="s">
        <v>142</v>
      </c>
      <c r="D8" s="60" t="s">
        <v>275</v>
      </c>
      <c r="E8" s="35" t="s">
        <v>276</v>
      </c>
      <c r="F8" s="94" t="s">
        <v>260</v>
      </c>
      <c r="G8" s="35" t="s">
        <v>261</v>
      </c>
      <c r="H8" s="95" t="s">
        <v>262</v>
      </c>
      <c r="I8" s="35" t="s">
        <v>277</v>
      </c>
      <c r="J8" s="96" t="s">
        <v>264</v>
      </c>
    </row>
    <row r="9" ht="19.5" customHeight="1" spans="1:10">
      <c r="A9" s="27">
        <v>5</v>
      </c>
      <c r="B9" s="27" t="s">
        <v>143</v>
      </c>
      <c r="C9" s="57" t="s">
        <v>144</v>
      </c>
      <c r="D9" s="57" t="s">
        <v>278</v>
      </c>
      <c r="E9" s="27" t="s">
        <v>279</v>
      </c>
      <c r="F9" s="94" t="s">
        <v>267</v>
      </c>
      <c r="G9" s="27" t="s">
        <v>268</v>
      </c>
      <c r="H9" s="95" t="s">
        <v>262</v>
      </c>
      <c r="I9" s="27" t="s">
        <v>263</v>
      </c>
      <c r="J9" s="96" t="s">
        <v>264</v>
      </c>
    </row>
    <row r="10" ht="19.5" customHeight="1" spans="1:10">
      <c r="A10" s="35">
        <v>6</v>
      </c>
      <c r="B10" s="35" t="s">
        <v>145</v>
      </c>
      <c r="C10" s="60" t="s">
        <v>146</v>
      </c>
      <c r="D10" s="60" t="s">
        <v>280</v>
      </c>
      <c r="E10" s="35" t="s">
        <v>259</v>
      </c>
      <c r="F10" s="94" t="s">
        <v>281</v>
      </c>
      <c r="G10" s="35" t="s">
        <v>282</v>
      </c>
      <c r="H10" s="95" t="s">
        <v>262</v>
      </c>
      <c r="I10" s="35" t="s">
        <v>263</v>
      </c>
      <c r="J10" s="96" t="s">
        <v>264</v>
      </c>
    </row>
    <row r="11" ht="19.5" customHeight="1" spans="1:10">
      <c r="A11" s="27">
        <v>7</v>
      </c>
      <c r="B11" s="27" t="s">
        <v>147</v>
      </c>
      <c r="C11" s="57" t="s">
        <v>148</v>
      </c>
      <c r="D11" s="57" t="s">
        <v>283</v>
      </c>
      <c r="E11" s="27" t="s">
        <v>266</v>
      </c>
      <c r="F11" s="94" t="s">
        <v>260</v>
      </c>
      <c r="G11" s="27" t="s">
        <v>261</v>
      </c>
      <c r="H11" s="95" t="s">
        <v>262</v>
      </c>
      <c r="I11" s="27" t="s">
        <v>269</v>
      </c>
      <c r="J11" s="96" t="s">
        <v>264</v>
      </c>
    </row>
    <row r="12" ht="19.5" customHeight="1" spans="1:10">
      <c r="A12" s="35">
        <v>8</v>
      </c>
      <c r="B12" s="35" t="s">
        <v>149</v>
      </c>
      <c r="C12" s="60" t="s">
        <v>150</v>
      </c>
      <c r="D12" s="60" t="s">
        <v>284</v>
      </c>
      <c r="E12" s="35" t="s">
        <v>266</v>
      </c>
      <c r="F12" s="94" t="s">
        <v>272</v>
      </c>
      <c r="G12" s="35" t="s">
        <v>285</v>
      </c>
      <c r="H12" s="95" t="s">
        <v>262</v>
      </c>
      <c r="I12" s="35" t="s">
        <v>274</v>
      </c>
      <c r="J12" s="96" t="s">
        <v>264</v>
      </c>
    </row>
    <row r="13" ht="19.5" customHeight="1" spans="1:10">
      <c r="A13" s="27">
        <v>9</v>
      </c>
      <c r="B13" s="27" t="s">
        <v>151</v>
      </c>
      <c r="C13" s="57" t="s">
        <v>152</v>
      </c>
      <c r="D13" s="57" t="s">
        <v>286</v>
      </c>
      <c r="E13" s="27" t="s">
        <v>259</v>
      </c>
      <c r="F13" s="94" t="s">
        <v>267</v>
      </c>
      <c r="G13" s="27" t="s">
        <v>268</v>
      </c>
      <c r="H13" s="95" t="s">
        <v>262</v>
      </c>
      <c r="I13" s="27" t="s">
        <v>277</v>
      </c>
      <c r="J13" s="96" t="s">
        <v>264</v>
      </c>
    </row>
    <row r="14" ht="19.5" customHeight="1" spans="1:10">
      <c r="A14" s="35">
        <v>10</v>
      </c>
      <c r="B14" s="35" t="s">
        <v>153</v>
      </c>
      <c r="C14" s="60" t="s">
        <v>154</v>
      </c>
      <c r="D14" s="60" t="s">
        <v>287</v>
      </c>
      <c r="E14" s="35" t="s">
        <v>271</v>
      </c>
      <c r="F14" s="94" t="s">
        <v>260</v>
      </c>
      <c r="G14" s="35" t="s">
        <v>261</v>
      </c>
      <c r="H14" s="95" t="s">
        <v>262</v>
      </c>
      <c r="I14" s="35" t="s">
        <v>263</v>
      </c>
      <c r="J14" s="96" t="s">
        <v>264</v>
      </c>
    </row>
    <row r="15" ht="19.5" customHeight="1" spans="1:10">
      <c r="A15" s="27">
        <v>11</v>
      </c>
      <c r="B15" s="27" t="s">
        <v>155</v>
      </c>
      <c r="C15" s="57" t="s">
        <v>156</v>
      </c>
      <c r="D15" s="57" t="s">
        <v>288</v>
      </c>
      <c r="E15" s="27" t="s">
        <v>289</v>
      </c>
      <c r="F15" s="94" t="s">
        <v>260</v>
      </c>
      <c r="G15" s="27" t="s">
        <v>261</v>
      </c>
      <c r="H15" s="95" t="s">
        <v>262</v>
      </c>
      <c r="I15" s="27" t="s">
        <v>263</v>
      </c>
      <c r="J15" s="96" t="s">
        <v>264</v>
      </c>
    </row>
    <row r="16" ht="19.5" customHeight="1" spans="1:10">
      <c r="A16" s="35">
        <v>12</v>
      </c>
      <c r="B16" s="35" t="s">
        <v>157</v>
      </c>
      <c r="C16" s="60" t="s">
        <v>158</v>
      </c>
      <c r="D16" s="60" t="s">
        <v>290</v>
      </c>
      <c r="E16" s="35" t="s">
        <v>276</v>
      </c>
      <c r="F16" s="94" t="s">
        <v>267</v>
      </c>
      <c r="G16" s="35" t="s">
        <v>268</v>
      </c>
      <c r="H16" s="95" t="s">
        <v>262</v>
      </c>
      <c r="I16" s="35" t="s">
        <v>269</v>
      </c>
      <c r="J16" s="96" t="s">
        <v>264</v>
      </c>
    </row>
    <row r="17" ht="19.5" customHeight="1" spans="1:10">
      <c r="A17" s="27">
        <v>13</v>
      </c>
      <c r="B17" s="27" t="s">
        <v>159</v>
      </c>
      <c r="C17" s="57" t="s">
        <v>160</v>
      </c>
      <c r="D17" s="57" t="s">
        <v>291</v>
      </c>
      <c r="E17" s="27" t="s">
        <v>259</v>
      </c>
      <c r="F17" s="94" t="s">
        <v>272</v>
      </c>
      <c r="G17" s="27" t="s">
        <v>273</v>
      </c>
      <c r="H17" s="95" t="s">
        <v>262</v>
      </c>
      <c r="I17" s="27" t="s">
        <v>274</v>
      </c>
      <c r="J17" s="96" t="s">
        <v>264</v>
      </c>
    </row>
    <row r="18" ht="19.5" customHeight="1" spans="1:10">
      <c r="A18" s="35">
        <v>14</v>
      </c>
      <c r="B18" s="35" t="s">
        <v>161</v>
      </c>
      <c r="C18" s="60" t="s">
        <v>162</v>
      </c>
      <c r="D18" s="60" t="s">
        <v>292</v>
      </c>
      <c r="E18" s="35" t="s">
        <v>266</v>
      </c>
      <c r="F18" s="94" t="s">
        <v>260</v>
      </c>
      <c r="G18" s="35" t="s">
        <v>261</v>
      </c>
      <c r="H18" s="95" t="s">
        <v>262</v>
      </c>
      <c r="I18" s="35" t="s">
        <v>277</v>
      </c>
      <c r="J18" s="96" t="s">
        <v>264</v>
      </c>
    </row>
    <row r="19" ht="19.5" customHeight="1" spans="1:10">
      <c r="A19" s="27">
        <v>15</v>
      </c>
      <c r="B19" s="27" t="s">
        <v>163</v>
      </c>
      <c r="C19" s="57" t="s">
        <v>164</v>
      </c>
      <c r="D19" s="57" t="s">
        <v>293</v>
      </c>
      <c r="E19" s="27" t="s">
        <v>259</v>
      </c>
      <c r="F19" s="94" t="s">
        <v>267</v>
      </c>
      <c r="G19" s="27" t="s">
        <v>268</v>
      </c>
      <c r="H19" s="95" t="s">
        <v>262</v>
      </c>
      <c r="I19" s="27" t="s">
        <v>263</v>
      </c>
      <c r="J19" s="96" t="s">
        <v>264</v>
      </c>
    </row>
    <row r="20" ht="19.5" customHeight="1" spans="1:10">
      <c r="A20" s="35">
        <v>16</v>
      </c>
      <c r="B20" s="35" t="s">
        <v>165</v>
      </c>
      <c r="C20" s="60" t="s">
        <v>166</v>
      </c>
      <c r="D20" s="60" t="s">
        <v>294</v>
      </c>
      <c r="E20" s="35" t="s">
        <v>259</v>
      </c>
      <c r="F20" s="94" t="s">
        <v>281</v>
      </c>
      <c r="G20" s="35" t="s">
        <v>282</v>
      </c>
      <c r="H20" s="95" t="s">
        <v>262</v>
      </c>
      <c r="I20" s="35" t="s">
        <v>263</v>
      </c>
      <c r="J20" s="96" t="s">
        <v>264</v>
      </c>
    </row>
    <row r="21" ht="19.5" customHeight="1" spans="1:10">
      <c r="A21" s="27">
        <v>17</v>
      </c>
      <c r="B21" s="27" t="s">
        <v>167</v>
      </c>
      <c r="C21" s="57" t="s">
        <v>168</v>
      </c>
      <c r="D21" s="57" t="s">
        <v>295</v>
      </c>
      <c r="E21" s="27" t="s">
        <v>271</v>
      </c>
      <c r="F21" s="94" t="s">
        <v>260</v>
      </c>
      <c r="G21" s="27" t="s">
        <v>261</v>
      </c>
      <c r="H21" s="95" t="s">
        <v>262</v>
      </c>
      <c r="I21" s="27" t="s">
        <v>269</v>
      </c>
      <c r="J21" s="96" t="s">
        <v>264</v>
      </c>
    </row>
    <row r="22" ht="19.5" customHeight="1" spans="1:10">
      <c r="A22" s="35">
        <v>18</v>
      </c>
      <c r="B22" s="35" t="s">
        <v>169</v>
      </c>
      <c r="C22" s="60" t="s">
        <v>170</v>
      </c>
      <c r="D22" s="60" t="s">
        <v>296</v>
      </c>
      <c r="E22" s="35" t="s">
        <v>259</v>
      </c>
      <c r="F22" s="94" t="s">
        <v>272</v>
      </c>
      <c r="G22" s="35" t="s">
        <v>285</v>
      </c>
      <c r="H22" s="95" t="s">
        <v>262</v>
      </c>
      <c r="I22" s="35" t="s">
        <v>274</v>
      </c>
      <c r="J22" s="96" t="s">
        <v>264</v>
      </c>
    </row>
    <row r="23" ht="19.5" customHeight="1" spans="1:10">
      <c r="A23" s="27">
        <v>19</v>
      </c>
      <c r="B23" s="27" t="s">
        <v>171</v>
      </c>
      <c r="C23" s="57" t="s">
        <v>172</v>
      </c>
      <c r="D23" s="57" t="s">
        <v>297</v>
      </c>
      <c r="E23" s="27" t="s">
        <v>259</v>
      </c>
      <c r="F23" s="94" t="s">
        <v>267</v>
      </c>
      <c r="G23" s="27" t="s">
        <v>268</v>
      </c>
      <c r="H23" s="95" t="s">
        <v>262</v>
      </c>
      <c r="I23" s="27" t="s">
        <v>277</v>
      </c>
      <c r="J23" s="96" t="s">
        <v>264</v>
      </c>
    </row>
    <row r="24" ht="19.5" customHeight="1" spans="1:10">
      <c r="A24" s="35">
        <v>20</v>
      </c>
      <c r="B24" s="35" t="s">
        <v>173</v>
      </c>
      <c r="C24" s="60" t="s">
        <v>174</v>
      </c>
      <c r="D24" s="60" t="s">
        <v>298</v>
      </c>
      <c r="E24" s="35" t="s">
        <v>266</v>
      </c>
      <c r="F24" s="94" t="s">
        <v>260</v>
      </c>
      <c r="G24" s="35" t="s">
        <v>261</v>
      </c>
      <c r="H24" s="95" t="s">
        <v>262</v>
      </c>
      <c r="I24" s="35" t="s">
        <v>263</v>
      </c>
      <c r="J24" s="96" t="s">
        <v>264</v>
      </c>
    </row>
    <row r="25" ht="19.5" customHeight="1" spans="1:10">
      <c r="A25" s="27">
        <v>21</v>
      </c>
      <c r="B25" s="27" t="s">
        <v>175</v>
      </c>
      <c r="C25" s="57" t="s">
        <v>176</v>
      </c>
      <c r="D25" s="57" t="s">
        <v>299</v>
      </c>
      <c r="E25" s="27" t="s">
        <v>289</v>
      </c>
      <c r="F25" s="94" t="s">
        <v>260</v>
      </c>
      <c r="G25" s="27" t="s">
        <v>261</v>
      </c>
      <c r="H25" s="95" t="s">
        <v>262</v>
      </c>
      <c r="I25" s="27" t="s">
        <v>263</v>
      </c>
      <c r="J25" s="96" t="s">
        <v>264</v>
      </c>
    </row>
    <row r="26" ht="19.5" customHeight="1" spans="1:10">
      <c r="A26" s="35">
        <v>22</v>
      </c>
      <c r="B26" s="35" t="s">
        <v>177</v>
      </c>
      <c r="C26" s="60" t="s">
        <v>178</v>
      </c>
      <c r="D26" s="60" t="s">
        <v>300</v>
      </c>
      <c r="E26" s="35" t="s">
        <v>259</v>
      </c>
      <c r="F26" s="94" t="s">
        <v>267</v>
      </c>
      <c r="G26" s="35" t="s">
        <v>268</v>
      </c>
      <c r="H26" s="95" t="s">
        <v>262</v>
      </c>
      <c r="I26" s="35" t="s">
        <v>269</v>
      </c>
      <c r="J26" s="96" t="s">
        <v>264</v>
      </c>
    </row>
    <row r="27" ht="19.5" customHeight="1" spans="1:10">
      <c r="A27" s="27">
        <v>23</v>
      </c>
      <c r="B27" s="27" t="s">
        <v>179</v>
      </c>
      <c r="C27" s="57" t="s">
        <v>180</v>
      </c>
      <c r="D27" s="57" t="s">
        <v>301</v>
      </c>
      <c r="E27" s="27" t="s">
        <v>271</v>
      </c>
      <c r="F27" s="94" t="s">
        <v>272</v>
      </c>
      <c r="G27" s="27" t="s">
        <v>273</v>
      </c>
      <c r="H27" s="95" t="s">
        <v>262</v>
      </c>
      <c r="I27" s="27" t="s">
        <v>274</v>
      </c>
      <c r="J27" s="96" t="s">
        <v>264</v>
      </c>
    </row>
    <row r="28" ht="19.5" customHeight="1" spans="1:10">
      <c r="A28" s="35">
        <v>24</v>
      </c>
      <c r="B28" s="35" t="s">
        <v>181</v>
      </c>
      <c r="C28" s="60" t="s">
        <v>182</v>
      </c>
      <c r="D28" s="60" t="s">
        <v>302</v>
      </c>
      <c r="E28" s="35" t="s">
        <v>276</v>
      </c>
      <c r="F28" s="94" t="s">
        <v>260</v>
      </c>
      <c r="G28" s="35" t="s">
        <v>261</v>
      </c>
      <c r="H28" s="95" t="s">
        <v>262</v>
      </c>
      <c r="I28" s="35" t="s">
        <v>277</v>
      </c>
      <c r="J28" s="96" t="s">
        <v>264</v>
      </c>
    </row>
    <row r="29" ht="19.5" customHeight="1" spans="1:10">
      <c r="A29" s="27">
        <v>25</v>
      </c>
      <c r="B29" s="27" t="s">
        <v>183</v>
      </c>
      <c r="C29" s="57" t="s">
        <v>184</v>
      </c>
      <c r="D29" s="57" t="s">
        <v>303</v>
      </c>
      <c r="E29" s="27" t="s">
        <v>266</v>
      </c>
      <c r="F29" s="94" t="s">
        <v>267</v>
      </c>
      <c r="G29" s="27" t="s">
        <v>268</v>
      </c>
      <c r="H29" s="95" t="s">
        <v>262</v>
      </c>
      <c r="I29" s="27" t="s">
        <v>263</v>
      </c>
      <c r="J29" s="96" t="s">
        <v>264</v>
      </c>
    </row>
    <row r="30" ht="19.5" customHeight="1" spans="1:10">
      <c r="A30" s="35">
        <v>26</v>
      </c>
      <c r="B30" s="35" t="s">
        <v>185</v>
      </c>
      <c r="C30" s="60" t="s">
        <v>186</v>
      </c>
      <c r="D30" s="60" t="s">
        <v>304</v>
      </c>
      <c r="E30" s="35" t="s">
        <v>259</v>
      </c>
      <c r="F30" s="94" t="s">
        <v>281</v>
      </c>
      <c r="G30" s="35" t="s">
        <v>282</v>
      </c>
      <c r="H30" s="95" t="s">
        <v>262</v>
      </c>
      <c r="I30" s="35" t="s">
        <v>263</v>
      </c>
      <c r="J30" s="96" t="s">
        <v>264</v>
      </c>
    </row>
    <row r="31" ht="19.5" customHeight="1" spans="1:10">
      <c r="A31" s="27">
        <v>27</v>
      </c>
      <c r="B31" s="27" t="s">
        <v>187</v>
      </c>
      <c r="C31" s="57" t="s">
        <v>188</v>
      </c>
      <c r="D31" s="57" t="s">
        <v>305</v>
      </c>
      <c r="E31" s="27" t="s">
        <v>289</v>
      </c>
      <c r="F31" s="94" t="s">
        <v>260</v>
      </c>
      <c r="G31" s="27" t="s">
        <v>261</v>
      </c>
      <c r="H31" s="95" t="s">
        <v>262</v>
      </c>
      <c r="I31" s="27" t="s">
        <v>269</v>
      </c>
      <c r="J31" s="96" t="s">
        <v>264</v>
      </c>
    </row>
    <row r="32" ht="19.5" customHeight="1" spans="1:10">
      <c r="A32" s="35">
        <v>28</v>
      </c>
      <c r="B32" s="35" t="s">
        <v>189</v>
      </c>
      <c r="C32" s="60" t="s">
        <v>190</v>
      </c>
      <c r="D32" s="60" t="s">
        <v>306</v>
      </c>
      <c r="E32" s="35" t="s">
        <v>307</v>
      </c>
      <c r="F32" s="94" t="s">
        <v>272</v>
      </c>
      <c r="G32" s="35" t="s">
        <v>285</v>
      </c>
      <c r="H32" s="95" t="s">
        <v>262</v>
      </c>
      <c r="I32" s="35" t="s">
        <v>274</v>
      </c>
      <c r="J32" s="96" t="s">
        <v>264</v>
      </c>
    </row>
    <row r="33" ht="19.5" customHeight="1" spans="1:10">
      <c r="A33" s="27">
        <v>29</v>
      </c>
      <c r="B33" s="27" t="s">
        <v>191</v>
      </c>
      <c r="C33" s="57" t="s">
        <v>192</v>
      </c>
      <c r="D33" s="57" t="s">
        <v>308</v>
      </c>
      <c r="E33" s="27" t="s">
        <v>276</v>
      </c>
      <c r="F33" s="94" t="s">
        <v>267</v>
      </c>
      <c r="G33" s="27" t="s">
        <v>268</v>
      </c>
      <c r="H33" s="95" t="s">
        <v>262</v>
      </c>
      <c r="I33" s="27" t="s">
        <v>277</v>
      </c>
      <c r="J33" s="96" t="s">
        <v>264</v>
      </c>
    </row>
    <row r="34" ht="19.5" customHeight="1" spans="1:10">
      <c r="A34" s="35">
        <v>30</v>
      </c>
      <c r="B34" s="35" t="s">
        <v>193</v>
      </c>
      <c r="C34" s="60" t="s">
        <v>194</v>
      </c>
      <c r="D34" s="60" t="s">
        <v>309</v>
      </c>
      <c r="E34" s="35" t="s">
        <v>259</v>
      </c>
      <c r="F34" s="94" t="s">
        <v>260</v>
      </c>
      <c r="G34" s="35" t="s">
        <v>261</v>
      </c>
      <c r="H34" s="95" t="s">
        <v>262</v>
      </c>
      <c r="I34" s="35" t="s">
        <v>263</v>
      </c>
      <c r="J34" s="96" t="s">
        <v>264</v>
      </c>
    </row>
    <row r="35" ht="19.5" customHeight="1" spans="1:10">
      <c r="A35" s="27">
        <v>31</v>
      </c>
      <c r="B35" s="27" t="s">
        <v>195</v>
      </c>
      <c r="C35" s="57" t="s">
        <v>196</v>
      </c>
      <c r="D35" s="57" t="s">
        <v>310</v>
      </c>
      <c r="E35" s="27" t="s">
        <v>266</v>
      </c>
      <c r="F35" s="94" t="s">
        <v>260</v>
      </c>
      <c r="G35" s="27" t="s">
        <v>261</v>
      </c>
      <c r="H35" s="95" t="s">
        <v>262</v>
      </c>
      <c r="I35" s="27" t="s">
        <v>263</v>
      </c>
      <c r="J35" s="96" t="s">
        <v>264</v>
      </c>
    </row>
    <row r="36" ht="19.5" customHeight="1" spans="1:10">
      <c r="A36" s="35">
        <v>32</v>
      </c>
      <c r="B36" s="35" t="s">
        <v>197</v>
      </c>
      <c r="C36" s="60" t="s">
        <v>198</v>
      </c>
      <c r="D36" s="60" t="s">
        <v>311</v>
      </c>
      <c r="E36" s="35" t="s">
        <v>259</v>
      </c>
      <c r="F36" s="94" t="s">
        <v>267</v>
      </c>
      <c r="G36" s="35" t="s">
        <v>268</v>
      </c>
      <c r="H36" s="95" t="s">
        <v>262</v>
      </c>
      <c r="I36" s="35" t="s">
        <v>269</v>
      </c>
      <c r="J36" s="96" t="s">
        <v>264</v>
      </c>
    </row>
    <row r="37" ht="19.5" customHeight="1" spans="1:10">
      <c r="A37" s="27">
        <v>33</v>
      </c>
      <c r="B37" s="27" t="s">
        <v>199</v>
      </c>
      <c r="C37" s="57" t="s">
        <v>200</v>
      </c>
      <c r="D37" s="57" t="s">
        <v>312</v>
      </c>
      <c r="E37" s="27" t="s">
        <v>259</v>
      </c>
      <c r="F37" s="94" t="s">
        <v>272</v>
      </c>
      <c r="G37" s="27" t="s">
        <v>273</v>
      </c>
      <c r="H37" s="95" t="s">
        <v>262</v>
      </c>
      <c r="I37" s="27" t="s">
        <v>274</v>
      </c>
      <c r="J37" s="96" t="s">
        <v>264</v>
      </c>
    </row>
    <row r="38" ht="19.5" customHeight="1" spans="1:10">
      <c r="A38" s="35">
        <v>34</v>
      </c>
      <c r="B38" s="35" t="s">
        <v>201</v>
      </c>
      <c r="C38" s="60" t="s">
        <v>202</v>
      </c>
      <c r="D38" s="60" t="s">
        <v>313</v>
      </c>
      <c r="E38" s="35" t="s">
        <v>271</v>
      </c>
      <c r="F38" s="94" t="s">
        <v>260</v>
      </c>
      <c r="G38" s="35" t="s">
        <v>261</v>
      </c>
      <c r="H38" s="95" t="s">
        <v>262</v>
      </c>
      <c r="I38" s="35" t="s">
        <v>277</v>
      </c>
      <c r="J38" s="96" t="s">
        <v>264</v>
      </c>
    </row>
    <row r="39" ht="19.5" customHeight="1" spans="1:10">
      <c r="A39" s="27">
        <v>35</v>
      </c>
      <c r="B39" s="27" t="s">
        <v>203</v>
      </c>
      <c r="C39" s="57" t="s">
        <v>204</v>
      </c>
      <c r="D39" s="57" t="s">
        <v>314</v>
      </c>
      <c r="E39" s="27" t="s">
        <v>279</v>
      </c>
      <c r="F39" s="94" t="s">
        <v>267</v>
      </c>
      <c r="G39" s="27" t="s">
        <v>268</v>
      </c>
      <c r="H39" s="95" t="s">
        <v>262</v>
      </c>
      <c r="I39" s="27" t="s">
        <v>263</v>
      </c>
      <c r="J39" s="96" t="s">
        <v>264</v>
      </c>
    </row>
    <row r="40" ht="19.5" customHeight="1" spans="1:10">
      <c r="A40" s="35">
        <v>36</v>
      </c>
      <c r="B40" s="35" t="s">
        <v>205</v>
      </c>
      <c r="C40" s="60" t="s">
        <v>206</v>
      </c>
      <c r="D40" s="60" t="s">
        <v>315</v>
      </c>
      <c r="E40" s="35" t="s">
        <v>259</v>
      </c>
      <c r="F40" s="94" t="s">
        <v>281</v>
      </c>
      <c r="G40" s="35" t="s">
        <v>282</v>
      </c>
      <c r="H40" s="95" t="s">
        <v>262</v>
      </c>
      <c r="I40" s="35" t="s">
        <v>263</v>
      </c>
      <c r="J40" s="96" t="s">
        <v>264</v>
      </c>
    </row>
    <row r="41" ht="19.5" customHeight="1" spans="1:10">
      <c r="A41" s="27">
        <v>37</v>
      </c>
      <c r="B41" s="27" t="s">
        <v>207</v>
      </c>
      <c r="C41" s="57" t="s">
        <v>208</v>
      </c>
      <c r="D41" s="57" t="s">
        <v>316</v>
      </c>
      <c r="E41" s="27" t="s">
        <v>317</v>
      </c>
      <c r="F41" s="94" t="s">
        <v>260</v>
      </c>
      <c r="G41" s="27" t="s">
        <v>261</v>
      </c>
      <c r="H41" s="95" t="s">
        <v>262</v>
      </c>
      <c r="I41" s="27" t="s">
        <v>269</v>
      </c>
      <c r="J41" s="96" t="s">
        <v>264</v>
      </c>
    </row>
    <row r="42" ht="19.5" customHeight="1" spans="1:10">
      <c r="A42" s="35">
        <v>38</v>
      </c>
      <c r="B42" s="35" t="s">
        <v>209</v>
      </c>
      <c r="C42" s="60" t="s">
        <v>210</v>
      </c>
      <c r="D42" s="60" t="s">
        <v>318</v>
      </c>
      <c r="E42" s="35" t="s">
        <v>266</v>
      </c>
      <c r="F42" s="94" t="s">
        <v>272</v>
      </c>
      <c r="G42" s="35" t="s">
        <v>285</v>
      </c>
      <c r="H42" s="95" t="s">
        <v>262</v>
      </c>
      <c r="I42" s="35" t="s">
        <v>274</v>
      </c>
      <c r="J42" s="96" t="s">
        <v>264</v>
      </c>
    </row>
    <row r="43" ht="19.5" customHeight="1" spans="1:10">
      <c r="A43" s="27">
        <v>39</v>
      </c>
      <c r="B43" s="27" t="s">
        <v>211</v>
      </c>
      <c r="C43" s="57" t="s">
        <v>212</v>
      </c>
      <c r="D43" s="57" t="s">
        <v>319</v>
      </c>
      <c r="E43" s="27" t="s">
        <v>266</v>
      </c>
      <c r="F43" s="94" t="s">
        <v>267</v>
      </c>
      <c r="G43" s="27" t="s">
        <v>268</v>
      </c>
      <c r="H43" s="95" t="s">
        <v>262</v>
      </c>
      <c r="I43" s="27" t="s">
        <v>277</v>
      </c>
      <c r="J43" s="96" t="s">
        <v>264</v>
      </c>
    </row>
    <row r="44" ht="19.5" customHeight="1" spans="1:10">
      <c r="A44" s="35">
        <v>40</v>
      </c>
      <c r="B44" s="35" t="s">
        <v>213</v>
      </c>
      <c r="C44" s="60" t="s">
        <v>214</v>
      </c>
      <c r="D44" s="60" t="s">
        <v>320</v>
      </c>
      <c r="E44" s="35" t="s">
        <v>276</v>
      </c>
      <c r="F44" s="94" t="s">
        <v>260</v>
      </c>
      <c r="G44" s="35" t="s">
        <v>261</v>
      </c>
      <c r="H44" s="95" t="s">
        <v>262</v>
      </c>
      <c r="I44" s="35" t="s">
        <v>263</v>
      </c>
      <c r="J44" s="96" t="s">
        <v>264</v>
      </c>
    </row>
    <row r="45" ht="19.5" customHeight="1" spans="1:10">
      <c r="A45" s="27">
        <v>41</v>
      </c>
      <c r="B45" s="27" t="s">
        <v>215</v>
      </c>
      <c r="C45" s="57" t="s">
        <v>216</v>
      </c>
      <c r="D45" s="57" t="s">
        <v>321</v>
      </c>
      <c r="E45" s="27" t="s">
        <v>271</v>
      </c>
      <c r="F45" s="94" t="s">
        <v>260</v>
      </c>
      <c r="G45" s="27" t="s">
        <v>261</v>
      </c>
      <c r="H45" s="95" t="s">
        <v>262</v>
      </c>
      <c r="I45" s="27" t="s">
        <v>263</v>
      </c>
      <c r="J45" s="96" t="s">
        <v>264</v>
      </c>
    </row>
    <row r="46" ht="19.5" customHeight="1" spans="1:10">
      <c r="A46" s="35">
        <v>42</v>
      </c>
      <c r="B46" s="35" t="s">
        <v>217</v>
      </c>
      <c r="C46" s="60" t="s">
        <v>218</v>
      </c>
      <c r="D46" s="60" t="s">
        <v>322</v>
      </c>
      <c r="E46" s="35" t="s">
        <v>271</v>
      </c>
      <c r="F46" s="94" t="s">
        <v>267</v>
      </c>
      <c r="G46" s="35" t="s">
        <v>268</v>
      </c>
      <c r="H46" s="95" t="s">
        <v>262</v>
      </c>
      <c r="I46" s="35" t="s">
        <v>269</v>
      </c>
      <c r="J46" s="96" t="s">
        <v>264</v>
      </c>
    </row>
    <row r="47" ht="19.5" customHeight="1" spans="1:10">
      <c r="A47" s="27">
        <v>43</v>
      </c>
      <c r="B47" s="27" t="s">
        <v>219</v>
      </c>
      <c r="C47" s="57" t="s">
        <v>220</v>
      </c>
      <c r="D47" s="57" t="s">
        <v>323</v>
      </c>
      <c r="E47" s="27" t="s">
        <v>259</v>
      </c>
      <c r="F47" s="94" t="s">
        <v>272</v>
      </c>
      <c r="G47" s="27" t="s">
        <v>273</v>
      </c>
      <c r="H47" s="95" t="s">
        <v>262</v>
      </c>
      <c r="I47" s="27" t="s">
        <v>274</v>
      </c>
      <c r="J47" s="96" t="s">
        <v>264</v>
      </c>
    </row>
    <row r="48" ht="19.5" customHeight="1" spans="1:10">
      <c r="A48" s="35">
        <v>44</v>
      </c>
      <c r="B48" s="35" t="s">
        <v>221</v>
      </c>
      <c r="C48" s="60" t="s">
        <v>222</v>
      </c>
      <c r="D48" s="60" t="s">
        <v>324</v>
      </c>
      <c r="E48" s="35" t="s">
        <v>289</v>
      </c>
      <c r="F48" s="94" t="s">
        <v>260</v>
      </c>
      <c r="G48" s="35" t="s">
        <v>261</v>
      </c>
      <c r="H48" s="95" t="s">
        <v>262</v>
      </c>
      <c r="I48" s="35" t="s">
        <v>277</v>
      </c>
      <c r="J48" s="96" t="s">
        <v>264</v>
      </c>
    </row>
    <row r="49" ht="19.5" customHeight="1" spans="1:10">
      <c r="A49" s="27">
        <v>45</v>
      </c>
      <c r="B49" s="27" t="s">
        <v>223</v>
      </c>
      <c r="C49" s="57" t="s">
        <v>224</v>
      </c>
      <c r="D49" s="57" t="s">
        <v>325</v>
      </c>
      <c r="E49" s="27" t="s">
        <v>307</v>
      </c>
      <c r="F49" s="94" t="s">
        <v>267</v>
      </c>
      <c r="G49" s="27" t="s">
        <v>268</v>
      </c>
      <c r="H49" s="95" t="s">
        <v>262</v>
      </c>
      <c r="I49" s="27" t="s">
        <v>263</v>
      </c>
      <c r="J49" s="96" t="s">
        <v>264</v>
      </c>
    </row>
    <row r="50" ht="19.5" customHeight="1" spans="1:10">
      <c r="A50" s="35">
        <v>46</v>
      </c>
      <c r="B50" s="35" t="s">
        <v>225</v>
      </c>
      <c r="C50" s="60" t="s">
        <v>226</v>
      </c>
      <c r="D50" s="60" t="s">
        <v>326</v>
      </c>
      <c r="E50" s="35" t="s">
        <v>276</v>
      </c>
      <c r="F50" s="94" t="s">
        <v>281</v>
      </c>
      <c r="G50" s="35" t="s">
        <v>282</v>
      </c>
      <c r="H50" s="95" t="s">
        <v>262</v>
      </c>
      <c r="I50" s="35" t="s">
        <v>263</v>
      </c>
      <c r="J50" s="96" t="s">
        <v>264</v>
      </c>
    </row>
    <row r="51" ht="19.5" customHeight="1" spans="1:10">
      <c r="A51" s="27">
        <v>47</v>
      </c>
      <c r="B51" s="27" t="s">
        <v>227</v>
      </c>
      <c r="C51" s="57" t="s">
        <v>228</v>
      </c>
      <c r="D51" s="57" t="s">
        <v>327</v>
      </c>
      <c r="E51" s="27" t="s">
        <v>266</v>
      </c>
      <c r="F51" s="94" t="s">
        <v>260</v>
      </c>
      <c r="G51" s="27" t="s">
        <v>261</v>
      </c>
      <c r="H51" s="95" t="s">
        <v>262</v>
      </c>
      <c r="I51" s="27" t="s">
        <v>269</v>
      </c>
      <c r="J51" s="96" t="s">
        <v>264</v>
      </c>
    </row>
    <row r="52" ht="19.5" customHeight="1" spans="1:10">
      <c r="A52" s="35">
        <v>48</v>
      </c>
      <c r="B52" s="35" t="s">
        <v>229</v>
      </c>
      <c r="C52" s="60" t="s">
        <v>230</v>
      </c>
      <c r="D52" s="60" t="s">
        <v>328</v>
      </c>
      <c r="E52" s="35" t="s">
        <v>259</v>
      </c>
      <c r="F52" s="94" t="s">
        <v>272</v>
      </c>
      <c r="G52" s="35" t="s">
        <v>285</v>
      </c>
      <c r="H52" s="95" t="s">
        <v>262</v>
      </c>
      <c r="I52" s="35" t="s">
        <v>274</v>
      </c>
      <c r="J52" s="96" t="s">
        <v>264</v>
      </c>
    </row>
    <row r="53" ht="19.5" customHeight="1" spans="1:10">
      <c r="A53" s="27">
        <v>49</v>
      </c>
      <c r="B53" s="27" t="s">
        <v>231</v>
      </c>
      <c r="C53" s="57" t="s">
        <v>232</v>
      </c>
      <c r="D53" s="57" t="s">
        <v>329</v>
      </c>
      <c r="E53" s="27" t="s">
        <v>330</v>
      </c>
      <c r="F53" s="94" t="s">
        <v>267</v>
      </c>
      <c r="G53" s="27" t="s">
        <v>268</v>
      </c>
      <c r="H53" s="95" t="s">
        <v>262</v>
      </c>
      <c r="I53" s="27" t="s">
        <v>277</v>
      </c>
      <c r="J53" s="96" t="s">
        <v>264</v>
      </c>
    </row>
    <row r="54" ht="19.5" customHeight="1" spans="1:10">
      <c r="A54" s="35">
        <v>50</v>
      </c>
      <c r="B54" s="35" t="s">
        <v>233</v>
      </c>
      <c r="C54" s="60" t="s">
        <v>234</v>
      </c>
      <c r="D54" s="60" t="s">
        <v>331</v>
      </c>
      <c r="E54" s="35" t="s">
        <v>259</v>
      </c>
      <c r="F54" s="94" t="s">
        <v>260</v>
      </c>
      <c r="G54" s="35" t="s">
        <v>261</v>
      </c>
      <c r="H54" s="95" t="s">
        <v>262</v>
      </c>
      <c r="I54" s="35" t="s">
        <v>263</v>
      </c>
      <c r="J54" s="96" t="s">
        <v>264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:N1"/>
    </sheetView>
  </sheetViews>
  <sheetFormatPr defaultColWidth="8.67592592592593" defaultRowHeight="14.4"/>
  <cols>
    <col min="1" max="1" width="5" customWidth="1"/>
    <col min="2" max="2" width="14" customWidth="1"/>
    <col min="3" max="3" width="24" customWidth="1"/>
    <col min="4" max="7" width="11" customWidth="1"/>
    <col min="8" max="8" width="9" customWidth="1"/>
    <col min="9" max="13" width="11" customWidth="1"/>
    <col min="14" max="14" width="16" customWidth="1"/>
  </cols>
  <sheetData>
    <row r="1" ht="45.75" customHeight="1" spans="1:14">
      <c r="A1" s="1" t="s">
        <v>332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1" spans="1:14">
      <c r="A2" s="19" t="s">
        <v>333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ht="7.5" customHeight="1"/>
    <row r="4" ht="25.5" customHeight="1" spans="1:14">
      <c r="A4" s="20" t="s">
        <v>334</v>
      </c>
      <c r="B4" s="20"/>
      <c r="C4" s="20"/>
      <c r="D4" s="68" t="s">
        <v>335</v>
      </c>
      <c r="E4" s="68"/>
      <c r="F4" s="68"/>
      <c r="G4" s="68"/>
      <c r="H4" s="68"/>
      <c r="I4" s="63" t="s">
        <v>336</v>
      </c>
      <c r="J4" s="63"/>
      <c r="K4" s="63"/>
      <c r="L4" s="63"/>
      <c r="M4" s="63"/>
      <c r="N4" s="63"/>
    </row>
    <row r="5" ht="19.5" customHeight="1" spans="1:14">
      <c r="A5" s="20" t="s">
        <v>121</v>
      </c>
      <c r="B5" s="20"/>
      <c r="C5" s="20"/>
      <c r="D5" s="69" t="s">
        <v>337</v>
      </c>
      <c r="E5" s="70" t="s">
        <v>338</v>
      </c>
      <c r="F5" s="54" t="s">
        <v>339</v>
      </c>
      <c r="G5" s="54" t="s">
        <v>340</v>
      </c>
      <c r="H5" s="56" t="s">
        <v>129</v>
      </c>
      <c r="I5" s="55" t="s">
        <v>341</v>
      </c>
      <c r="J5" s="69" t="s">
        <v>130</v>
      </c>
      <c r="K5" s="70" t="s">
        <v>245</v>
      </c>
      <c r="L5" s="71" t="s">
        <v>342</v>
      </c>
      <c r="M5" s="53" t="s">
        <v>131</v>
      </c>
      <c r="N5" s="26" t="s">
        <v>343</v>
      </c>
    </row>
    <row r="6" ht="19.5" customHeight="1" spans="1:14">
      <c r="A6" s="27">
        <v>1</v>
      </c>
      <c r="B6" s="27" t="s">
        <v>135</v>
      </c>
      <c r="C6" s="57" t="s">
        <v>136</v>
      </c>
      <c r="D6" s="72">
        <f>'CIE Marks Entry'!I10</f>
        <v>29.1</v>
      </c>
      <c r="E6" s="73">
        <f>'SEE Marks Entry'!H6</f>
        <v>60</v>
      </c>
      <c r="F6" s="59">
        <f t="shared" ref="F6:F55" si="0">D6+E6</f>
        <v>89.1</v>
      </c>
      <c r="G6" s="74">
        <f t="shared" ref="G6:G55" si="1">F6</f>
        <v>89.1</v>
      </c>
      <c r="H6" s="75" t="str">
        <f t="shared" ref="H6:H55" si="2">IF(F6&gt;=80,"O",IF(F6&gt;=70,"A+",IF(F6&gt;=60,"A",IF(F6&gt;=40,"B","F"))))</f>
        <v>O</v>
      </c>
      <c r="I6" s="45" t="str">
        <f t="shared" ref="I6:I55" si="3">IF(F6&gt;=80,"L3",IF(F6&gt;=60,"L2",IF(F6&gt;=40,"L1","L0")))</f>
        <v>L3</v>
      </c>
      <c r="J6" s="76">
        <f t="shared" ref="J6:J55" si="4">D6/40</f>
        <v>0.7275</v>
      </c>
      <c r="K6" s="77">
        <f t="shared" ref="K6:K55" si="5">E6/60</f>
        <v>1</v>
      </c>
      <c r="L6" s="78">
        <f t="shared" ref="L6:L55" si="6">F6/100</f>
        <v>0.891</v>
      </c>
      <c r="M6" s="34" t="str">
        <f t="shared" ref="M6:M55" si="7">IF(F6&gt;=40,"Pass","Fail")</f>
        <v>Pass</v>
      </c>
      <c r="N6" s="39"/>
    </row>
    <row r="7" ht="19.5" customHeight="1" spans="1:14">
      <c r="A7" s="35">
        <v>2</v>
      </c>
      <c r="B7" s="35" t="s">
        <v>137</v>
      </c>
      <c r="C7" s="60" t="s">
        <v>138</v>
      </c>
      <c r="D7" s="72">
        <f>'CIE Marks Entry'!I11</f>
        <v>28.9</v>
      </c>
      <c r="E7" s="73">
        <f>'SEE Marks Entry'!H7</f>
        <v>50.6</v>
      </c>
      <c r="F7" s="59">
        <f t="shared" si="0"/>
        <v>79.5</v>
      </c>
      <c r="G7" s="74">
        <f t="shared" si="1"/>
        <v>79.5</v>
      </c>
      <c r="H7" s="75" t="str">
        <f t="shared" si="2"/>
        <v>A+</v>
      </c>
      <c r="I7" s="45" t="str">
        <f t="shared" si="3"/>
        <v>L2</v>
      </c>
      <c r="J7" s="76">
        <f t="shared" si="4"/>
        <v>0.7225</v>
      </c>
      <c r="K7" s="77">
        <f t="shared" si="5"/>
        <v>0.843333333333333</v>
      </c>
      <c r="L7" s="78">
        <f t="shared" si="6"/>
        <v>0.795</v>
      </c>
      <c r="M7" s="34" t="str">
        <f t="shared" si="7"/>
        <v>Pass</v>
      </c>
      <c r="N7" s="41"/>
    </row>
    <row r="8" ht="19.5" customHeight="1" spans="1:14">
      <c r="A8" s="27">
        <v>3</v>
      </c>
      <c r="B8" s="27" t="s">
        <v>139</v>
      </c>
      <c r="C8" s="57" t="s">
        <v>140</v>
      </c>
      <c r="D8" s="72">
        <f>'CIE Marks Entry'!I12</f>
        <v>28.8</v>
      </c>
      <c r="E8" s="73">
        <f>'SEE Marks Entry'!H8</f>
        <v>44.5</v>
      </c>
      <c r="F8" s="59">
        <f t="shared" si="0"/>
        <v>73.3</v>
      </c>
      <c r="G8" s="74">
        <f t="shared" si="1"/>
        <v>73.3</v>
      </c>
      <c r="H8" s="75" t="str">
        <f t="shared" si="2"/>
        <v>A+</v>
      </c>
      <c r="I8" s="45" t="str">
        <f t="shared" si="3"/>
        <v>L2</v>
      </c>
      <c r="J8" s="76">
        <f t="shared" si="4"/>
        <v>0.72</v>
      </c>
      <c r="K8" s="77">
        <f t="shared" si="5"/>
        <v>0.741666666666667</v>
      </c>
      <c r="L8" s="78">
        <f t="shared" si="6"/>
        <v>0.733</v>
      </c>
      <c r="M8" s="34" t="str">
        <f t="shared" si="7"/>
        <v>Pass</v>
      </c>
      <c r="N8" s="39"/>
    </row>
    <row r="9" ht="19.5" customHeight="1" spans="1:14">
      <c r="A9" s="35">
        <v>4</v>
      </c>
      <c r="B9" s="35" t="s">
        <v>141</v>
      </c>
      <c r="C9" s="60" t="s">
        <v>142</v>
      </c>
      <c r="D9" s="72">
        <f>'CIE Marks Entry'!I13</f>
        <v>30</v>
      </c>
      <c r="E9" s="73">
        <f>'SEE Marks Entry'!H9</f>
        <v>44.2</v>
      </c>
      <c r="F9" s="59">
        <f t="shared" si="0"/>
        <v>74.2</v>
      </c>
      <c r="G9" s="74">
        <f t="shared" si="1"/>
        <v>74.2</v>
      </c>
      <c r="H9" s="75" t="str">
        <f t="shared" si="2"/>
        <v>A+</v>
      </c>
      <c r="I9" s="45" t="str">
        <f t="shared" si="3"/>
        <v>L2</v>
      </c>
      <c r="J9" s="76">
        <f t="shared" si="4"/>
        <v>0.75</v>
      </c>
      <c r="K9" s="77">
        <f t="shared" si="5"/>
        <v>0.736666666666667</v>
      </c>
      <c r="L9" s="78">
        <f t="shared" si="6"/>
        <v>0.742</v>
      </c>
      <c r="M9" s="34" t="str">
        <f t="shared" si="7"/>
        <v>Pass</v>
      </c>
      <c r="N9" s="41"/>
    </row>
    <row r="10" ht="19.5" customHeight="1" spans="1:14">
      <c r="A10" s="27">
        <v>5</v>
      </c>
      <c r="B10" s="27" t="s">
        <v>143</v>
      </c>
      <c r="C10" s="57" t="s">
        <v>144</v>
      </c>
      <c r="D10" s="72">
        <f>'CIE Marks Entry'!I14</f>
        <v>36.2</v>
      </c>
      <c r="E10" s="73">
        <f>'SEE Marks Entry'!H10</f>
        <v>48.7</v>
      </c>
      <c r="F10" s="59">
        <f t="shared" si="0"/>
        <v>84.9</v>
      </c>
      <c r="G10" s="74">
        <f t="shared" si="1"/>
        <v>84.9</v>
      </c>
      <c r="H10" s="75" t="str">
        <f t="shared" si="2"/>
        <v>O</v>
      </c>
      <c r="I10" s="45" t="str">
        <f t="shared" si="3"/>
        <v>L3</v>
      </c>
      <c r="J10" s="76">
        <f t="shared" si="4"/>
        <v>0.905</v>
      </c>
      <c r="K10" s="77">
        <f t="shared" si="5"/>
        <v>0.811666666666667</v>
      </c>
      <c r="L10" s="78">
        <f t="shared" si="6"/>
        <v>0.849</v>
      </c>
      <c r="M10" s="34" t="str">
        <f t="shared" si="7"/>
        <v>Pass</v>
      </c>
      <c r="N10" s="39"/>
    </row>
    <row r="11" ht="19.5" customHeight="1" spans="1:14">
      <c r="A11" s="35">
        <v>6</v>
      </c>
      <c r="B11" s="35" t="s">
        <v>145</v>
      </c>
      <c r="C11" s="60" t="s">
        <v>146</v>
      </c>
      <c r="D11" s="72">
        <f>'CIE Marks Entry'!I15</f>
        <v>30.7</v>
      </c>
      <c r="E11" s="73">
        <f>'SEE Marks Entry'!H11</f>
        <v>47.3</v>
      </c>
      <c r="F11" s="59">
        <f t="shared" si="0"/>
        <v>78</v>
      </c>
      <c r="G11" s="74">
        <f t="shared" si="1"/>
        <v>78</v>
      </c>
      <c r="H11" s="75" t="str">
        <f t="shared" si="2"/>
        <v>A+</v>
      </c>
      <c r="I11" s="45" t="str">
        <f t="shared" si="3"/>
        <v>L2</v>
      </c>
      <c r="J11" s="76">
        <f t="shared" si="4"/>
        <v>0.7675</v>
      </c>
      <c r="K11" s="77">
        <f t="shared" si="5"/>
        <v>0.788333333333333</v>
      </c>
      <c r="L11" s="78">
        <f t="shared" si="6"/>
        <v>0.78</v>
      </c>
      <c r="M11" s="34" t="str">
        <f t="shared" si="7"/>
        <v>Pass</v>
      </c>
      <c r="N11" s="41"/>
    </row>
    <row r="12" ht="19.5" customHeight="1" spans="1:14">
      <c r="A12" s="27">
        <v>7</v>
      </c>
      <c r="B12" s="27" t="s">
        <v>147</v>
      </c>
      <c r="C12" s="57" t="s">
        <v>148</v>
      </c>
      <c r="D12" s="72">
        <f>'CIE Marks Entry'!I16</f>
        <v>32</v>
      </c>
      <c r="E12" s="73">
        <f>'SEE Marks Entry'!H12</f>
        <v>52.7</v>
      </c>
      <c r="F12" s="59">
        <f t="shared" si="0"/>
        <v>84.7</v>
      </c>
      <c r="G12" s="74">
        <f t="shared" si="1"/>
        <v>84.7</v>
      </c>
      <c r="H12" s="75" t="str">
        <f t="shared" si="2"/>
        <v>O</v>
      </c>
      <c r="I12" s="45" t="str">
        <f t="shared" si="3"/>
        <v>L3</v>
      </c>
      <c r="J12" s="76">
        <f t="shared" si="4"/>
        <v>0.8</v>
      </c>
      <c r="K12" s="77">
        <f t="shared" si="5"/>
        <v>0.878333333333333</v>
      </c>
      <c r="L12" s="78">
        <f t="shared" si="6"/>
        <v>0.847</v>
      </c>
      <c r="M12" s="34" t="str">
        <f t="shared" si="7"/>
        <v>Pass</v>
      </c>
      <c r="N12" s="39"/>
    </row>
    <row r="13" ht="19.5" customHeight="1" spans="1:14">
      <c r="A13" s="35">
        <v>8</v>
      </c>
      <c r="B13" s="35" t="s">
        <v>149</v>
      </c>
      <c r="C13" s="60" t="s">
        <v>150</v>
      </c>
      <c r="D13" s="72">
        <f>'CIE Marks Entry'!I17</f>
        <v>32.4</v>
      </c>
      <c r="E13" s="73">
        <f>'SEE Marks Entry'!H13</f>
        <v>55.1</v>
      </c>
      <c r="F13" s="59">
        <f t="shared" si="0"/>
        <v>87.5</v>
      </c>
      <c r="G13" s="74">
        <f t="shared" si="1"/>
        <v>87.5</v>
      </c>
      <c r="H13" s="75" t="str">
        <f t="shared" si="2"/>
        <v>O</v>
      </c>
      <c r="I13" s="45" t="str">
        <f t="shared" si="3"/>
        <v>L3</v>
      </c>
      <c r="J13" s="76">
        <f t="shared" si="4"/>
        <v>0.81</v>
      </c>
      <c r="K13" s="77">
        <f t="shared" si="5"/>
        <v>0.918333333333333</v>
      </c>
      <c r="L13" s="78">
        <f t="shared" si="6"/>
        <v>0.875</v>
      </c>
      <c r="M13" s="34" t="str">
        <f t="shared" si="7"/>
        <v>Pass</v>
      </c>
      <c r="N13" s="41"/>
    </row>
    <row r="14" ht="19.5" customHeight="1" spans="1:14">
      <c r="A14" s="27">
        <v>9</v>
      </c>
      <c r="B14" s="27" t="s">
        <v>151</v>
      </c>
      <c r="C14" s="57" t="s">
        <v>152</v>
      </c>
      <c r="D14" s="72">
        <f>'CIE Marks Entry'!I18</f>
        <v>32</v>
      </c>
      <c r="E14" s="73">
        <f>'SEE Marks Entry'!H14</f>
        <v>58.1</v>
      </c>
      <c r="F14" s="59">
        <f t="shared" si="0"/>
        <v>90.1</v>
      </c>
      <c r="G14" s="74">
        <f t="shared" si="1"/>
        <v>90.1</v>
      </c>
      <c r="H14" s="75" t="str">
        <f t="shared" si="2"/>
        <v>O</v>
      </c>
      <c r="I14" s="45" t="str">
        <f t="shared" si="3"/>
        <v>L3</v>
      </c>
      <c r="J14" s="76">
        <f t="shared" si="4"/>
        <v>0.8</v>
      </c>
      <c r="K14" s="77">
        <f t="shared" si="5"/>
        <v>0.968333333333333</v>
      </c>
      <c r="L14" s="78">
        <f t="shared" si="6"/>
        <v>0.901</v>
      </c>
      <c r="M14" s="34" t="str">
        <f t="shared" si="7"/>
        <v>Pass</v>
      </c>
      <c r="N14" s="39"/>
    </row>
    <row r="15" ht="19.5" customHeight="1" spans="1:14">
      <c r="A15" s="35">
        <v>10</v>
      </c>
      <c r="B15" s="35" t="s">
        <v>153</v>
      </c>
      <c r="C15" s="60" t="s">
        <v>154</v>
      </c>
      <c r="D15" s="72">
        <f>'CIE Marks Entry'!I19</f>
        <v>33.5</v>
      </c>
      <c r="E15" s="73">
        <f>'SEE Marks Entry'!H15</f>
        <v>45.7</v>
      </c>
      <c r="F15" s="59">
        <f t="shared" si="0"/>
        <v>79.2</v>
      </c>
      <c r="G15" s="74">
        <f t="shared" si="1"/>
        <v>79.2</v>
      </c>
      <c r="H15" s="75" t="str">
        <f t="shared" si="2"/>
        <v>A+</v>
      </c>
      <c r="I15" s="45" t="str">
        <f t="shared" si="3"/>
        <v>L2</v>
      </c>
      <c r="J15" s="76">
        <f t="shared" si="4"/>
        <v>0.8375</v>
      </c>
      <c r="K15" s="77">
        <f t="shared" si="5"/>
        <v>0.761666666666667</v>
      </c>
      <c r="L15" s="78">
        <f t="shared" si="6"/>
        <v>0.792</v>
      </c>
      <c r="M15" s="34" t="str">
        <f t="shared" si="7"/>
        <v>Pass</v>
      </c>
      <c r="N15" s="41"/>
    </row>
    <row r="16" ht="19.5" customHeight="1" spans="1:14">
      <c r="A16" s="27">
        <v>11</v>
      </c>
      <c r="B16" s="27" t="s">
        <v>155</v>
      </c>
      <c r="C16" s="57" t="s">
        <v>156</v>
      </c>
      <c r="D16" s="72">
        <f>'CIE Marks Entry'!I20</f>
        <v>33</v>
      </c>
      <c r="E16" s="73">
        <f>'SEE Marks Entry'!H16</f>
        <v>49.9</v>
      </c>
      <c r="F16" s="59">
        <f t="shared" si="0"/>
        <v>82.9</v>
      </c>
      <c r="G16" s="74">
        <f t="shared" si="1"/>
        <v>82.9</v>
      </c>
      <c r="H16" s="75" t="str">
        <f t="shared" si="2"/>
        <v>O</v>
      </c>
      <c r="I16" s="45" t="str">
        <f t="shared" si="3"/>
        <v>L3</v>
      </c>
      <c r="J16" s="76">
        <f t="shared" si="4"/>
        <v>0.825</v>
      </c>
      <c r="K16" s="77">
        <f t="shared" si="5"/>
        <v>0.831666666666667</v>
      </c>
      <c r="L16" s="78">
        <f t="shared" si="6"/>
        <v>0.829</v>
      </c>
      <c r="M16" s="34" t="str">
        <f t="shared" si="7"/>
        <v>Pass</v>
      </c>
      <c r="N16" s="39"/>
    </row>
    <row r="17" ht="19.5" customHeight="1" spans="1:14">
      <c r="A17" s="35">
        <v>12</v>
      </c>
      <c r="B17" s="35" t="s">
        <v>157</v>
      </c>
      <c r="C17" s="60" t="s">
        <v>158</v>
      </c>
      <c r="D17" s="72">
        <f>'CIE Marks Entry'!I21</f>
        <v>28</v>
      </c>
      <c r="E17" s="73">
        <f>'SEE Marks Entry'!H17</f>
        <v>49.6</v>
      </c>
      <c r="F17" s="59">
        <f t="shared" si="0"/>
        <v>77.6</v>
      </c>
      <c r="G17" s="74">
        <f t="shared" si="1"/>
        <v>77.6</v>
      </c>
      <c r="H17" s="75" t="str">
        <f t="shared" si="2"/>
        <v>A+</v>
      </c>
      <c r="I17" s="45" t="str">
        <f t="shared" si="3"/>
        <v>L2</v>
      </c>
      <c r="J17" s="76">
        <f t="shared" si="4"/>
        <v>0.7</v>
      </c>
      <c r="K17" s="77">
        <f t="shared" si="5"/>
        <v>0.826666666666667</v>
      </c>
      <c r="L17" s="78">
        <f t="shared" si="6"/>
        <v>0.776</v>
      </c>
      <c r="M17" s="34" t="str">
        <f t="shared" si="7"/>
        <v>Pass</v>
      </c>
      <c r="N17" s="41"/>
    </row>
    <row r="18" ht="19.5" customHeight="1" spans="1:14">
      <c r="A18" s="27">
        <v>13</v>
      </c>
      <c r="B18" s="27" t="s">
        <v>159</v>
      </c>
      <c r="C18" s="57" t="s">
        <v>160</v>
      </c>
      <c r="D18" s="72">
        <f>'CIE Marks Entry'!I22</f>
        <v>29.1</v>
      </c>
      <c r="E18" s="73">
        <f>'SEE Marks Entry'!H18</f>
        <v>41.2</v>
      </c>
      <c r="F18" s="59">
        <f t="shared" si="0"/>
        <v>70.3</v>
      </c>
      <c r="G18" s="74">
        <f t="shared" si="1"/>
        <v>70.3</v>
      </c>
      <c r="H18" s="75" t="str">
        <f t="shared" si="2"/>
        <v>A+</v>
      </c>
      <c r="I18" s="45" t="str">
        <f t="shared" si="3"/>
        <v>L2</v>
      </c>
      <c r="J18" s="76">
        <f t="shared" si="4"/>
        <v>0.7275</v>
      </c>
      <c r="K18" s="77">
        <f t="shared" si="5"/>
        <v>0.686666666666667</v>
      </c>
      <c r="L18" s="78">
        <f t="shared" si="6"/>
        <v>0.703</v>
      </c>
      <c r="M18" s="34" t="str">
        <f t="shared" si="7"/>
        <v>Pass</v>
      </c>
      <c r="N18" s="39"/>
    </row>
    <row r="19" ht="19.5" customHeight="1" spans="1:14">
      <c r="A19" s="35">
        <v>14</v>
      </c>
      <c r="B19" s="35" t="s">
        <v>161</v>
      </c>
      <c r="C19" s="60" t="s">
        <v>162</v>
      </c>
      <c r="D19" s="72">
        <f>'CIE Marks Entry'!I23</f>
        <v>33.8</v>
      </c>
      <c r="E19" s="73">
        <f>'SEE Marks Entry'!H19</f>
        <v>46.4</v>
      </c>
      <c r="F19" s="59">
        <f t="shared" si="0"/>
        <v>80.2</v>
      </c>
      <c r="G19" s="74">
        <f t="shared" si="1"/>
        <v>80.2</v>
      </c>
      <c r="H19" s="75" t="str">
        <f t="shared" si="2"/>
        <v>O</v>
      </c>
      <c r="I19" s="45" t="str">
        <f t="shared" si="3"/>
        <v>L3</v>
      </c>
      <c r="J19" s="76">
        <f t="shared" si="4"/>
        <v>0.845</v>
      </c>
      <c r="K19" s="77">
        <f t="shared" si="5"/>
        <v>0.773333333333333</v>
      </c>
      <c r="L19" s="78">
        <f t="shared" si="6"/>
        <v>0.802</v>
      </c>
      <c r="M19" s="34" t="str">
        <f t="shared" si="7"/>
        <v>Pass</v>
      </c>
      <c r="N19" s="41"/>
    </row>
    <row r="20" ht="19.5" customHeight="1" spans="1:14">
      <c r="A20" s="27">
        <v>15</v>
      </c>
      <c r="B20" s="27" t="s">
        <v>163</v>
      </c>
      <c r="C20" s="57" t="s">
        <v>164</v>
      </c>
      <c r="D20" s="72">
        <f>'CIE Marks Entry'!I24</f>
        <v>29.3</v>
      </c>
      <c r="E20" s="73">
        <f>'SEE Marks Entry'!H20</f>
        <v>52.6</v>
      </c>
      <c r="F20" s="59">
        <f t="shared" si="0"/>
        <v>81.9</v>
      </c>
      <c r="G20" s="74">
        <f t="shared" si="1"/>
        <v>81.9</v>
      </c>
      <c r="H20" s="75" t="str">
        <f t="shared" si="2"/>
        <v>O</v>
      </c>
      <c r="I20" s="45" t="str">
        <f t="shared" si="3"/>
        <v>L3</v>
      </c>
      <c r="J20" s="76">
        <f t="shared" si="4"/>
        <v>0.7325</v>
      </c>
      <c r="K20" s="77">
        <f t="shared" si="5"/>
        <v>0.876666666666667</v>
      </c>
      <c r="L20" s="78">
        <f t="shared" si="6"/>
        <v>0.819</v>
      </c>
      <c r="M20" s="34" t="str">
        <f t="shared" si="7"/>
        <v>Pass</v>
      </c>
      <c r="N20" s="39"/>
    </row>
    <row r="21" ht="19.5" customHeight="1" spans="1:14">
      <c r="A21" s="35">
        <v>16</v>
      </c>
      <c r="B21" s="35" t="s">
        <v>165</v>
      </c>
      <c r="C21" s="60" t="s">
        <v>166</v>
      </c>
      <c r="D21" s="72">
        <f>'CIE Marks Entry'!I25</f>
        <v>31.8</v>
      </c>
      <c r="E21" s="73">
        <f>'SEE Marks Entry'!H21</f>
        <v>56.5</v>
      </c>
      <c r="F21" s="59">
        <f t="shared" si="0"/>
        <v>88.3</v>
      </c>
      <c r="G21" s="74">
        <f t="shared" si="1"/>
        <v>88.3</v>
      </c>
      <c r="H21" s="75" t="str">
        <f t="shared" si="2"/>
        <v>O</v>
      </c>
      <c r="I21" s="45" t="str">
        <f t="shared" si="3"/>
        <v>L3</v>
      </c>
      <c r="J21" s="76">
        <f t="shared" si="4"/>
        <v>0.795</v>
      </c>
      <c r="K21" s="77">
        <f t="shared" si="5"/>
        <v>0.941666666666667</v>
      </c>
      <c r="L21" s="78">
        <f t="shared" si="6"/>
        <v>0.883</v>
      </c>
      <c r="M21" s="34" t="str">
        <f t="shared" si="7"/>
        <v>Pass</v>
      </c>
      <c r="N21" s="41"/>
    </row>
    <row r="22" ht="19.5" customHeight="1" spans="1:14">
      <c r="A22" s="27">
        <v>17</v>
      </c>
      <c r="B22" s="27" t="s">
        <v>167</v>
      </c>
      <c r="C22" s="57" t="s">
        <v>168</v>
      </c>
      <c r="D22" s="72">
        <f>'CIE Marks Entry'!I26</f>
        <v>29.4</v>
      </c>
      <c r="E22" s="73">
        <f>'SEE Marks Entry'!H22</f>
        <v>42.8</v>
      </c>
      <c r="F22" s="59">
        <f t="shared" si="0"/>
        <v>72.2</v>
      </c>
      <c r="G22" s="74">
        <f t="shared" si="1"/>
        <v>72.2</v>
      </c>
      <c r="H22" s="75" t="str">
        <f t="shared" si="2"/>
        <v>A+</v>
      </c>
      <c r="I22" s="45" t="str">
        <f t="shared" si="3"/>
        <v>L2</v>
      </c>
      <c r="J22" s="76">
        <f t="shared" si="4"/>
        <v>0.735</v>
      </c>
      <c r="K22" s="77">
        <f t="shared" si="5"/>
        <v>0.713333333333333</v>
      </c>
      <c r="L22" s="78">
        <f t="shared" si="6"/>
        <v>0.722</v>
      </c>
      <c r="M22" s="34" t="str">
        <f t="shared" si="7"/>
        <v>Pass</v>
      </c>
      <c r="N22" s="39"/>
    </row>
    <row r="23" ht="19.5" customHeight="1" spans="1:14">
      <c r="A23" s="35">
        <v>18</v>
      </c>
      <c r="B23" s="35" t="s">
        <v>169</v>
      </c>
      <c r="C23" s="60" t="s">
        <v>170</v>
      </c>
      <c r="D23" s="72">
        <f>'CIE Marks Entry'!I27</f>
        <v>26.5</v>
      </c>
      <c r="E23" s="73">
        <f>'SEE Marks Entry'!H23</f>
        <v>46.4</v>
      </c>
      <c r="F23" s="59">
        <f t="shared" si="0"/>
        <v>72.9</v>
      </c>
      <c r="G23" s="74">
        <f t="shared" si="1"/>
        <v>72.9</v>
      </c>
      <c r="H23" s="75" t="str">
        <f t="shared" si="2"/>
        <v>A+</v>
      </c>
      <c r="I23" s="45" t="str">
        <f t="shared" si="3"/>
        <v>L2</v>
      </c>
      <c r="J23" s="76">
        <f t="shared" si="4"/>
        <v>0.6625</v>
      </c>
      <c r="K23" s="77">
        <f t="shared" si="5"/>
        <v>0.773333333333333</v>
      </c>
      <c r="L23" s="78">
        <f t="shared" si="6"/>
        <v>0.729</v>
      </c>
      <c r="M23" s="34" t="str">
        <f t="shared" si="7"/>
        <v>Pass</v>
      </c>
      <c r="N23" s="41"/>
    </row>
    <row r="24" ht="19.5" customHeight="1" spans="1:14">
      <c r="A24" s="27">
        <v>19</v>
      </c>
      <c r="B24" s="27" t="s">
        <v>171</v>
      </c>
      <c r="C24" s="57" t="s">
        <v>172</v>
      </c>
      <c r="D24" s="72">
        <f>'CIE Marks Entry'!I28</f>
        <v>32</v>
      </c>
      <c r="E24" s="73">
        <f>'SEE Marks Entry'!H24</f>
        <v>47.4</v>
      </c>
      <c r="F24" s="59">
        <f t="shared" si="0"/>
        <v>79.4</v>
      </c>
      <c r="G24" s="74">
        <f t="shared" si="1"/>
        <v>79.4</v>
      </c>
      <c r="H24" s="75" t="str">
        <f t="shared" si="2"/>
        <v>A+</v>
      </c>
      <c r="I24" s="45" t="str">
        <f t="shared" si="3"/>
        <v>L2</v>
      </c>
      <c r="J24" s="76">
        <f t="shared" si="4"/>
        <v>0.8</v>
      </c>
      <c r="K24" s="77">
        <f t="shared" si="5"/>
        <v>0.79</v>
      </c>
      <c r="L24" s="78">
        <f t="shared" si="6"/>
        <v>0.794</v>
      </c>
      <c r="M24" s="34" t="str">
        <f t="shared" si="7"/>
        <v>Pass</v>
      </c>
      <c r="N24" s="39"/>
    </row>
    <row r="25" ht="19.5" customHeight="1" spans="1:14">
      <c r="A25" s="35">
        <v>20</v>
      </c>
      <c r="B25" s="35" t="s">
        <v>173</v>
      </c>
      <c r="C25" s="60" t="s">
        <v>174</v>
      </c>
      <c r="D25" s="72">
        <f>'CIE Marks Entry'!I29</f>
        <v>31.3</v>
      </c>
      <c r="E25" s="73">
        <f>'SEE Marks Entry'!H25</f>
        <v>50.3</v>
      </c>
      <c r="F25" s="59">
        <f t="shared" si="0"/>
        <v>81.6</v>
      </c>
      <c r="G25" s="74">
        <f t="shared" si="1"/>
        <v>81.6</v>
      </c>
      <c r="H25" s="75" t="str">
        <f t="shared" si="2"/>
        <v>O</v>
      </c>
      <c r="I25" s="45" t="str">
        <f t="shared" si="3"/>
        <v>L3</v>
      </c>
      <c r="J25" s="76">
        <f t="shared" si="4"/>
        <v>0.7825</v>
      </c>
      <c r="K25" s="77">
        <f t="shared" si="5"/>
        <v>0.838333333333333</v>
      </c>
      <c r="L25" s="78">
        <f t="shared" si="6"/>
        <v>0.816</v>
      </c>
      <c r="M25" s="34" t="str">
        <f t="shared" si="7"/>
        <v>Pass</v>
      </c>
      <c r="N25" s="41"/>
    </row>
    <row r="26" ht="19.5" customHeight="1" spans="1:14">
      <c r="A26" s="27">
        <v>21</v>
      </c>
      <c r="B26" s="27" t="s">
        <v>175</v>
      </c>
      <c r="C26" s="57" t="s">
        <v>176</v>
      </c>
      <c r="D26" s="72">
        <f>'CIE Marks Entry'!I30</f>
        <v>31</v>
      </c>
      <c r="E26" s="73">
        <f>'SEE Marks Entry'!H26</f>
        <v>48.8</v>
      </c>
      <c r="F26" s="59">
        <f t="shared" si="0"/>
        <v>79.8</v>
      </c>
      <c r="G26" s="74">
        <f t="shared" si="1"/>
        <v>79.8</v>
      </c>
      <c r="H26" s="75" t="str">
        <f t="shared" si="2"/>
        <v>A+</v>
      </c>
      <c r="I26" s="45" t="str">
        <f t="shared" si="3"/>
        <v>L2</v>
      </c>
      <c r="J26" s="76">
        <f t="shared" si="4"/>
        <v>0.775</v>
      </c>
      <c r="K26" s="77">
        <f t="shared" si="5"/>
        <v>0.813333333333333</v>
      </c>
      <c r="L26" s="78">
        <f t="shared" si="6"/>
        <v>0.798</v>
      </c>
      <c r="M26" s="34" t="str">
        <f t="shared" si="7"/>
        <v>Pass</v>
      </c>
      <c r="N26" s="39"/>
    </row>
    <row r="27" ht="19.5" customHeight="1" spans="1:14">
      <c r="A27" s="35">
        <v>22</v>
      </c>
      <c r="B27" s="35" t="s">
        <v>177</v>
      </c>
      <c r="C27" s="60" t="s">
        <v>178</v>
      </c>
      <c r="D27" s="72">
        <f>'CIE Marks Entry'!I31</f>
        <v>33.2</v>
      </c>
      <c r="E27" s="73">
        <f>'SEE Marks Entry'!H27</f>
        <v>57.2</v>
      </c>
      <c r="F27" s="59">
        <f t="shared" si="0"/>
        <v>90.4</v>
      </c>
      <c r="G27" s="74">
        <f t="shared" si="1"/>
        <v>90.4</v>
      </c>
      <c r="H27" s="75" t="str">
        <f t="shared" si="2"/>
        <v>O</v>
      </c>
      <c r="I27" s="45" t="str">
        <f t="shared" si="3"/>
        <v>L3</v>
      </c>
      <c r="J27" s="76">
        <f t="shared" si="4"/>
        <v>0.83</v>
      </c>
      <c r="K27" s="77">
        <f t="shared" si="5"/>
        <v>0.953333333333333</v>
      </c>
      <c r="L27" s="78">
        <f t="shared" si="6"/>
        <v>0.904</v>
      </c>
      <c r="M27" s="34" t="str">
        <f t="shared" si="7"/>
        <v>Pass</v>
      </c>
      <c r="N27" s="41"/>
    </row>
    <row r="28" ht="19.5" customHeight="1" spans="1:14">
      <c r="A28" s="27">
        <v>23</v>
      </c>
      <c r="B28" s="27" t="s">
        <v>179</v>
      </c>
      <c r="C28" s="57" t="s">
        <v>180</v>
      </c>
      <c r="D28" s="72">
        <f>'CIE Marks Entry'!I32</f>
        <v>31.6</v>
      </c>
      <c r="E28" s="73">
        <f>'SEE Marks Entry'!H28</f>
        <v>53.2</v>
      </c>
      <c r="F28" s="59">
        <f t="shared" si="0"/>
        <v>84.8</v>
      </c>
      <c r="G28" s="74">
        <f t="shared" si="1"/>
        <v>84.8</v>
      </c>
      <c r="H28" s="75" t="str">
        <f t="shared" si="2"/>
        <v>O</v>
      </c>
      <c r="I28" s="45" t="str">
        <f t="shared" si="3"/>
        <v>L3</v>
      </c>
      <c r="J28" s="76">
        <f t="shared" si="4"/>
        <v>0.79</v>
      </c>
      <c r="K28" s="77">
        <f t="shared" si="5"/>
        <v>0.886666666666667</v>
      </c>
      <c r="L28" s="78">
        <f t="shared" si="6"/>
        <v>0.848</v>
      </c>
      <c r="M28" s="34" t="str">
        <f t="shared" si="7"/>
        <v>Pass</v>
      </c>
      <c r="N28" s="39"/>
    </row>
    <row r="29" ht="19.5" customHeight="1" spans="1:14">
      <c r="A29" s="35">
        <v>24</v>
      </c>
      <c r="B29" s="35" t="s">
        <v>181</v>
      </c>
      <c r="C29" s="60" t="s">
        <v>182</v>
      </c>
      <c r="D29" s="72">
        <f>'CIE Marks Entry'!I33</f>
        <v>28.3</v>
      </c>
      <c r="E29" s="73">
        <f>'SEE Marks Entry'!H29</f>
        <v>50.4</v>
      </c>
      <c r="F29" s="59">
        <f t="shared" si="0"/>
        <v>78.7</v>
      </c>
      <c r="G29" s="74">
        <f t="shared" si="1"/>
        <v>78.7</v>
      </c>
      <c r="H29" s="75" t="str">
        <f t="shared" si="2"/>
        <v>A+</v>
      </c>
      <c r="I29" s="45" t="str">
        <f t="shared" si="3"/>
        <v>L2</v>
      </c>
      <c r="J29" s="76">
        <f t="shared" si="4"/>
        <v>0.7075</v>
      </c>
      <c r="K29" s="77">
        <f t="shared" si="5"/>
        <v>0.84</v>
      </c>
      <c r="L29" s="78">
        <f t="shared" si="6"/>
        <v>0.787</v>
      </c>
      <c r="M29" s="34" t="str">
        <f t="shared" si="7"/>
        <v>Pass</v>
      </c>
      <c r="N29" s="41"/>
    </row>
    <row r="30" ht="19.5" customHeight="1" spans="1:14">
      <c r="A30" s="27">
        <v>25</v>
      </c>
      <c r="B30" s="27" t="s">
        <v>183</v>
      </c>
      <c r="C30" s="57" t="s">
        <v>184</v>
      </c>
      <c r="D30" s="72">
        <f>'CIE Marks Entry'!I34</f>
        <v>31.9</v>
      </c>
      <c r="E30" s="73">
        <f>'SEE Marks Entry'!H30</f>
        <v>47.3</v>
      </c>
      <c r="F30" s="59">
        <f t="shared" si="0"/>
        <v>79.2</v>
      </c>
      <c r="G30" s="74">
        <f t="shared" si="1"/>
        <v>79.2</v>
      </c>
      <c r="H30" s="75" t="str">
        <f t="shared" si="2"/>
        <v>A+</v>
      </c>
      <c r="I30" s="45" t="str">
        <f t="shared" si="3"/>
        <v>L2</v>
      </c>
      <c r="J30" s="76">
        <f t="shared" si="4"/>
        <v>0.7975</v>
      </c>
      <c r="K30" s="77">
        <f t="shared" si="5"/>
        <v>0.788333333333333</v>
      </c>
      <c r="L30" s="78">
        <f t="shared" si="6"/>
        <v>0.792</v>
      </c>
      <c r="M30" s="34" t="str">
        <f t="shared" si="7"/>
        <v>Pass</v>
      </c>
      <c r="N30" s="39"/>
    </row>
    <row r="31" ht="19.5" customHeight="1" spans="1:14">
      <c r="A31" s="35">
        <v>26</v>
      </c>
      <c r="B31" s="35" t="s">
        <v>185</v>
      </c>
      <c r="C31" s="60" t="s">
        <v>186</v>
      </c>
      <c r="D31" s="72">
        <f>'CIE Marks Entry'!I35</f>
        <v>34.4</v>
      </c>
      <c r="E31" s="73">
        <f>'SEE Marks Entry'!H31</f>
        <v>48.5</v>
      </c>
      <c r="F31" s="59">
        <f t="shared" si="0"/>
        <v>82.9</v>
      </c>
      <c r="G31" s="74">
        <f t="shared" si="1"/>
        <v>82.9</v>
      </c>
      <c r="H31" s="75" t="str">
        <f t="shared" si="2"/>
        <v>O</v>
      </c>
      <c r="I31" s="45" t="str">
        <f t="shared" si="3"/>
        <v>L3</v>
      </c>
      <c r="J31" s="76">
        <f t="shared" si="4"/>
        <v>0.86</v>
      </c>
      <c r="K31" s="77">
        <f t="shared" si="5"/>
        <v>0.808333333333333</v>
      </c>
      <c r="L31" s="78">
        <f t="shared" si="6"/>
        <v>0.829</v>
      </c>
      <c r="M31" s="34" t="str">
        <f t="shared" si="7"/>
        <v>Pass</v>
      </c>
      <c r="N31" s="41"/>
    </row>
    <row r="32" ht="19.5" customHeight="1" spans="1:14">
      <c r="A32" s="27">
        <v>27</v>
      </c>
      <c r="B32" s="27" t="s">
        <v>187</v>
      </c>
      <c r="C32" s="57" t="s">
        <v>188</v>
      </c>
      <c r="D32" s="72">
        <f>'CIE Marks Entry'!I36</f>
        <v>31.8</v>
      </c>
      <c r="E32" s="73">
        <f>'SEE Marks Entry'!H32</f>
        <v>50.7</v>
      </c>
      <c r="F32" s="59">
        <f t="shared" si="0"/>
        <v>82.5</v>
      </c>
      <c r="G32" s="74">
        <f t="shared" si="1"/>
        <v>82.5</v>
      </c>
      <c r="H32" s="75" t="str">
        <f t="shared" si="2"/>
        <v>O</v>
      </c>
      <c r="I32" s="45" t="str">
        <f t="shared" si="3"/>
        <v>L3</v>
      </c>
      <c r="J32" s="76">
        <f t="shared" si="4"/>
        <v>0.795</v>
      </c>
      <c r="K32" s="77">
        <f t="shared" si="5"/>
        <v>0.845</v>
      </c>
      <c r="L32" s="78">
        <f t="shared" si="6"/>
        <v>0.825</v>
      </c>
      <c r="M32" s="34" t="str">
        <f t="shared" si="7"/>
        <v>Pass</v>
      </c>
      <c r="N32" s="39"/>
    </row>
    <row r="33" ht="19.5" customHeight="1" spans="1:14">
      <c r="A33" s="35">
        <v>28</v>
      </c>
      <c r="B33" s="35" t="s">
        <v>189</v>
      </c>
      <c r="C33" s="60" t="s">
        <v>190</v>
      </c>
      <c r="D33" s="72">
        <f>'CIE Marks Entry'!I37</f>
        <v>27</v>
      </c>
      <c r="E33" s="73">
        <f>'SEE Marks Entry'!H33</f>
        <v>53</v>
      </c>
      <c r="F33" s="59">
        <f t="shared" si="0"/>
        <v>80</v>
      </c>
      <c r="G33" s="74">
        <f t="shared" si="1"/>
        <v>80</v>
      </c>
      <c r="H33" s="75" t="str">
        <f t="shared" si="2"/>
        <v>O</v>
      </c>
      <c r="I33" s="45" t="str">
        <f t="shared" si="3"/>
        <v>L3</v>
      </c>
      <c r="J33" s="76">
        <f t="shared" si="4"/>
        <v>0.675</v>
      </c>
      <c r="K33" s="77">
        <f t="shared" si="5"/>
        <v>0.883333333333333</v>
      </c>
      <c r="L33" s="78">
        <f t="shared" si="6"/>
        <v>0.8</v>
      </c>
      <c r="M33" s="34" t="str">
        <f t="shared" si="7"/>
        <v>Pass</v>
      </c>
      <c r="N33" s="41"/>
    </row>
    <row r="34" ht="19.5" customHeight="1" spans="1:14">
      <c r="A34" s="27">
        <v>29</v>
      </c>
      <c r="B34" s="27" t="s">
        <v>191</v>
      </c>
      <c r="C34" s="57" t="s">
        <v>192</v>
      </c>
      <c r="D34" s="72">
        <f>'CIE Marks Entry'!I38</f>
        <v>32.4</v>
      </c>
      <c r="E34" s="73">
        <f>'SEE Marks Entry'!H34</f>
        <v>43.3</v>
      </c>
      <c r="F34" s="59">
        <f t="shared" si="0"/>
        <v>75.7</v>
      </c>
      <c r="G34" s="74">
        <f t="shared" si="1"/>
        <v>75.7</v>
      </c>
      <c r="H34" s="75" t="str">
        <f t="shared" si="2"/>
        <v>A+</v>
      </c>
      <c r="I34" s="45" t="str">
        <f t="shared" si="3"/>
        <v>L2</v>
      </c>
      <c r="J34" s="76">
        <f t="shared" si="4"/>
        <v>0.81</v>
      </c>
      <c r="K34" s="77">
        <f t="shared" si="5"/>
        <v>0.721666666666667</v>
      </c>
      <c r="L34" s="78">
        <f t="shared" si="6"/>
        <v>0.757</v>
      </c>
      <c r="M34" s="34" t="str">
        <f t="shared" si="7"/>
        <v>Pass</v>
      </c>
      <c r="N34" s="39"/>
    </row>
    <row r="35" ht="19.5" customHeight="1" spans="1:14">
      <c r="A35" s="35">
        <v>30</v>
      </c>
      <c r="B35" s="35" t="s">
        <v>193</v>
      </c>
      <c r="C35" s="60" t="s">
        <v>194</v>
      </c>
      <c r="D35" s="72">
        <f>'CIE Marks Entry'!I39</f>
        <v>30.2</v>
      </c>
      <c r="E35" s="73">
        <f>'SEE Marks Entry'!H35</f>
        <v>50.8</v>
      </c>
      <c r="F35" s="59">
        <f t="shared" si="0"/>
        <v>81</v>
      </c>
      <c r="G35" s="74">
        <f t="shared" si="1"/>
        <v>81</v>
      </c>
      <c r="H35" s="75" t="str">
        <f t="shared" si="2"/>
        <v>O</v>
      </c>
      <c r="I35" s="45" t="str">
        <f t="shared" si="3"/>
        <v>L3</v>
      </c>
      <c r="J35" s="76">
        <f t="shared" si="4"/>
        <v>0.755</v>
      </c>
      <c r="K35" s="77">
        <f t="shared" si="5"/>
        <v>0.846666666666667</v>
      </c>
      <c r="L35" s="78">
        <f t="shared" si="6"/>
        <v>0.81</v>
      </c>
      <c r="M35" s="34" t="str">
        <f t="shared" si="7"/>
        <v>Pass</v>
      </c>
      <c r="N35" s="41"/>
    </row>
    <row r="36" ht="19.5" customHeight="1" spans="1:14">
      <c r="A36" s="27">
        <v>31</v>
      </c>
      <c r="B36" s="27" t="s">
        <v>195</v>
      </c>
      <c r="C36" s="57" t="s">
        <v>196</v>
      </c>
      <c r="D36" s="72">
        <f>'CIE Marks Entry'!I40</f>
        <v>28.2</v>
      </c>
      <c r="E36" s="73">
        <f>'SEE Marks Entry'!H36</f>
        <v>49.9</v>
      </c>
      <c r="F36" s="59">
        <f t="shared" si="0"/>
        <v>78.1</v>
      </c>
      <c r="G36" s="74">
        <f t="shared" si="1"/>
        <v>78.1</v>
      </c>
      <c r="H36" s="75" t="str">
        <f t="shared" si="2"/>
        <v>A+</v>
      </c>
      <c r="I36" s="45" t="str">
        <f t="shared" si="3"/>
        <v>L2</v>
      </c>
      <c r="J36" s="76">
        <f t="shared" si="4"/>
        <v>0.705</v>
      </c>
      <c r="K36" s="77">
        <f t="shared" si="5"/>
        <v>0.831666666666667</v>
      </c>
      <c r="L36" s="78">
        <f t="shared" si="6"/>
        <v>0.781</v>
      </c>
      <c r="M36" s="34" t="str">
        <f t="shared" si="7"/>
        <v>Pass</v>
      </c>
      <c r="N36" s="39"/>
    </row>
    <row r="37" ht="19.5" customHeight="1" spans="1:14">
      <c r="A37" s="35">
        <v>32</v>
      </c>
      <c r="B37" s="35" t="s">
        <v>197</v>
      </c>
      <c r="C37" s="60" t="s">
        <v>198</v>
      </c>
      <c r="D37" s="72">
        <f>'CIE Marks Entry'!I41</f>
        <v>29.8</v>
      </c>
      <c r="E37" s="73">
        <f>'SEE Marks Entry'!H37</f>
        <v>54.5</v>
      </c>
      <c r="F37" s="59">
        <f t="shared" si="0"/>
        <v>84.3</v>
      </c>
      <c r="G37" s="74">
        <f t="shared" si="1"/>
        <v>84.3</v>
      </c>
      <c r="H37" s="75" t="str">
        <f t="shared" si="2"/>
        <v>O</v>
      </c>
      <c r="I37" s="45" t="str">
        <f t="shared" si="3"/>
        <v>L3</v>
      </c>
      <c r="J37" s="76">
        <f t="shared" si="4"/>
        <v>0.745</v>
      </c>
      <c r="K37" s="77">
        <f t="shared" si="5"/>
        <v>0.908333333333333</v>
      </c>
      <c r="L37" s="78">
        <f t="shared" si="6"/>
        <v>0.843</v>
      </c>
      <c r="M37" s="34" t="str">
        <f t="shared" si="7"/>
        <v>Pass</v>
      </c>
      <c r="N37" s="41"/>
    </row>
    <row r="38" ht="19.5" customHeight="1" spans="1:14">
      <c r="A38" s="27">
        <v>33</v>
      </c>
      <c r="B38" s="27" t="s">
        <v>199</v>
      </c>
      <c r="C38" s="57" t="s">
        <v>200</v>
      </c>
      <c r="D38" s="72">
        <f>'CIE Marks Entry'!I42</f>
        <v>34.9</v>
      </c>
      <c r="E38" s="73">
        <f>'SEE Marks Entry'!H38</f>
        <v>48</v>
      </c>
      <c r="F38" s="59">
        <f t="shared" si="0"/>
        <v>82.9</v>
      </c>
      <c r="G38" s="74">
        <f t="shared" si="1"/>
        <v>82.9</v>
      </c>
      <c r="H38" s="75" t="str">
        <f t="shared" si="2"/>
        <v>O</v>
      </c>
      <c r="I38" s="45" t="str">
        <f t="shared" si="3"/>
        <v>L3</v>
      </c>
      <c r="J38" s="76">
        <f t="shared" si="4"/>
        <v>0.8725</v>
      </c>
      <c r="K38" s="77">
        <f t="shared" si="5"/>
        <v>0.8</v>
      </c>
      <c r="L38" s="78">
        <f t="shared" si="6"/>
        <v>0.829</v>
      </c>
      <c r="M38" s="34" t="str">
        <f t="shared" si="7"/>
        <v>Pass</v>
      </c>
      <c r="N38" s="39"/>
    </row>
    <row r="39" ht="19.5" customHeight="1" spans="1:14">
      <c r="A39" s="35">
        <v>34</v>
      </c>
      <c r="B39" s="35" t="s">
        <v>201</v>
      </c>
      <c r="C39" s="60" t="s">
        <v>202</v>
      </c>
      <c r="D39" s="72">
        <f>'CIE Marks Entry'!I43</f>
        <v>32.4</v>
      </c>
      <c r="E39" s="73">
        <f>'SEE Marks Entry'!H39</f>
        <v>46.2</v>
      </c>
      <c r="F39" s="59">
        <f t="shared" si="0"/>
        <v>78.6</v>
      </c>
      <c r="G39" s="74">
        <f t="shared" si="1"/>
        <v>78.6</v>
      </c>
      <c r="H39" s="75" t="str">
        <f t="shared" si="2"/>
        <v>A+</v>
      </c>
      <c r="I39" s="45" t="str">
        <f t="shared" si="3"/>
        <v>L2</v>
      </c>
      <c r="J39" s="76">
        <f t="shared" si="4"/>
        <v>0.81</v>
      </c>
      <c r="K39" s="77">
        <f t="shared" si="5"/>
        <v>0.77</v>
      </c>
      <c r="L39" s="78">
        <f t="shared" si="6"/>
        <v>0.786</v>
      </c>
      <c r="M39" s="34" t="str">
        <f t="shared" si="7"/>
        <v>Pass</v>
      </c>
      <c r="N39" s="41"/>
    </row>
    <row r="40" ht="19.5" customHeight="1" spans="1:14">
      <c r="A40" s="27">
        <v>35</v>
      </c>
      <c r="B40" s="27" t="s">
        <v>203</v>
      </c>
      <c r="C40" s="57" t="s">
        <v>204</v>
      </c>
      <c r="D40" s="72">
        <f>'CIE Marks Entry'!I44</f>
        <v>34.7</v>
      </c>
      <c r="E40" s="73">
        <f>'SEE Marks Entry'!H40</f>
        <v>44.4</v>
      </c>
      <c r="F40" s="59">
        <f t="shared" si="0"/>
        <v>79.1</v>
      </c>
      <c r="G40" s="74">
        <f t="shared" si="1"/>
        <v>79.1</v>
      </c>
      <c r="H40" s="75" t="str">
        <f t="shared" si="2"/>
        <v>A+</v>
      </c>
      <c r="I40" s="45" t="str">
        <f t="shared" si="3"/>
        <v>L2</v>
      </c>
      <c r="J40" s="76">
        <f t="shared" si="4"/>
        <v>0.8675</v>
      </c>
      <c r="K40" s="77">
        <f t="shared" si="5"/>
        <v>0.74</v>
      </c>
      <c r="L40" s="78">
        <f t="shared" si="6"/>
        <v>0.791</v>
      </c>
      <c r="M40" s="34" t="str">
        <f t="shared" si="7"/>
        <v>Pass</v>
      </c>
      <c r="N40" s="39"/>
    </row>
    <row r="41" ht="19.5" customHeight="1" spans="1:14">
      <c r="A41" s="35">
        <v>36</v>
      </c>
      <c r="B41" s="35" t="s">
        <v>205</v>
      </c>
      <c r="C41" s="60" t="s">
        <v>206</v>
      </c>
      <c r="D41" s="72">
        <f>'CIE Marks Entry'!I45</f>
        <v>27</v>
      </c>
      <c r="E41" s="73">
        <f>'SEE Marks Entry'!H41</f>
        <v>50</v>
      </c>
      <c r="F41" s="59">
        <f t="shared" si="0"/>
        <v>77</v>
      </c>
      <c r="G41" s="74">
        <f t="shared" si="1"/>
        <v>77</v>
      </c>
      <c r="H41" s="75" t="str">
        <f t="shared" si="2"/>
        <v>A+</v>
      </c>
      <c r="I41" s="45" t="str">
        <f t="shared" si="3"/>
        <v>L2</v>
      </c>
      <c r="J41" s="76">
        <f t="shared" si="4"/>
        <v>0.675</v>
      </c>
      <c r="K41" s="77">
        <f t="shared" si="5"/>
        <v>0.833333333333333</v>
      </c>
      <c r="L41" s="78">
        <f t="shared" si="6"/>
        <v>0.77</v>
      </c>
      <c r="M41" s="34" t="str">
        <f t="shared" si="7"/>
        <v>Pass</v>
      </c>
      <c r="N41" s="41"/>
    </row>
    <row r="42" ht="19.5" customHeight="1" spans="1:14">
      <c r="A42" s="27">
        <v>37</v>
      </c>
      <c r="B42" s="27" t="s">
        <v>207</v>
      </c>
      <c r="C42" s="57" t="s">
        <v>208</v>
      </c>
      <c r="D42" s="72">
        <f>'CIE Marks Entry'!I46</f>
        <v>35.6</v>
      </c>
      <c r="E42" s="73">
        <f>'SEE Marks Entry'!H42</f>
        <v>50.3</v>
      </c>
      <c r="F42" s="59">
        <f t="shared" si="0"/>
        <v>85.9</v>
      </c>
      <c r="G42" s="74">
        <f t="shared" si="1"/>
        <v>85.9</v>
      </c>
      <c r="H42" s="75" t="str">
        <f t="shared" si="2"/>
        <v>O</v>
      </c>
      <c r="I42" s="45" t="str">
        <f t="shared" si="3"/>
        <v>L3</v>
      </c>
      <c r="J42" s="76">
        <f t="shared" si="4"/>
        <v>0.89</v>
      </c>
      <c r="K42" s="77">
        <f t="shared" si="5"/>
        <v>0.838333333333333</v>
      </c>
      <c r="L42" s="78">
        <f t="shared" si="6"/>
        <v>0.859</v>
      </c>
      <c r="M42" s="34" t="str">
        <f t="shared" si="7"/>
        <v>Pass</v>
      </c>
      <c r="N42" s="39"/>
    </row>
    <row r="43" ht="19.5" customHeight="1" spans="1:14">
      <c r="A43" s="35">
        <v>38</v>
      </c>
      <c r="B43" s="35" t="s">
        <v>209</v>
      </c>
      <c r="C43" s="60" t="s">
        <v>210</v>
      </c>
      <c r="D43" s="72">
        <f>'CIE Marks Entry'!I47</f>
        <v>30.7</v>
      </c>
      <c r="E43" s="73">
        <f>'SEE Marks Entry'!H43</f>
        <v>48.1</v>
      </c>
      <c r="F43" s="59">
        <f t="shared" si="0"/>
        <v>78.8</v>
      </c>
      <c r="G43" s="74">
        <f t="shared" si="1"/>
        <v>78.8</v>
      </c>
      <c r="H43" s="75" t="str">
        <f t="shared" si="2"/>
        <v>A+</v>
      </c>
      <c r="I43" s="45" t="str">
        <f t="shared" si="3"/>
        <v>L2</v>
      </c>
      <c r="J43" s="76">
        <f t="shared" si="4"/>
        <v>0.7675</v>
      </c>
      <c r="K43" s="77">
        <f t="shared" si="5"/>
        <v>0.801666666666667</v>
      </c>
      <c r="L43" s="78">
        <f t="shared" si="6"/>
        <v>0.788</v>
      </c>
      <c r="M43" s="34" t="str">
        <f t="shared" si="7"/>
        <v>Pass</v>
      </c>
      <c r="N43" s="41"/>
    </row>
    <row r="44" ht="19.5" customHeight="1" spans="1:14">
      <c r="A44" s="27">
        <v>39</v>
      </c>
      <c r="B44" s="27" t="s">
        <v>211</v>
      </c>
      <c r="C44" s="57" t="s">
        <v>212</v>
      </c>
      <c r="D44" s="72">
        <f>'CIE Marks Entry'!I48</f>
        <v>31.2</v>
      </c>
      <c r="E44" s="73">
        <f>'SEE Marks Entry'!H44</f>
        <v>43.7</v>
      </c>
      <c r="F44" s="59">
        <f t="shared" si="0"/>
        <v>74.9</v>
      </c>
      <c r="G44" s="74">
        <f t="shared" si="1"/>
        <v>74.9</v>
      </c>
      <c r="H44" s="75" t="str">
        <f t="shared" si="2"/>
        <v>A+</v>
      </c>
      <c r="I44" s="45" t="str">
        <f t="shared" si="3"/>
        <v>L2</v>
      </c>
      <c r="J44" s="76">
        <f t="shared" si="4"/>
        <v>0.78</v>
      </c>
      <c r="K44" s="77">
        <f t="shared" si="5"/>
        <v>0.728333333333333</v>
      </c>
      <c r="L44" s="78">
        <f t="shared" si="6"/>
        <v>0.749</v>
      </c>
      <c r="M44" s="34" t="str">
        <f t="shared" si="7"/>
        <v>Pass</v>
      </c>
      <c r="N44" s="39"/>
    </row>
    <row r="45" ht="19.5" customHeight="1" spans="1:14">
      <c r="A45" s="35">
        <v>40</v>
      </c>
      <c r="B45" s="35" t="s">
        <v>213</v>
      </c>
      <c r="C45" s="60" t="s">
        <v>214</v>
      </c>
      <c r="D45" s="72">
        <f>'CIE Marks Entry'!I49</f>
        <v>28.5</v>
      </c>
      <c r="E45" s="73">
        <f>'SEE Marks Entry'!H45</f>
        <v>47.7</v>
      </c>
      <c r="F45" s="59">
        <f t="shared" si="0"/>
        <v>76.2</v>
      </c>
      <c r="G45" s="74">
        <f t="shared" si="1"/>
        <v>76.2</v>
      </c>
      <c r="H45" s="75" t="str">
        <f t="shared" si="2"/>
        <v>A+</v>
      </c>
      <c r="I45" s="45" t="str">
        <f t="shared" si="3"/>
        <v>L2</v>
      </c>
      <c r="J45" s="76">
        <f t="shared" si="4"/>
        <v>0.7125</v>
      </c>
      <c r="K45" s="77">
        <f t="shared" si="5"/>
        <v>0.795</v>
      </c>
      <c r="L45" s="78">
        <f t="shared" si="6"/>
        <v>0.762</v>
      </c>
      <c r="M45" s="34" t="str">
        <f t="shared" si="7"/>
        <v>Pass</v>
      </c>
      <c r="N45" s="41"/>
    </row>
    <row r="46" ht="19.5" customHeight="1" spans="1:14">
      <c r="A46" s="27">
        <v>41</v>
      </c>
      <c r="B46" s="27" t="s">
        <v>215</v>
      </c>
      <c r="C46" s="57" t="s">
        <v>216</v>
      </c>
      <c r="D46" s="72">
        <f>'CIE Marks Entry'!I50</f>
        <v>29.5</v>
      </c>
      <c r="E46" s="73">
        <f>'SEE Marks Entry'!H46</f>
        <v>52.4</v>
      </c>
      <c r="F46" s="59">
        <f t="shared" si="0"/>
        <v>81.9</v>
      </c>
      <c r="G46" s="74">
        <f t="shared" si="1"/>
        <v>81.9</v>
      </c>
      <c r="H46" s="75" t="str">
        <f t="shared" si="2"/>
        <v>O</v>
      </c>
      <c r="I46" s="45" t="str">
        <f t="shared" si="3"/>
        <v>L3</v>
      </c>
      <c r="J46" s="76">
        <f t="shared" si="4"/>
        <v>0.7375</v>
      </c>
      <c r="K46" s="77">
        <f t="shared" si="5"/>
        <v>0.873333333333333</v>
      </c>
      <c r="L46" s="78">
        <f t="shared" si="6"/>
        <v>0.819</v>
      </c>
      <c r="M46" s="34" t="str">
        <f t="shared" si="7"/>
        <v>Pass</v>
      </c>
      <c r="N46" s="39"/>
    </row>
    <row r="47" ht="19.5" customHeight="1" spans="1:14">
      <c r="A47" s="35">
        <v>42</v>
      </c>
      <c r="B47" s="35" t="s">
        <v>217</v>
      </c>
      <c r="C47" s="60" t="s">
        <v>218</v>
      </c>
      <c r="D47" s="72">
        <f>'CIE Marks Entry'!I51</f>
        <v>30.7</v>
      </c>
      <c r="E47" s="73">
        <f>'SEE Marks Entry'!H47</f>
        <v>43.9</v>
      </c>
      <c r="F47" s="59">
        <f t="shared" si="0"/>
        <v>74.6</v>
      </c>
      <c r="G47" s="74">
        <f t="shared" si="1"/>
        <v>74.6</v>
      </c>
      <c r="H47" s="75" t="str">
        <f t="shared" si="2"/>
        <v>A+</v>
      </c>
      <c r="I47" s="45" t="str">
        <f t="shared" si="3"/>
        <v>L2</v>
      </c>
      <c r="J47" s="76">
        <f t="shared" si="4"/>
        <v>0.7675</v>
      </c>
      <c r="K47" s="77">
        <f t="shared" si="5"/>
        <v>0.731666666666667</v>
      </c>
      <c r="L47" s="78">
        <f t="shared" si="6"/>
        <v>0.746</v>
      </c>
      <c r="M47" s="34" t="str">
        <f t="shared" si="7"/>
        <v>Pass</v>
      </c>
      <c r="N47" s="41"/>
    </row>
    <row r="48" ht="19.5" customHeight="1" spans="1:14">
      <c r="A48" s="27">
        <v>43</v>
      </c>
      <c r="B48" s="27" t="s">
        <v>219</v>
      </c>
      <c r="C48" s="57" t="s">
        <v>220</v>
      </c>
      <c r="D48" s="72">
        <f>'CIE Marks Entry'!I52</f>
        <v>30.8</v>
      </c>
      <c r="E48" s="73">
        <f>'SEE Marks Entry'!H48</f>
        <v>58.2</v>
      </c>
      <c r="F48" s="59">
        <f t="shared" si="0"/>
        <v>89</v>
      </c>
      <c r="G48" s="74">
        <f t="shared" si="1"/>
        <v>89</v>
      </c>
      <c r="H48" s="75" t="str">
        <f t="shared" si="2"/>
        <v>O</v>
      </c>
      <c r="I48" s="45" t="str">
        <f t="shared" si="3"/>
        <v>L3</v>
      </c>
      <c r="J48" s="76">
        <f t="shared" si="4"/>
        <v>0.77</v>
      </c>
      <c r="K48" s="77">
        <f t="shared" si="5"/>
        <v>0.97</v>
      </c>
      <c r="L48" s="78">
        <f t="shared" si="6"/>
        <v>0.89</v>
      </c>
      <c r="M48" s="34" t="str">
        <f t="shared" si="7"/>
        <v>Pass</v>
      </c>
      <c r="N48" s="39"/>
    </row>
    <row r="49" ht="19.5" customHeight="1" spans="1:14">
      <c r="A49" s="35">
        <v>44</v>
      </c>
      <c r="B49" s="35" t="s">
        <v>221</v>
      </c>
      <c r="C49" s="60" t="s">
        <v>222</v>
      </c>
      <c r="D49" s="72">
        <f>'CIE Marks Entry'!I53</f>
        <v>27.5</v>
      </c>
      <c r="E49" s="73">
        <f>'SEE Marks Entry'!H49</f>
        <v>53.1</v>
      </c>
      <c r="F49" s="59">
        <f t="shared" si="0"/>
        <v>80.6</v>
      </c>
      <c r="G49" s="74">
        <f t="shared" si="1"/>
        <v>80.6</v>
      </c>
      <c r="H49" s="75" t="str">
        <f t="shared" si="2"/>
        <v>O</v>
      </c>
      <c r="I49" s="45" t="str">
        <f t="shared" si="3"/>
        <v>L3</v>
      </c>
      <c r="J49" s="76">
        <f t="shared" si="4"/>
        <v>0.6875</v>
      </c>
      <c r="K49" s="77">
        <f t="shared" si="5"/>
        <v>0.885</v>
      </c>
      <c r="L49" s="78">
        <f t="shared" si="6"/>
        <v>0.806</v>
      </c>
      <c r="M49" s="34" t="str">
        <f t="shared" si="7"/>
        <v>Pass</v>
      </c>
      <c r="N49" s="41"/>
    </row>
    <row r="50" ht="19.5" customHeight="1" spans="1:14">
      <c r="A50" s="27">
        <v>45</v>
      </c>
      <c r="B50" s="27" t="s">
        <v>223</v>
      </c>
      <c r="C50" s="57" t="s">
        <v>224</v>
      </c>
      <c r="D50" s="72">
        <f>'CIE Marks Entry'!I54</f>
        <v>33.4</v>
      </c>
      <c r="E50" s="73">
        <f>'SEE Marks Entry'!H50</f>
        <v>44.2</v>
      </c>
      <c r="F50" s="59">
        <f t="shared" si="0"/>
        <v>77.6</v>
      </c>
      <c r="G50" s="74">
        <f t="shared" si="1"/>
        <v>77.6</v>
      </c>
      <c r="H50" s="75" t="str">
        <f t="shared" si="2"/>
        <v>A+</v>
      </c>
      <c r="I50" s="45" t="str">
        <f t="shared" si="3"/>
        <v>L2</v>
      </c>
      <c r="J50" s="76">
        <f t="shared" si="4"/>
        <v>0.835</v>
      </c>
      <c r="K50" s="77">
        <f t="shared" si="5"/>
        <v>0.736666666666667</v>
      </c>
      <c r="L50" s="78">
        <f t="shared" si="6"/>
        <v>0.776</v>
      </c>
      <c r="M50" s="34" t="str">
        <f t="shared" si="7"/>
        <v>Pass</v>
      </c>
      <c r="N50" s="39"/>
    </row>
    <row r="51" ht="19.5" customHeight="1" spans="1:14">
      <c r="A51" s="35">
        <v>46</v>
      </c>
      <c r="B51" s="35" t="s">
        <v>225</v>
      </c>
      <c r="C51" s="60" t="s">
        <v>226</v>
      </c>
      <c r="D51" s="72">
        <f>'CIE Marks Entry'!I55</f>
        <v>32.7</v>
      </c>
      <c r="E51" s="73">
        <f>'SEE Marks Entry'!H51</f>
        <v>53.3</v>
      </c>
      <c r="F51" s="59">
        <f t="shared" si="0"/>
        <v>86</v>
      </c>
      <c r="G51" s="74">
        <f t="shared" si="1"/>
        <v>86</v>
      </c>
      <c r="H51" s="75" t="str">
        <f t="shared" si="2"/>
        <v>O</v>
      </c>
      <c r="I51" s="45" t="str">
        <f t="shared" si="3"/>
        <v>L3</v>
      </c>
      <c r="J51" s="76">
        <f t="shared" si="4"/>
        <v>0.8175</v>
      </c>
      <c r="K51" s="77">
        <f t="shared" si="5"/>
        <v>0.888333333333333</v>
      </c>
      <c r="L51" s="78">
        <f t="shared" si="6"/>
        <v>0.86</v>
      </c>
      <c r="M51" s="34" t="str">
        <f t="shared" si="7"/>
        <v>Pass</v>
      </c>
      <c r="N51" s="41"/>
    </row>
    <row r="52" ht="19.5" customHeight="1" spans="1:14">
      <c r="A52" s="27">
        <v>47</v>
      </c>
      <c r="B52" s="27" t="s">
        <v>227</v>
      </c>
      <c r="C52" s="57" t="s">
        <v>228</v>
      </c>
      <c r="D52" s="72">
        <f>'CIE Marks Entry'!I56</f>
        <v>28.9</v>
      </c>
      <c r="E52" s="73">
        <f>'SEE Marks Entry'!H52</f>
        <v>49.8</v>
      </c>
      <c r="F52" s="59">
        <f t="shared" si="0"/>
        <v>78.7</v>
      </c>
      <c r="G52" s="74">
        <f t="shared" si="1"/>
        <v>78.7</v>
      </c>
      <c r="H52" s="75" t="str">
        <f t="shared" si="2"/>
        <v>A+</v>
      </c>
      <c r="I52" s="45" t="str">
        <f t="shared" si="3"/>
        <v>L2</v>
      </c>
      <c r="J52" s="76">
        <f t="shared" si="4"/>
        <v>0.7225</v>
      </c>
      <c r="K52" s="77">
        <f t="shared" si="5"/>
        <v>0.83</v>
      </c>
      <c r="L52" s="78">
        <f t="shared" si="6"/>
        <v>0.787</v>
      </c>
      <c r="M52" s="34" t="str">
        <f t="shared" si="7"/>
        <v>Pass</v>
      </c>
      <c r="N52" s="39"/>
    </row>
    <row r="53" ht="19.5" customHeight="1" spans="1:14">
      <c r="A53" s="35">
        <v>48</v>
      </c>
      <c r="B53" s="35" t="s">
        <v>229</v>
      </c>
      <c r="C53" s="60" t="s">
        <v>230</v>
      </c>
      <c r="D53" s="72">
        <f>'CIE Marks Entry'!I57</f>
        <v>31.2</v>
      </c>
      <c r="E53" s="73">
        <f>'SEE Marks Entry'!H53</f>
        <v>45.6</v>
      </c>
      <c r="F53" s="59">
        <f t="shared" si="0"/>
        <v>76.8</v>
      </c>
      <c r="G53" s="74">
        <f t="shared" si="1"/>
        <v>76.8</v>
      </c>
      <c r="H53" s="75" t="str">
        <f t="shared" si="2"/>
        <v>A+</v>
      </c>
      <c r="I53" s="45" t="str">
        <f t="shared" si="3"/>
        <v>L2</v>
      </c>
      <c r="J53" s="76">
        <f t="shared" si="4"/>
        <v>0.78</v>
      </c>
      <c r="K53" s="77">
        <f t="shared" si="5"/>
        <v>0.76</v>
      </c>
      <c r="L53" s="78">
        <f t="shared" si="6"/>
        <v>0.768</v>
      </c>
      <c r="M53" s="34" t="str">
        <f t="shared" si="7"/>
        <v>Pass</v>
      </c>
      <c r="N53" s="41"/>
    </row>
    <row r="54" ht="19.5" customHeight="1" spans="1:14">
      <c r="A54" s="27">
        <v>49</v>
      </c>
      <c r="B54" s="27" t="s">
        <v>231</v>
      </c>
      <c r="C54" s="57" t="s">
        <v>232</v>
      </c>
      <c r="D54" s="72">
        <f>'CIE Marks Entry'!I58</f>
        <v>26.5</v>
      </c>
      <c r="E54" s="73">
        <f>'SEE Marks Entry'!H54</f>
        <v>47.6</v>
      </c>
      <c r="F54" s="59">
        <f t="shared" si="0"/>
        <v>74.1</v>
      </c>
      <c r="G54" s="74">
        <f t="shared" si="1"/>
        <v>74.1</v>
      </c>
      <c r="H54" s="75" t="str">
        <f t="shared" si="2"/>
        <v>A+</v>
      </c>
      <c r="I54" s="45" t="str">
        <f t="shared" si="3"/>
        <v>L2</v>
      </c>
      <c r="J54" s="76">
        <f t="shared" si="4"/>
        <v>0.6625</v>
      </c>
      <c r="K54" s="77">
        <f t="shared" si="5"/>
        <v>0.793333333333333</v>
      </c>
      <c r="L54" s="78">
        <f t="shared" si="6"/>
        <v>0.741</v>
      </c>
      <c r="M54" s="34" t="str">
        <f t="shared" si="7"/>
        <v>Pass</v>
      </c>
      <c r="N54" s="39"/>
    </row>
    <row r="55" ht="19.5" customHeight="1" spans="1:14">
      <c r="A55" s="35">
        <v>50</v>
      </c>
      <c r="B55" s="35" t="s">
        <v>233</v>
      </c>
      <c r="C55" s="60" t="s">
        <v>234</v>
      </c>
      <c r="D55" s="72">
        <f>'CIE Marks Entry'!I59</f>
        <v>28.4</v>
      </c>
      <c r="E55" s="73">
        <f>'SEE Marks Entry'!H55</f>
        <v>55.7</v>
      </c>
      <c r="F55" s="59">
        <f t="shared" si="0"/>
        <v>84.1</v>
      </c>
      <c r="G55" s="74">
        <f t="shared" si="1"/>
        <v>84.1</v>
      </c>
      <c r="H55" s="75" t="str">
        <f t="shared" si="2"/>
        <v>O</v>
      </c>
      <c r="I55" s="45" t="str">
        <f t="shared" si="3"/>
        <v>L3</v>
      </c>
      <c r="J55" s="76">
        <f t="shared" si="4"/>
        <v>0.71</v>
      </c>
      <c r="K55" s="77">
        <f t="shared" si="5"/>
        <v>0.928333333333333</v>
      </c>
      <c r="L55" s="78">
        <f t="shared" si="6"/>
        <v>0.841</v>
      </c>
      <c r="M55" s="34" t="str">
        <f t="shared" si="7"/>
        <v>Pass</v>
      </c>
      <c r="N55" s="41"/>
    </row>
    <row r="56" ht="15.15"/>
    <row r="57" ht="21.75" customHeight="1" spans="1:14">
      <c r="A57" s="52" t="s">
        <v>235</v>
      </c>
      <c r="B57" s="52"/>
      <c r="C57" s="52"/>
      <c r="D57" s="61">
        <f>AVERAGE(D6:D55)</f>
        <v>30.844</v>
      </c>
      <c r="E57" s="61">
        <f>AVERAGE(E6:E55)</f>
        <v>49.596</v>
      </c>
      <c r="F57" s="61">
        <f>AVERAGE(F6:F55)</f>
        <v>80.44</v>
      </c>
      <c r="G57" s="61">
        <f>AVERAGE(G6:G55)</f>
        <v>80.44</v>
      </c>
      <c r="H57" s="62"/>
      <c r="I57" s="62"/>
      <c r="J57" s="79">
        <f>AVERAGE(J6:J55)</f>
        <v>0.7711</v>
      </c>
      <c r="K57" s="79">
        <f>AVERAGE(K6:K55)</f>
        <v>0.8266</v>
      </c>
      <c r="L57" s="79">
        <f>AVERAGE(L6:L55)</f>
        <v>0.8044</v>
      </c>
      <c r="M57" s="62"/>
      <c r="N57" s="62"/>
    </row>
    <row r="58" ht="15.15"/>
    <row r="59" ht="19.5" customHeight="1" spans="1:14">
      <c r="A59" s="67" t="s">
        <v>344</v>
      </c>
      <c r="B59" s="67"/>
      <c r="C59" s="67"/>
      <c r="D59" s="67"/>
      <c r="E59" s="67"/>
      <c r="F59" s="80">
        <f>MAX(F6:F55)</f>
        <v>90.4</v>
      </c>
      <c r="G59" s="81"/>
      <c r="H59" s="81"/>
      <c r="I59" s="81"/>
      <c r="J59" s="81"/>
      <c r="K59" s="81"/>
      <c r="L59" s="81"/>
      <c r="M59" s="81"/>
      <c r="N59" s="81"/>
    </row>
    <row r="60" ht="19.5" customHeight="1" spans="1:14">
      <c r="A60" s="82" t="s">
        <v>345</v>
      </c>
      <c r="B60" s="82"/>
      <c r="C60" s="82"/>
      <c r="D60" s="82"/>
      <c r="E60" s="82"/>
      <c r="F60" s="83">
        <f>MIN(F6:F55)</f>
        <v>70.3</v>
      </c>
      <c r="G60" s="84"/>
      <c r="H60" s="84"/>
      <c r="I60" s="84"/>
      <c r="J60" s="84"/>
      <c r="K60" s="84"/>
      <c r="L60" s="84"/>
      <c r="M60" s="84"/>
      <c r="N60" s="84"/>
    </row>
    <row r="61" ht="19.5" customHeight="1" spans="1:14">
      <c r="A61" s="65" t="s">
        <v>346</v>
      </c>
      <c r="B61" s="65"/>
      <c r="C61" s="65"/>
      <c r="D61" s="65"/>
      <c r="E61" s="65"/>
      <c r="F61" s="85">
        <f>COUNTIF(F6:F55,"&gt;=80")</f>
        <v>24</v>
      </c>
      <c r="G61" s="86"/>
      <c r="H61" s="86"/>
      <c r="I61" s="86"/>
      <c r="J61" s="86"/>
      <c r="K61" s="86"/>
      <c r="L61" s="86"/>
      <c r="M61" s="86"/>
      <c r="N61" s="86"/>
    </row>
    <row r="62" ht="19.5" customHeight="1" spans="1:14">
      <c r="A62" s="87" t="s">
        <v>347</v>
      </c>
      <c r="B62" s="87"/>
      <c r="C62" s="87"/>
      <c r="D62" s="87"/>
      <c r="E62" s="87"/>
      <c r="F62" s="88">
        <f>COUNTIF(F6:F55,"&gt;=60")-COUNTIF(F6:F55,"&gt;=80")</f>
        <v>26</v>
      </c>
      <c r="G62" s="89"/>
      <c r="H62" s="89"/>
      <c r="I62" s="89"/>
      <c r="J62" s="89"/>
      <c r="K62" s="89"/>
      <c r="L62" s="89"/>
      <c r="M62" s="89"/>
      <c r="N62" s="89"/>
    </row>
    <row r="63" ht="19.5" customHeight="1" spans="1:14">
      <c r="A63" s="51" t="s">
        <v>348</v>
      </c>
      <c r="B63" s="51"/>
      <c r="C63" s="51"/>
      <c r="D63" s="51"/>
      <c r="E63" s="51"/>
      <c r="F63" s="90">
        <f>COUNTIF(F6:F55,"&gt;=40")</f>
        <v>50</v>
      </c>
      <c r="G63" s="91"/>
      <c r="H63" s="91"/>
      <c r="I63" s="91"/>
      <c r="J63" s="91"/>
      <c r="K63" s="91"/>
      <c r="L63" s="91"/>
      <c r="M63" s="91"/>
      <c r="N63" s="91"/>
    </row>
    <row r="64" ht="19.5" customHeight="1" spans="1:14">
      <c r="A64" s="68" t="s">
        <v>349</v>
      </c>
      <c r="B64" s="68"/>
      <c r="C64" s="68"/>
      <c r="D64" s="68"/>
      <c r="E64" s="68"/>
      <c r="F64" s="92">
        <f>COUNTIF(F6:F55,"&lt;40")</f>
        <v>0</v>
      </c>
      <c r="G64" s="93"/>
      <c r="H64" s="93"/>
      <c r="I64" s="93"/>
      <c r="J64" s="93"/>
      <c r="K64" s="93"/>
      <c r="L64" s="93"/>
      <c r="M64" s="93"/>
      <c r="N64" s="93"/>
    </row>
  </sheetData>
  <mergeCells count="13">
    <mergeCell ref="A1:N1"/>
    <mergeCell ref="A2:N2"/>
    <mergeCell ref="A4:C4"/>
    <mergeCell ref="D4:H4"/>
    <mergeCell ref="I4:N4"/>
    <mergeCell ref="A5:C5"/>
    <mergeCell ref="A57:C57"/>
    <mergeCell ref="A59:E59"/>
    <mergeCell ref="A60:E60"/>
    <mergeCell ref="A61:E61"/>
    <mergeCell ref="A62:E62"/>
    <mergeCell ref="A63:E63"/>
    <mergeCell ref="A64:E6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:M1"/>
    </sheetView>
  </sheetViews>
  <sheetFormatPr defaultColWidth="8.67592592592593" defaultRowHeight="14.4"/>
  <cols>
    <col min="1" max="1" width="5" customWidth="1"/>
    <col min="2" max="2" width="14" customWidth="1"/>
    <col min="3" max="3" width="24" customWidth="1"/>
    <col min="4" max="8" width="14" customWidth="1"/>
    <col min="9" max="9" width="12" customWidth="1"/>
    <col min="10" max="10" width="11" customWidth="1"/>
    <col min="11" max="11" width="12" customWidth="1"/>
  </cols>
  <sheetData>
    <row r="1" ht="43.5" customHeight="1" spans="1:13">
      <c r="A1" s="1" t="s">
        <v>350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75" customHeight="1" spans="1:13">
      <c r="A2" s="2" t="s">
        <v>351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7.5" customHeight="1"/>
    <row r="4" ht="25.5" customHeight="1" spans="1:13">
      <c r="A4" s="20" t="s">
        <v>334</v>
      </c>
      <c r="B4" s="20"/>
      <c r="C4" s="20"/>
      <c r="D4" s="51" t="s">
        <v>352</v>
      </c>
      <c r="E4" s="51"/>
      <c r="F4" s="51"/>
      <c r="G4" s="51"/>
      <c r="H4" s="51"/>
      <c r="I4" s="52" t="s">
        <v>353</v>
      </c>
      <c r="J4" s="52"/>
      <c r="K4" s="52"/>
    </row>
    <row r="5" ht="19.5" customHeight="1" spans="1:13">
      <c r="A5" s="20" t="s">
        <v>121</v>
      </c>
      <c r="B5" s="20"/>
      <c r="C5" s="20"/>
      <c r="D5" s="53" t="s">
        <v>354</v>
      </c>
      <c r="E5" s="53" t="s">
        <v>355</v>
      </c>
      <c r="F5" s="53" t="s">
        <v>356</v>
      </c>
      <c r="G5" s="53" t="s">
        <v>357</v>
      </c>
      <c r="H5" s="53" t="s">
        <v>358</v>
      </c>
      <c r="I5" s="54" t="s">
        <v>339</v>
      </c>
      <c r="J5" s="55" t="s">
        <v>359</v>
      </c>
      <c r="K5" s="56" t="s">
        <v>131</v>
      </c>
    </row>
    <row r="6" ht="19.5" customHeight="1" spans="1:13">
      <c r="A6" s="27">
        <v>1</v>
      </c>
      <c r="B6" s="27" t="s">
        <v>135</v>
      </c>
      <c r="C6" s="57" t="s">
        <v>136</v>
      </c>
      <c r="D6" s="58">
        <f>IFERROR('Final Marks Dashboard'!F6*20/100,0)</f>
        <v>17.82</v>
      </c>
      <c r="E6" s="58">
        <f>IFERROR('Final Marks Dashboard'!F6*20/100,0)</f>
        <v>17.82</v>
      </c>
      <c r="F6" s="58">
        <f>IFERROR('Final Marks Dashboard'!F6*20/100,0)</f>
        <v>17.82</v>
      </c>
      <c r="G6" s="58">
        <f>IFERROR('Final Marks Dashboard'!F6*20/100,0)</f>
        <v>17.82</v>
      </c>
      <c r="H6" s="58">
        <f>IFERROR('Final Marks Dashboard'!F6*20/100,0)</f>
        <v>17.82</v>
      </c>
      <c r="I6" s="59">
        <f>'Final Marks Dashboard'!F6</f>
        <v>89.1</v>
      </c>
      <c r="J6" s="45" t="str">
        <f>IF('Final Marks Dashboard'!F6&gt;=80,"L3",IF('Final Marks Dashboard'!F6&gt;=60,"L2",IF('Final Marks Dashboard'!F6&gt;=40,"L1","L0")))</f>
        <v>L3</v>
      </c>
      <c r="K6" s="34" t="str">
        <f>IF('Final Marks Dashboard'!F6&gt;=40,"Pass","Fail")</f>
        <v>Pass</v>
      </c>
    </row>
    <row r="7" ht="19.5" customHeight="1" spans="1:13">
      <c r="A7" s="35">
        <v>2</v>
      </c>
      <c r="B7" s="35" t="s">
        <v>137</v>
      </c>
      <c r="C7" s="60" t="s">
        <v>138</v>
      </c>
      <c r="D7" s="58">
        <f>IFERROR('Final Marks Dashboard'!F7*20/100,0)</f>
        <v>15.9</v>
      </c>
      <c r="E7" s="58">
        <f>IFERROR('Final Marks Dashboard'!F7*20/100,0)</f>
        <v>15.9</v>
      </c>
      <c r="F7" s="58">
        <f>IFERROR('Final Marks Dashboard'!F7*20/100,0)</f>
        <v>15.9</v>
      </c>
      <c r="G7" s="58">
        <f>IFERROR('Final Marks Dashboard'!F7*20/100,0)</f>
        <v>15.9</v>
      </c>
      <c r="H7" s="58">
        <f>IFERROR('Final Marks Dashboard'!F7*20/100,0)</f>
        <v>15.9</v>
      </c>
      <c r="I7" s="59">
        <f>'Final Marks Dashboard'!F7</f>
        <v>79.5</v>
      </c>
      <c r="J7" s="45" t="str">
        <f>IF('Final Marks Dashboard'!F7&gt;=80,"L3",IF('Final Marks Dashboard'!F7&gt;=60,"L2",IF('Final Marks Dashboard'!F7&gt;=40,"L1","L0")))</f>
        <v>L2</v>
      </c>
      <c r="K7" s="34" t="str">
        <f>IF('Final Marks Dashboard'!F7&gt;=40,"Pass","Fail")</f>
        <v>Pass</v>
      </c>
    </row>
    <row r="8" ht="19.5" customHeight="1" spans="1:13">
      <c r="A8" s="27">
        <v>3</v>
      </c>
      <c r="B8" s="27" t="s">
        <v>139</v>
      </c>
      <c r="C8" s="57" t="s">
        <v>140</v>
      </c>
      <c r="D8" s="58">
        <f>IFERROR('Final Marks Dashboard'!F8*20/100,0)</f>
        <v>14.66</v>
      </c>
      <c r="E8" s="58">
        <f>IFERROR('Final Marks Dashboard'!F8*20/100,0)</f>
        <v>14.66</v>
      </c>
      <c r="F8" s="58">
        <f>IFERROR('Final Marks Dashboard'!F8*20/100,0)</f>
        <v>14.66</v>
      </c>
      <c r="G8" s="58">
        <f>IFERROR('Final Marks Dashboard'!F8*20/100,0)</f>
        <v>14.66</v>
      </c>
      <c r="H8" s="58">
        <f>IFERROR('Final Marks Dashboard'!F8*20/100,0)</f>
        <v>14.66</v>
      </c>
      <c r="I8" s="59">
        <f>'Final Marks Dashboard'!F8</f>
        <v>73.3</v>
      </c>
      <c r="J8" s="45" t="str">
        <f>IF('Final Marks Dashboard'!F8&gt;=80,"L3",IF('Final Marks Dashboard'!F8&gt;=60,"L2",IF('Final Marks Dashboard'!F8&gt;=40,"L1","L0")))</f>
        <v>L2</v>
      </c>
      <c r="K8" s="34" t="str">
        <f>IF('Final Marks Dashboard'!F8&gt;=40,"Pass","Fail")</f>
        <v>Pass</v>
      </c>
    </row>
    <row r="9" ht="19.5" customHeight="1" spans="1:13">
      <c r="A9" s="35">
        <v>4</v>
      </c>
      <c r="B9" s="35" t="s">
        <v>141</v>
      </c>
      <c r="C9" s="60" t="s">
        <v>142</v>
      </c>
      <c r="D9" s="58">
        <f>IFERROR('Final Marks Dashboard'!F9*20/100,0)</f>
        <v>14.84</v>
      </c>
      <c r="E9" s="58">
        <f>IFERROR('Final Marks Dashboard'!F9*20/100,0)</f>
        <v>14.84</v>
      </c>
      <c r="F9" s="58">
        <f>IFERROR('Final Marks Dashboard'!F9*20/100,0)</f>
        <v>14.84</v>
      </c>
      <c r="G9" s="58">
        <f>IFERROR('Final Marks Dashboard'!F9*20/100,0)</f>
        <v>14.84</v>
      </c>
      <c r="H9" s="58">
        <f>IFERROR('Final Marks Dashboard'!F9*20/100,0)</f>
        <v>14.84</v>
      </c>
      <c r="I9" s="59">
        <f>'Final Marks Dashboard'!F9</f>
        <v>74.2</v>
      </c>
      <c r="J9" s="45" t="str">
        <f>IF('Final Marks Dashboard'!F9&gt;=80,"L3",IF('Final Marks Dashboard'!F9&gt;=60,"L2",IF('Final Marks Dashboard'!F9&gt;=40,"L1","L0")))</f>
        <v>L2</v>
      </c>
      <c r="K9" s="34" t="str">
        <f>IF('Final Marks Dashboard'!F9&gt;=40,"Pass","Fail")</f>
        <v>Pass</v>
      </c>
    </row>
    <row r="10" ht="19.5" customHeight="1" spans="1:13">
      <c r="A10" s="27">
        <v>5</v>
      </c>
      <c r="B10" s="27" t="s">
        <v>143</v>
      </c>
      <c r="C10" s="57" t="s">
        <v>144</v>
      </c>
      <c r="D10" s="58">
        <f>IFERROR('Final Marks Dashboard'!F10*20/100,0)</f>
        <v>16.98</v>
      </c>
      <c r="E10" s="58">
        <f>IFERROR('Final Marks Dashboard'!F10*20/100,0)</f>
        <v>16.98</v>
      </c>
      <c r="F10" s="58">
        <f>IFERROR('Final Marks Dashboard'!F10*20/100,0)</f>
        <v>16.98</v>
      </c>
      <c r="G10" s="58">
        <f>IFERROR('Final Marks Dashboard'!F10*20/100,0)</f>
        <v>16.98</v>
      </c>
      <c r="H10" s="58">
        <f>IFERROR('Final Marks Dashboard'!F10*20/100,0)</f>
        <v>16.98</v>
      </c>
      <c r="I10" s="59">
        <f>'Final Marks Dashboard'!F10</f>
        <v>84.9</v>
      </c>
      <c r="J10" s="45" t="str">
        <f>IF('Final Marks Dashboard'!F10&gt;=80,"L3",IF('Final Marks Dashboard'!F10&gt;=60,"L2",IF('Final Marks Dashboard'!F10&gt;=40,"L1","L0")))</f>
        <v>L3</v>
      </c>
      <c r="K10" s="34" t="str">
        <f>IF('Final Marks Dashboard'!F10&gt;=40,"Pass","Fail")</f>
        <v>Pass</v>
      </c>
    </row>
    <row r="11" ht="19.5" customHeight="1" spans="1:13">
      <c r="A11" s="35">
        <v>6</v>
      </c>
      <c r="B11" s="35" t="s">
        <v>145</v>
      </c>
      <c r="C11" s="60" t="s">
        <v>146</v>
      </c>
      <c r="D11" s="58">
        <f>IFERROR('Final Marks Dashboard'!F11*20/100,0)</f>
        <v>15.6</v>
      </c>
      <c r="E11" s="58">
        <f>IFERROR('Final Marks Dashboard'!F11*20/100,0)</f>
        <v>15.6</v>
      </c>
      <c r="F11" s="58">
        <f>IFERROR('Final Marks Dashboard'!F11*20/100,0)</f>
        <v>15.6</v>
      </c>
      <c r="G11" s="58">
        <f>IFERROR('Final Marks Dashboard'!F11*20/100,0)</f>
        <v>15.6</v>
      </c>
      <c r="H11" s="58">
        <f>IFERROR('Final Marks Dashboard'!F11*20/100,0)</f>
        <v>15.6</v>
      </c>
      <c r="I11" s="59">
        <f>'Final Marks Dashboard'!F11</f>
        <v>78</v>
      </c>
      <c r="J11" s="45" t="str">
        <f>IF('Final Marks Dashboard'!F11&gt;=80,"L3",IF('Final Marks Dashboard'!F11&gt;=60,"L2",IF('Final Marks Dashboard'!F11&gt;=40,"L1","L0")))</f>
        <v>L2</v>
      </c>
      <c r="K11" s="34" t="str">
        <f>IF('Final Marks Dashboard'!F11&gt;=40,"Pass","Fail")</f>
        <v>Pass</v>
      </c>
    </row>
    <row r="12" ht="19.5" customHeight="1" spans="1:13">
      <c r="A12" s="27">
        <v>7</v>
      </c>
      <c r="B12" s="27" t="s">
        <v>147</v>
      </c>
      <c r="C12" s="57" t="s">
        <v>148</v>
      </c>
      <c r="D12" s="58">
        <f>IFERROR('Final Marks Dashboard'!F12*20/100,0)</f>
        <v>16.94</v>
      </c>
      <c r="E12" s="58">
        <f>IFERROR('Final Marks Dashboard'!F12*20/100,0)</f>
        <v>16.94</v>
      </c>
      <c r="F12" s="58">
        <f>IFERROR('Final Marks Dashboard'!F12*20/100,0)</f>
        <v>16.94</v>
      </c>
      <c r="G12" s="58">
        <f>IFERROR('Final Marks Dashboard'!F12*20/100,0)</f>
        <v>16.94</v>
      </c>
      <c r="H12" s="58">
        <f>IFERROR('Final Marks Dashboard'!F12*20/100,0)</f>
        <v>16.94</v>
      </c>
      <c r="I12" s="59">
        <f>'Final Marks Dashboard'!F12</f>
        <v>84.7</v>
      </c>
      <c r="J12" s="45" t="str">
        <f>IF('Final Marks Dashboard'!F12&gt;=80,"L3",IF('Final Marks Dashboard'!F12&gt;=60,"L2",IF('Final Marks Dashboard'!F12&gt;=40,"L1","L0")))</f>
        <v>L3</v>
      </c>
      <c r="K12" s="34" t="str">
        <f>IF('Final Marks Dashboard'!F12&gt;=40,"Pass","Fail")</f>
        <v>Pass</v>
      </c>
    </row>
    <row r="13" ht="19.5" customHeight="1" spans="1:13">
      <c r="A13" s="35">
        <v>8</v>
      </c>
      <c r="B13" s="35" t="s">
        <v>149</v>
      </c>
      <c r="C13" s="60" t="s">
        <v>150</v>
      </c>
      <c r="D13" s="58">
        <f>IFERROR('Final Marks Dashboard'!F13*20/100,0)</f>
        <v>17.5</v>
      </c>
      <c r="E13" s="58">
        <f>IFERROR('Final Marks Dashboard'!F13*20/100,0)</f>
        <v>17.5</v>
      </c>
      <c r="F13" s="58">
        <f>IFERROR('Final Marks Dashboard'!F13*20/100,0)</f>
        <v>17.5</v>
      </c>
      <c r="G13" s="58">
        <f>IFERROR('Final Marks Dashboard'!F13*20/100,0)</f>
        <v>17.5</v>
      </c>
      <c r="H13" s="58">
        <f>IFERROR('Final Marks Dashboard'!F13*20/100,0)</f>
        <v>17.5</v>
      </c>
      <c r="I13" s="59">
        <f>'Final Marks Dashboard'!F13</f>
        <v>87.5</v>
      </c>
      <c r="J13" s="45" t="str">
        <f>IF('Final Marks Dashboard'!F13&gt;=80,"L3",IF('Final Marks Dashboard'!F13&gt;=60,"L2",IF('Final Marks Dashboard'!F13&gt;=40,"L1","L0")))</f>
        <v>L3</v>
      </c>
      <c r="K13" s="34" t="str">
        <f>IF('Final Marks Dashboard'!F13&gt;=40,"Pass","Fail")</f>
        <v>Pass</v>
      </c>
    </row>
    <row r="14" ht="19.5" customHeight="1" spans="1:13">
      <c r="A14" s="27">
        <v>9</v>
      </c>
      <c r="B14" s="27" t="s">
        <v>151</v>
      </c>
      <c r="C14" s="57" t="s">
        <v>152</v>
      </c>
      <c r="D14" s="58">
        <f>IFERROR('Final Marks Dashboard'!F14*20/100,0)</f>
        <v>18.02</v>
      </c>
      <c r="E14" s="58">
        <f>IFERROR('Final Marks Dashboard'!F14*20/100,0)</f>
        <v>18.02</v>
      </c>
      <c r="F14" s="58">
        <f>IFERROR('Final Marks Dashboard'!F14*20/100,0)</f>
        <v>18.02</v>
      </c>
      <c r="G14" s="58">
        <f>IFERROR('Final Marks Dashboard'!F14*20/100,0)</f>
        <v>18.02</v>
      </c>
      <c r="H14" s="58">
        <f>IFERROR('Final Marks Dashboard'!F14*20/100,0)</f>
        <v>18.02</v>
      </c>
      <c r="I14" s="59">
        <f>'Final Marks Dashboard'!F14</f>
        <v>90.1</v>
      </c>
      <c r="J14" s="45" t="str">
        <f>IF('Final Marks Dashboard'!F14&gt;=80,"L3",IF('Final Marks Dashboard'!F14&gt;=60,"L2",IF('Final Marks Dashboard'!F14&gt;=40,"L1","L0")))</f>
        <v>L3</v>
      </c>
      <c r="K14" s="34" t="str">
        <f>IF('Final Marks Dashboard'!F14&gt;=40,"Pass","Fail")</f>
        <v>Pass</v>
      </c>
    </row>
    <row r="15" ht="19.5" customHeight="1" spans="1:13">
      <c r="A15" s="35">
        <v>10</v>
      </c>
      <c r="B15" s="35" t="s">
        <v>153</v>
      </c>
      <c r="C15" s="60" t="s">
        <v>154</v>
      </c>
      <c r="D15" s="58">
        <f>IFERROR('Final Marks Dashboard'!F15*20/100,0)</f>
        <v>15.84</v>
      </c>
      <c r="E15" s="58">
        <f>IFERROR('Final Marks Dashboard'!F15*20/100,0)</f>
        <v>15.84</v>
      </c>
      <c r="F15" s="58">
        <f>IFERROR('Final Marks Dashboard'!F15*20/100,0)</f>
        <v>15.84</v>
      </c>
      <c r="G15" s="58">
        <f>IFERROR('Final Marks Dashboard'!F15*20/100,0)</f>
        <v>15.84</v>
      </c>
      <c r="H15" s="58">
        <f>IFERROR('Final Marks Dashboard'!F15*20/100,0)</f>
        <v>15.84</v>
      </c>
      <c r="I15" s="59">
        <f>'Final Marks Dashboard'!F15</f>
        <v>79.2</v>
      </c>
      <c r="J15" s="45" t="str">
        <f>IF('Final Marks Dashboard'!F15&gt;=80,"L3",IF('Final Marks Dashboard'!F15&gt;=60,"L2",IF('Final Marks Dashboard'!F15&gt;=40,"L1","L0")))</f>
        <v>L2</v>
      </c>
      <c r="K15" s="34" t="str">
        <f>IF('Final Marks Dashboard'!F15&gt;=40,"Pass","Fail")</f>
        <v>Pass</v>
      </c>
    </row>
    <row r="16" ht="19.5" customHeight="1" spans="1:13">
      <c r="A16" s="27">
        <v>11</v>
      </c>
      <c r="B16" s="27" t="s">
        <v>155</v>
      </c>
      <c r="C16" s="57" t="s">
        <v>156</v>
      </c>
      <c r="D16" s="58">
        <f>IFERROR('Final Marks Dashboard'!F16*20/100,0)</f>
        <v>16.58</v>
      </c>
      <c r="E16" s="58">
        <f>IFERROR('Final Marks Dashboard'!F16*20/100,0)</f>
        <v>16.58</v>
      </c>
      <c r="F16" s="58">
        <f>IFERROR('Final Marks Dashboard'!F16*20/100,0)</f>
        <v>16.58</v>
      </c>
      <c r="G16" s="58">
        <f>IFERROR('Final Marks Dashboard'!F16*20/100,0)</f>
        <v>16.58</v>
      </c>
      <c r="H16" s="58">
        <f>IFERROR('Final Marks Dashboard'!F16*20/100,0)</f>
        <v>16.58</v>
      </c>
      <c r="I16" s="59">
        <f>'Final Marks Dashboard'!F16</f>
        <v>82.9</v>
      </c>
      <c r="J16" s="45" t="str">
        <f>IF('Final Marks Dashboard'!F16&gt;=80,"L3",IF('Final Marks Dashboard'!F16&gt;=60,"L2",IF('Final Marks Dashboard'!F16&gt;=40,"L1","L0")))</f>
        <v>L3</v>
      </c>
      <c r="K16" s="34" t="str">
        <f>IF('Final Marks Dashboard'!F16&gt;=40,"Pass","Fail")</f>
        <v>Pass</v>
      </c>
    </row>
    <row r="17" ht="19.5" customHeight="1" spans="1:11">
      <c r="A17" s="35">
        <v>12</v>
      </c>
      <c r="B17" s="35" t="s">
        <v>157</v>
      </c>
      <c r="C17" s="60" t="s">
        <v>158</v>
      </c>
      <c r="D17" s="58">
        <f>IFERROR('Final Marks Dashboard'!F17*20/100,0)</f>
        <v>15.52</v>
      </c>
      <c r="E17" s="58">
        <f>IFERROR('Final Marks Dashboard'!F17*20/100,0)</f>
        <v>15.52</v>
      </c>
      <c r="F17" s="58">
        <f>IFERROR('Final Marks Dashboard'!F17*20/100,0)</f>
        <v>15.52</v>
      </c>
      <c r="G17" s="58">
        <f>IFERROR('Final Marks Dashboard'!F17*20/100,0)</f>
        <v>15.52</v>
      </c>
      <c r="H17" s="58">
        <f>IFERROR('Final Marks Dashboard'!F17*20/100,0)</f>
        <v>15.52</v>
      </c>
      <c r="I17" s="59">
        <f>'Final Marks Dashboard'!F17</f>
        <v>77.6</v>
      </c>
      <c r="J17" s="45" t="str">
        <f>IF('Final Marks Dashboard'!F17&gt;=80,"L3",IF('Final Marks Dashboard'!F17&gt;=60,"L2",IF('Final Marks Dashboard'!F17&gt;=40,"L1","L0")))</f>
        <v>L2</v>
      </c>
      <c r="K17" s="34" t="str">
        <f>IF('Final Marks Dashboard'!F17&gt;=40,"Pass","Fail")</f>
        <v>Pass</v>
      </c>
    </row>
    <row r="18" ht="19.5" customHeight="1" spans="1:11">
      <c r="A18" s="27">
        <v>13</v>
      </c>
      <c r="B18" s="27" t="s">
        <v>159</v>
      </c>
      <c r="C18" s="57" t="s">
        <v>160</v>
      </c>
      <c r="D18" s="58">
        <f>IFERROR('Final Marks Dashboard'!F18*20/100,0)</f>
        <v>14.06</v>
      </c>
      <c r="E18" s="58">
        <f>IFERROR('Final Marks Dashboard'!F18*20/100,0)</f>
        <v>14.06</v>
      </c>
      <c r="F18" s="58">
        <f>IFERROR('Final Marks Dashboard'!F18*20/100,0)</f>
        <v>14.06</v>
      </c>
      <c r="G18" s="58">
        <f>IFERROR('Final Marks Dashboard'!F18*20/100,0)</f>
        <v>14.06</v>
      </c>
      <c r="H18" s="58">
        <f>IFERROR('Final Marks Dashboard'!F18*20/100,0)</f>
        <v>14.06</v>
      </c>
      <c r="I18" s="59">
        <f>'Final Marks Dashboard'!F18</f>
        <v>70.3</v>
      </c>
      <c r="J18" s="45" t="str">
        <f>IF('Final Marks Dashboard'!F18&gt;=80,"L3",IF('Final Marks Dashboard'!F18&gt;=60,"L2",IF('Final Marks Dashboard'!F18&gt;=40,"L1","L0")))</f>
        <v>L2</v>
      </c>
      <c r="K18" s="34" t="str">
        <f>IF('Final Marks Dashboard'!F18&gt;=40,"Pass","Fail")</f>
        <v>Pass</v>
      </c>
    </row>
    <row r="19" ht="19.5" customHeight="1" spans="1:11">
      <c r="A19" s="35">
        <v>14</v>
      </c>
      <c r="B19" s="35" t="s">
        <v>161</v>
      </c>
      <c r="C19" s="60" t="s">
        <v>162</v>
      </c>
      <c r="D19" s="58">
        <f>IFERROR('Final Marks Dashboard'!F19*20/100,0)</f>
        <v>16.04</v>
      </c>
      <c r="E19" s="58">
        <f>IFERROR('Final Marks Dashboard'!F19*20/100,0)</f>
        <v>16.04</v>
      </c>
      <c r="F19" s="58">
        <f>IFERROR('Final Marks Dashboard'!F19*20/100,0)</f>
        <v>16.04</v>
      </c>
      <c r="G19" s="58">
        <f>IFERROR('Final Marks Dashboard'!F19*20/100,0)</f>
        <v>16.04</v>
      </c>
      <c r="H19" s="58">
        <f>IFERROR('Final Marks Dashboard'!F19*20/100,0)</f>
        <v>16.04</v>
      </c>
      <c r="I19" s="59">
        <f>'Final Marks Dashboard'!F19</f>
        <v>80.2</v>
      </c>
      <c r="J19" s="45" t="str">
        <f>IF('Final Marks Dashboard'!F19&gt;=80,"L3",IF('Final Marks Dashboard'!F19&gt;=60,"L2",IF('Final Marks Dashboard'!F19&gt;=40,"L1","L0")))</f>
        <v>L3</v>
      </c>
      <c r="K19" s="34" t="str">
        <f>IF('Final Marks Dashboard'!F19&gt;=40,"Pass","Fail")</f>
        <v>Pass</v>
      </c>
    </row>
    <row r="20" ht="19.5" customHeight="1" spans="1:11">
      <c r="A20" s="27">
        <v>15</v>
      </c>
      <c r="B20" s="27" t="s">
        <v>163</v>
      </c>
      <c r="C20" s="57" t="s">
        <v>164</v>
      </c>
      <c r="D20" s="58">
        <f>IFERROR('Final Marks Dashboard'!F20*20/100,0)</f>
        <v>16.38</v>
      </c>
      <c r="E20" s="58">
        <f>IFERROR('Final Marks Dashboard'!F20*20/100,0)</f>
        <v>16.38</v>
      </c>
      <c r="F20" s="58">
        <f>IFERROR('Final Marks Dashboard'!F20*20/100,0)</f>
        <v>16.38</v>
      </c>
      <c r="G20" s="58">
        <f>IFERROR('Final Marks Dashboard'!F20*20/100,0)</f>
        <v>16.38</v>
      </c>
      <c r="H20" s="58">
        <f>IFERROR('Final Marks Dashboard'!F20*20/100,0)</f>
        <v>16.38</v>
      </c>
      <c r="I20" s="59">
        <f>'Final Marks Dashboard'!F20</f>
        <v>81.9</v>
      </c>
      <c r="J20" s="45" t="str">
        <f>IF('Final Marks Dashboard'!F20&gt;=80,"L3",IF('Final Marks Dashboard'!F20&gt;=60,"L2",IF('Final Marks Dashboard'!F20&gt;=40,"L1","L0")))</f>
        <v>L3</v>
      </c>
      <c r="K20" s="34" t="str">
        <f>IF('Final Marks Dashboard'!F20&gt;=40,"Pass","Fail")</f>
        <v>Pass</v>
      </c>
    </row>
    <row r="21" ht="19.5" customHeight="1" spans="1:11">
      <c r="A21" s="35">
        <v>16</v>
      </c>
      <c r="B21" s="35" t="s">
        <v>165</v>
      </c>
      <c r="C21" s="60" t="s">
        <v>166</v>
      </c>
      <c r="D21" s="58">
        <f>IFERROR('Final Marks Dashboard'!F21*20/100,0)</f>
        <v>17.66</v>
      </c>
      <c r="E21" s="58">
        <f>IFERROR('Final Marks Dashboard'!F21*20/100,0)</f>
        <v>17.66</v>
      </c>
      <c r="F21" s="58">
        <f>IFERROR('Final Marks Dashboard'!F21*20/100,0)</f>
        <v>17.66</v>
      </c>
      <c r="G21" s="58">
        <f>IFERROR('Final Marks Dashboard'!F21*20/100,0)</f>
        <v>17.66</v>
      </c>
      <c r="H21" s="58">
        <f>IFERROR('Final Marks Dashboard'!F21*20/100,0)</f>
        <v>17.66</v>
      </c>
      <c r="I21" s="59">
        <f>'Final Marks Dashboard'!F21</f>
        <v>88.3</v>
      </c>
      <c r="J21" s="45" t="str">
        <f>IF('Final Marks Dashboard'!F21&gt;=80,"L3",IF('Final Marks Dashboard'!F21&gt;=60,"L2",IF('Final Marks Dashboard'!F21&gt;=40,"L1","L0")))</f>
        <v>L3</v>
      </c>
      <c r="K21" s="34" t="str">
        <f>IF('Final Marks Dashboard'!F21&gt;=40,"Pass","Fail")</f>
        <v>Pass</v>
      </c>
    </row>
    <row r="22" ht="19.5" customHeight="1" spans="1:11">
      <c r="A22" s="27">
        <v>17</v>
      </c>
      <c r="B22" s="27" t="s">
        <v>167</v>
      </c>
      <c r="C22" s="57" t="s">
        <v>168</v>
      </c>
      <c r="D22" s="58">
        <f>IFERROR('Final Marks Dashboard'!F22*20/100,0)</f>
        <v>14.44</v>
      </c>
      <c r="E22" s="58">
        <f>IFERROR('Final Marks Dashboard'!F22*20/100,0)</f>
        <v>14.44</v>
      </c>
      <c r="F22" s="58">
        <f>IFERROR('Final Marks Dashboard'!F22*20/100,0)</f>
        <v>14.44</v>
      </c>
      <c r="G22" s="58">
        <f>IFERROR('Final Marks Dashboard'!F22*20/100,0)</f>
        <v>14.44</v>
      </c>
      <c r="H22" s="58">
        <f>IFERROR('Final Marks Dashboard'!F22*20/100,0)</f>
        <v>14.44</v>
      </c>
      <c r="I22" s="59">
        <f>'Final Marks Dashboard'!F22</f>
        <v>72.2</v>
      </c>
      <c r="J22" s="45" t="str">
        <f>IF('Final Marks Dashboard'!F22&gt;=80,"L3",IF('Final Marks Dashboard'!F22&gt;=60,"L2",IF('Final Marks Dashboard'!F22&gt;=40,"L1","L0")))</f>
        <v>L2</v>
      </c>
      <c r="K22" s="34" t="str">
        <f>IF('Final Marks Dashboard'!F22&gt;=40,"Pass","Fail")</f>
        <v>Pass</v>
      </c>
    </row>
    <row r="23" ht="19.5" customHeight="1" spans="1:11">
      <c r="A23" s="35">
        <v>18</v>
      </c>
      <c r="B23" s="35" t="s">
        <v>169</v>
      </c>
      <c r="C23" s="60" t="s">
        <v>170</v>
      </c>
      <c r="D23" s="58">
        <f>IFERROR('Final Marks Dashboard'!F23*20/100,0)</f>
        <v>14.58</v>
      </c>
      <c r="E23" s="58">
        <f>IFERROR('Final Marks Dashboard'!F23*20/100,0)</f>
        <v>14.58</v>
      </c>
      <c r="F23" s="58">
        <f>IFERROR('Final Marks Dashboard'!F23*20/100,0)</f>
        <v>14.58</v>
      </c>
      <c r="G23" s="58">
        <f>IFERROR('Final Marks Dashboard'!F23*20/100,0)</f>
        <v>14.58</v>
      </c>
      <c r="H23" s="58">
        <f>IFERROR('Final Marks Dashboard'!F23*20/100,0)</f>
        <v>14.58</v>
      </c>
      <c r="I23" s="59">
        <f>'Final Marks Dashboard'!F23</f>
        <v>72.9</v>
      </c>
      <c r="J23" s="45" t="str">
        <f>IF('Final Marks Dashboard'!F23&gt;=80,"L3",IF('Final Marks Dashboard'!F23&gt;=60,"L2",IF('Final Marks Dashboard'!F23&gt;=40,"L1","L0")))</f>
        <v>L2</v>
      </c>
      <c r="K23" s="34" t="str">
        <f>IF('Final Marks Dashboard'!F23&gt;=40,"Pass","Fail")</f>
        <v>Pass</v>
      </c>
    </row>
    <row r="24" ht="19.5" customHeight="1" spans="1:11">
      <c r="A24" s="27">
        <v>19</v>
      </c>
      <c r="B24" s="27" t="s">
        <v>171</v>
      </c>
      <c r="C24" s="57" t="s">
        <v>172</v>
      </c>
      <c r="D24" s="58">
        <f>IFERROR('Final Marks Dashboard'!F24*20/100,0)</f>
        <v>15.88</v>
      </c>
      <c r="E24" s="58">
        <f>IFERROR('Final Marks Dashboard'!F24*20/100,0)</f>
        <v>15.88</v>
      </c>
      <c r="F24" s="58">
        <f>IFERROR('Final Marks Dashboard'!F24*20/100,0)</f>
        <v>15.88</v>
      </c>
      <c r="G24" s="58">
        <f>IFERROR('Final Marks Dashboard'!F24*20/100,0)</f>
        <v>15.88</v>
      </c>
      <c r="H24" s="58">
        <f>IFERROR('Final Marks Dashboard'!F24*20/100,0)</f>
        <v>15.88</v>
      </c>
      <c r="I24" s="59">
        <f>'Final Marks Dashboard'!F24</f>
        <v>79.4</v>
      </c>
      <c r="J24" s="45" t="str">
        <f>IF('Final Marks Dashboard'!F24&gt;=80,"L3",IF('Final Marks Dashboard'!F24&gt;=60,"L2",IF('Final Marks Dashboard'!F24&gt;=40,"L1","L0")))</f>
        <v>L2</v>
      </c>
      <c r="K24" s="34" t="str">
        <f>IF('Final Marks Dashboard'!F24&gt;=40,"Pass","Fail")</f>
        <v>Pass</v>
      </c>
    </row>
    <row r="25" ht="19.5" customHeight="1" spans="1:11">
      <c r="A25" s="35">
        <v>20</v>
      </c>
      <c r="B25" s="35" t="s">
        <v>173</v>
      </c>
      <c r="C25" s="60" t="s">
        <v>174</v>
      </c>
      <c r="D25" s="58">
        <f>IFERROR('Final Marks Dashboard'!F25*20/100,0)</f>
        <v>16.32</v>
      </c>
      <c r="E25" s="58">
        <f>IFERROR('Final Marks Dashboard'!F25*20/100,0)</f>
        <v>16.32</v>
      </c>
      <c r="F25" s="58">
        <f>IFERROR('Final Marks Dashboard'!F25*20/100,0)</f>
        <v>16.32</v>
      </c>
      <c r="G25" s="58">
        <f>IFERROR('Final Marks Dashboard'!F25*20/100,0)</f>
        <v>16.32</v>
      </c>
      <c r="H25" s="58">
        <f>IFERROR('Final Marks Dashboard'!F25*20/100,0)</f>
        <v>16.32</v>
      </c>
      <c r="I25" s="59">
        <f>'Final Marks Dashboard'!F25</f>
        <v>81.6</v>
      </c>
      <c r="J25" s="45" t="str">
        <f>IF('Final Marks Dashboard'!F25&gt;=80,"L3",IF('Final Marks Dashboard'!F25&gt;=60,"L2",IF('Final Marks Dashboard'!F25&gt;=40,"L1","L0")))</f>
        <v>L3</v>
      </c>
      <c r="K25" s="34" t="str">
        <f>IF('Final Marks Dashboard'!F25&gt;=40,"Pass","Fail")</f>
        <v>Pass</v>
      </c>
    </row>
    <row r="26" ht="19.5" customHeight="1" spans="1:11">
      <c r="A26" s="27">
        <v>21</v>
      </c>
      <c r="B26" s="27" t="s">
        <v>175</v>
      </c>
      <c r="C26" s="57" t="s">
        <v>176</v>
      </c>
      <c r="D26" s="58">
        <f>IFERROR('Final Marks Dashboard'!F26*20/100,0)</f>
        <v>15.96</v>
      </c>
      <c r="E26" s="58">
        <f>IFERROR('Final Marks Dashboard'!F26*20/100,0)</f>
        <v>15.96</v>
      </c>
      <c r="F26" s="58">
        <f>IFERROR('Final Marks Dashboard'!F26*20/100,0)</f>
        <v>15.96</v>
      </c>
      <c r="G26" s="58">
        <f>IFERROR('Final Marks Dashboard'!F26*20/100,0)</f>
        <v>15.96</v>
      </c>
      <c r="H26" s="58">
        <f>IFERROR('Final Marks Dashboard'!F26*20/100,0)</f>
        <v>15.96</v>
      </c>
      <c r="I26" s="59">
        <f>'Final Marks Dashboard'!F26</f>
        <v>79.8</v>
      </c>
      <c r="J26" s="45" t="str">
        <f>IF('Final Marks Dashboard'!F26&gt;=80,"L3",IF('Final Marks Dashboard'!F26&gt;=60,"L2",IF('Final Marks Dashboard'!F26&gt;=40,"L1","L0")))</f>
        <v>L2</v>
      </c>
      <c r="K26" s="34" t="str">
        <f>IF('Final Marks Dashboard'!F26&gt;=40,"Pass","Fail")</f>
        <v>Pass</v>
      </c>
    </row>
    <row r="27" ht="19.5" customHeight="1" spans="1:11">
      <c r="A27" s="35">
        <v>22</v>
      </c>
      <c r="B27" s="35" t="s">
        <v>177</v>
      </c>
      <c r="C27" s="60" t="s">
        <v>178</v>
      </c>
      <c r="D27" s="58">
        <f>IFERROR('Final Marks Dashboard'!F27*20/100,0)</f>
        <v>18.08</v>
      </c>
      <c r="E27" s="58">
        <f>IFERROR('Final Marks Dashboard'!F27*20/100,0)</f>
        <v>18.08</v>
      </c>
      <c r="F27" s="58">
        <f>IFERROR('Final Marks Dashboard'!F27*20/100,0)</f>
        <v>18.08</v>
      </c>
      <c r="G27" s="58">
        <f>IFERROR('Final Marks Dashboard'!F27*20/100,0)</f>
        <v>18.08</v>
      </c>
      <c r="H27" s="58">
        <f>IFERROR('Final Marks Dashboard'!F27*20/100,0)</f>
        <v>18.08</v>
      </c>
      <c r="I27" s="59">
        <f>'Final Marks Dashboard'!F27</f>
        <v>90.4</v>
      </c>
      <c r="J27" s="45" t="str">
        <f>IF('Final Marks Dashboard'!F27&gt;=80,"L3",IF('Final Marks Dashboard'!F27&gt;=60,"L2",IF('Final Marks Dashboard'!F27&gt;=40,"L1","L0")))</f>
        <v>L3</v>
      </c>
      <c r="K27" s="34" t="str">
        <f>IF('Final Marks Dashboard'!F27&gt;=40,"Pass","Fail")</f>
        <v>Pass</v>
      </c>
    </row>
    <row r="28" ht="19.5" customHeight="1" spans="1:11">
      <c r="A28" s="27">
        <v>23</v>
      </c>
      <c r="B28" s="27" t="s">
        <v>179</v>
      </c>
      <c r="C28" s="57" t="s">
        <v>180</v>
      </c>
      <c r="D28" s="58">
        <f>IFERROR('Final Marks Dashboard'!F28*20/100,0)</f>
        <v>16.96</v>
      </c>
      <c r="E28" s="58">
        <f>IFERROR('Final Marks Dashboard'!F28*20/100,0)</f>
        <v>16.96</v>
      </c>
      <c r="F28" s="58">
        <f>IFERROR('Final Marks Dashboard'!F28*20/100,0)</f>
        <v>16.96</v>
      </c>
      <c r="G28" s="58">
        <f>IFERROR('Final Marks Dashboard'!F28*20/100,0)</f>
        <v>16.96</v>
      </c>
      <c r="H28" s="58">
        <f>IFERROR('Final Marks Dashboard'!F28*20/100,0)</f>
        <v>16.96</v>
      </c>
      <c r="I28" s="59">
        <f>'Final Marks Dashboard'!F28</f>
        <v>84.8</v>
      </c>
      <c r="J28" s="45" t="str">
        <f>IF('Final Marks Dashboard'!F28&gt;=80,"L3",IF('Final Marks Dashboard'!F28&gt;=60,"L2",IF('Final Marks Dashboard'!F28&gt;=40,"L1","L0")))</f>
        <v>L3</v>
      </c>
      <c r="K28" s="34" t="str">
        <f>IF('Final Marks Dashboard'!F28&gt;=40,"Pass","Fail")</f>
        <v>Pass</v>
      </c>
    </row>
    <row r="29" ht="19.5" customHeight="1" spans="1:11">
      <c r="A29" s="35">
        <v>24</v>
      </c>
      <c r="B29" s="35" t="s">
        <v>181</v>
      </c>
      <c r="C29" s="60" t="s">
        <v>182</v>
      </c>
      <c r="D29" s="58">
        <f>IFERROR('Final Marks Dashboard'!F29*20/100,0)</f>
        <v>15.74</v>
      </c>
      <c r="E29" s="58">
        <f>IFERROR('Final Marks Dashboard'!F29*20/100,0)</f>
        <v>15.74</v>
      </c>
      <c r="F29" s="58">
        <f>IFERROR('Final Marks Dashboard'!F29*20/100,0)</f>
        <v>15.74</v>
      </c>
      <c r="G29" s="58">
        <f>IFERROR('Final Marks Dashboard'!F29*20/100,0)</f>
        <v>15.74</v>
      </c>
      <c r="H29" s="58">
        <f>IFERROR('Final Marks Dashboard'!F29*20/100,0)</f>
        <v>15.74</v>
      </c>
      <c r="I29" s="59">
        <f>'Final Marks Dashboard'!F29</f>
        <v>78.7</v>
      </c>
      <c r="J29" s="45" t="str">
        <f>IF('Final Marks Dashboard'!F29&gt;=80,"L3",IF('Final Marks Dashboard'!F29&gt;=60,"L2",IF('Final Marks Dashboard'!F29&gt;=40,"L1","L0")))</f>
        <v>L2</v>
      </c>
      <c r="K29" s="34" t="str">
        <f>IF('Final Marks Dashboard'!F29&gt;=40,"Pass","Fail")</f>
        <v>Pass</v>
      </c>
    </row>
    <row r="30" ht="19.5" customHeight="1" spans="1:11">
      <c r="A30" s="27">
        <v>25</v>
      </c>
      <c r="B30" s="27" t="s">
        <v>183</v>
      </c>
      <c r="C30" s="57" t="s">
        <v>184</v>
      </c>
      <c r="D30" s="58">
        <f>IFERROR('Final Marks Dashboard'!F30*20/100,0)</f>
        <v>15.84</v>
      </c>
      <c r="E30" s="58">
        <f>IFERROR('Final Marks Dashboard'!F30*20/100,0)</f>
        <v>15.84</v>
      </c>
      <c r="F30" s="58">
        <f>IFERROR('Final Marks Dashboard'!F30*20/100,0)</f>
        <v>15.84</v>
      </c>
      <c r="G30" s="58">
        <f>IFERROR('Final Marks Dashboard'!F30*20/100,0)</f>
        <v>15.84</v>
      </c>
      <c r="H30" s="58">
        <f>IFERROR('Final Marks Dashboard'!F30*20/100,0)</f>
        <v>15.84</v>
      </c>
      <c r="I30" s="59">
        <f>'Final Marks Dashboard'!F30</f>
        <v>79.2</v>
      </c>
      <c r="J30" s="45" t="str">
        <f>IF('Final Marks Dashboard'!F30&gt;=80,"L3",IF('Final Marks Dashboard'!F30&gt;=60,"L2",IF('Final Marks Dashboard'!F30&gt;=40,"L1","L0")))</f>
        <v>L2</v>
      </c>
      <c r="K30" s="34" t="str">
        <f>IF('Final Marks Dashboard'!F30&gt;=40,"Pass","Fail")</f>
        <v>Pass</v>
      </c>
    </row>
    <row r="31" ht="19.5" customHeight="1" spans="1:11">
      <c r="A31" s="35">
        <v>26</v>
      </c>
      <c r="B31" s="35" t="s">
        <v>185</v>
      </c>
      <c r="C31" s="60" t="s">
        <v>186</v>
      </c>
      <c r="D31" s="58">
        <f>IFERROR('Final Marks Dashboard'!F31*20/100,0)</f>
        <v>16.58</v>
      </c>
      <c r="E31" s="58">
        <f>IFERROR('Final Marks Dashboard'!F31*20/100,0)</f>
        <v>16.58</v>
      </c>
      <c r="F31" s="58">
        <f>IFERROR('Final Marks Dashboard'!F31*20/100,0)</f>
        <v>16.58</v>
      </c>
      <c r="G31" s="58">
        <f>IFERROR('Final Marks Dashboard'!F31*20/100,0)</f>
        <v>16.58</v>
      </c>
      <c r="H31" s="58">
        <f>IFERROR('Final Marks Dashboard'!F31*20/100,0)</f>
        <v>16.58</v>
      </c>
      <c r="I31" s="59">
        <f>'Final Marks Dashboard'!F31</f>
        <v>82.9</v>
      </c>
      <c r="J31" s="45" t="str">
        <f>IF('Final Marks Dashboard'!F31&gt;=80,"L3",IF('Final Marks Dashboard'!F31&gt;=60,"L2",IF('Final Marks Dashboard'!F31&gt;=40,"L1","L0")))</f>
        <v>L3</v>
      </c>
      <c r="K31" s="34" t="str">
        <f>IF('Final Marks Dashboard'!F31&gt;=40,"Pass","Fail")</f>
        <v>Pass</v>
      </c>
    </row>
    <row r="32" ht="19.5" customHeight="1" spans="1:11">
      <c r="A32" s="27">
        <v>27</v>
      </c>
      <c r="B32" s="27" t="s">
        <v>187</v>
      </c>
      <c r="C32" s="57" t="s">
        <v>188</v>
      </c>
      <c r="D32" s="58">
        <f>IFERROR('Final Marks Dashboard'!F32*20/100,0)</f>
        <v>16.5</v>
      </c>
      <c r="E32" s="58">
        <f>IFERROR('Final Marks Dashboard'!F32*20/100,0)</f>
        <v>16.5</v>
      </c>
      <c r="F32" s="58">
        <f>IFERROR('Final Marks Dashboard'!F32*20/100,0)</f>
        <v>16.5</v>
      </c>
      <c r="G32" s="58">
        <f>IFERROR('Final Marks Dashboard'!F32*20/100,0)</f>
        <v>16.5</v>
      </c>
      <c r="H32" s="58">
        <f>IFERROR('Final Marks Dashboard'!F32*20/100,0)</f>
        <v>16.5</v>
      </c>
      <c r="I32" s="59">
        <f>'Final Marks Dashboard'!F32</f>
        <v>82.5</v>
      </c>
      <c r="J32" s="45" t="str">
        <f>IF('Final Marks Dashboard'!F32&gt;=80,"L3",IF('Final Marks Dashboard'!F32&gt;=60,"L2",IF('Final Marks Dashboard'!F32&gt;=40,"L1","L0")))</f>
        <v>L3</v>
      </c>
      <c r="K32" s="34" t="str">
        <f>IF('Final Marks Dashboard'!F32&gt;=40,"Pass","Fail")</f>
        <v>Pass</v>
      </c>
    </row>
    <row r="33" ht="19.5" customHeight="1" spans="1:11">
      <c r="A33" s="35">
        <v>28</v>
      </c>
      <c r="B33" s="35" t="s">
        <v>189</v>
      </c>
      <c r="C33" s="60" t="s">
        <v>190</v>
      </c>
      <c r="D33" s="58">
        <f>IFERROR('Final Marks Dashboard'!F33*20/100,0)</f>
        <v>16</v>
      </c>
      <c r="E33" s="58">
        <f>IFERROR('Final Marks Dashboard'!F33*20/100,0)</f>
        <v>16</v>
      </c>
      <c r="F33" s="58">
        <f>IFERROR('Final Marks Dashboard'!F33*20/100,0)</f>
        <v>16</v>
      </c>
      <c r="G33" s="58">
        <f>IFERROR('Final Marks Dashboard'!F33*20/100,0)</f>
        <v>16</v>
      </c>
      <c r="H33" s="58">
        <f>IFERROR('Final Marks Dashboard'!F33*20/100,0)</f>
        <v>16</v>
      </c>
      <c r="I33" s="59">
        <f>'Final Marks Dashboard'!F33</f>
        <v>80</v>
      </c>
      <c r="J33" s="45" t="str">
        <f>IF('Final Marks Dashboard'!F33&gt;=80,"L3",IF('Final Marks Dashboard'!F33&gt;=60,"L2",IF('Final Marks Dashboard'!F33&gt;=40,"L1","L0")))</f>
        <v>L3</v>
      </c>
      <c r="K33" s="34" t="str">
        <f>IF('Final Marks Dashboard'!F33&gt;=40,"Pass","Fail")</f>
        <v>Pass</v>
      </c>
    </row>
    <row r="34" ht="19.5" customHeight="1" spans="1:11">
      <c r="A34" s="27">
        <v>29</v>
      </c>
      <c r="B34" s="27" t="s">
        <v>191</v>
      </c>
      <c r="C34" s="57" t="s">
        <v>192</v>
      </c>
      <c r="D34" s="58">
        <f>IFERROR('Final Marks Dashboard'!F34*20/100,0)</f>
        <v>15.14</v>
      </c>
      <c r="E34" s="58">
        <f>IFERROR('Final Marks Dashboard'!F34*20/100,0)</f>
        <v>15.14</v>
      </c>
      <c r="F34" s="58">
        <f>IFERROR('Final Marks Dashboard'!F34*20/100,0)</f>
        <v>15.14</v>
      </c>
      <c r="G34" s="58">
        <f>IFERROR('Final Marks Dashboard'!F34*20/100,0)</f>
        <v>15.14</v>
      </c>
      <c r="H34" s="58">
        <f>IFERROR('Final Marks Dashboard'!F34*20/100,0)</f>
        <v>15.14</v>
      </c>
      <c r="I34" s="59">
        <f>'Final Marks Dashboard'!F34</f>
        <v>75.7</v>
      </c>
      <c r="J34" s="45" t="str">
        <f>IF('Final Marks Dashboard'!F34&gt;=80,"L3",IF('Final Marks Dashboard'!F34&gt;=60,"L2",IF('Final Marks Dashboard'!F34&gt;=40,"L1","L0")))</f>
        <v>L2</v>
      </c>
      <c r="K34" s="34" t="str">
        <f>IF('Final Marks Dashboard'!F34&gt;=40,"Pass","Fail")</f>
        <v>Pass</v>
      </c>
    </row>
    <row r="35" ht="19.5" customHeight="1" spans="1:11">
      <c r="A35" s="35">
        <v>30</v>
      </c>
      <c r="B35" s="35" t="s">
        <v>193</v>
      </c>
      <c r="C35" s="60" t="s">
        <v>194</v>
      </c>
      <c r="D35" s="58">
        <f>IFERROR('Final Marks Dashboard'!F35*20/100,0)</f>
        <v>16.2</v>
      </c>
      <c r="E35" s="58">
        <f>IFERROR('Final Marks Dashboard'!F35*20/100,0)</f>
        <v>16.2</v>
      </c>
      <c r="F35" s="58">
        <f>IFERROR('Final Marks Dashboard'!F35*20/100,0)</f>
        <v>16.2</v>
      </c>
      <c r="G35" s="58">
        <f>IFERROR('Final Marks Dashboard'!F35*20/100,0)</f>
        <v>16.2</v>
      </c>
      <c r="H35" s="58">
        <f>IFERROR('Final Marks Dashboard'!F35*20/100,0)</f>
        <v>16.2</v>
      </c>
      <c r="I35" s="59">
        <f>'Final Marks Dashboard'!F35</f>
        <v>81</v>
      </c>
      <c r="J35" s="45" t="str">
        <f>IF('Final Marks Dashboard'!F35&gt;=80,"L3",IF('Final Marks Dashboard'!F35&gt;=60,"L2",IF('Final Marks Dashboard'!F35&gt;=40,"L1","L0")))</f>
        <v>L3</v>
      </c>
      <c r="K35" s="34" t="str">
        <f>IF('Final Marks Dashboard'!F35&gt;=40,"Pass","Fail")</f>
        <v>Pass</v>
      </c>
    </row>
    <row r="36" ht="19.5" customHeight="1" spans="1:11">
      <c r="A36" s="27">
        <v>31</v>
      </c>
      <c r="B36" s="27" t="s">
        <v>195</v>
      </c>
      <c r="C36" s="57" t="s">
        <v>196</v>
      </c>
      <c r="D36" s="58">
        <f>IFERROR('Final Marks Dashboard'!F36*20/100,0)</f>
        <v>15.62</v>
      </c>
      <c r="E36" s="58">
        <f>IFERROR('Final Marks Dashboard'!F36*20/100,0)</f>
        <v>15.62</v>
      </c>
      <c r="F36" s="58">
        <f>IFERROR('Final Marks Dashboard'!F36*20/100,0)</f>
        <v>15.62</v>
      </c>
      <c r="G36" s="58">
        <f>IFERROR('Final Marks Dashboard'!F36*20/100,0)</f>
        <v>15.62</v>
      </c>
      <c r="H36" s="58">
        <f>IFERROR('Final Marks Dashboard'!F36*20/100,0)</f>
        <v>15.62</v>
      </c>
      <c r="I36" s="59">
        <f>'Final Marks Dashboard'!F36</f>
        <v>78.1</v>
      </c>
      <c r="J36" s="45" t="str">
        <f>IF('Final Marks Dashboard'!F36&gt;=80,"L3",IF('Final Marks Dashboard'!F36&gt;=60,"L2",IF('Final Marks Dashboard'!F36&gt;=40,"L1","L0")))</f>
        <v>L2</v>
      </c>
      <c r="K36" s="34" t="str">
        <f>IF('Final Marks Dashboard'!F36&gt;=40,"Pass","Fail")</f>
        <v>Pass</v>
      </c>
    </row>
    <row r="37" ht="19.5" customHeight="1" spans="1:11">
      <c r="A37" s="35">
        <v>32</v>
      </c>
      <c r="B37" s="35" t="s">
        <v>197</v>
      </c>
      <c r="C37" s="60" t="s">
        <v>198</v>
      </c>
      <c r="D37" s="58">
        <f>IFERROR('Final Marks Dashboard'!F37*20/100,0)</f>
        <v>16.86</v>
      </c>
      <c r="E37" s="58">
        <f>IFERROR('Final Marks Dashboard'!F37*20/100,0)</f>
        <v>16.86</v>
      </c>
      <c r="F37" s="58">
        <f>IFERROR('Final Marks Dashboard'!F37*20/100,0)</f>
        <v>16.86</v>
      </c>
      <c r="G37" s="58">
        <f>IFERROR('Final Marks Dashboard'!F37*20/100,0)</f>
        <v>16.86</v>
      </c>
      <c r="H37" s="58">
        <f>IFERROR('Final Marks Dashboard'!F37*20/100,0)</f>
        <v>16.86</v>
      </c>
      <c r="I37" s="59">
        <f>'Final Marks Dashboard'!F37</f>
        <v>84.3</v>
      </c>
      <c r="J37" s="45" t="str">
        <f>IF('Final Marks Dashboard'!F37&gt;=80,"L3",IF('Final Marks Dashboard'!F37&gt;=60,"L2",IF('Final Marks Dashboard'!F37&gt;=40,"L1","L0")))</f>
        <v>L3</v>
      </c>
      <c r="K37" s="34" t="str">
        <f>IF('Final Marks Dashboard'!F37&gt;=40,"Pass","Fail")</f>
        <v>Pass</v>
      </c>
    </row>
    <row r="38" ht="19.5" customHeight="1" spans="1:11">
      <c r="A38" s="27">
        <v>33</v>
      </c>
      <c r="B38" s="27" t="s">
        <v>199</v>
      </c>
      <c r="C38" s="57" t="s">
        <v>200</v>
      </c>
      <c r="D38" s="58">
        <f>IFERROR('Final Marks Dashboard'!F38*20/100,0)</f>
        <v>16.58</v>
      </c>
      <c r="E38" s="58">
        <f>IFERROR('Final Marks Dashboard'!F38*20/100,0)</f>
        <v>16.58</v>
      </c>
      <c r="F38" s="58">
        <f>IFERROR('Final Marks Dashboard'!F38*20/100,0)</f>
        <v>16.58</v>
      </c>
      <c r="G38" s="58">
        <f>IFERROR('Final Marks Dashboard'!F38*20/100,0)</f>
        <v>16.58</v>
      </c>
      <c r="H38" s="58">
        <f>IFERROR('Final Marks Dashboard'!F38*20/100,0)</f>
        <v>16.58</v>
      </c>
      <c r="I38" s="59">
        <f>'Final Marks Dashboard'!F38</f>
        <v>82.9</v>
      </c>
      <c r="J38" s="45" t="str">
        <f>IF('Final Marks Dashboard'!F38&gt;=80,"L3",IF('Final Marks Dashboard'!F38&gt;=60,"L2",IF('Final Marks Dashboard'!F38&gt;=40,"L1","L0")))</f>
        <v>L3</v>
      </c>
      <c r="K38" s="34" t="str">
        <f>IF('Final Marks Dashboard'!F38&gt;=40,"Pass","Fail")</f>
        <v>Pass</v>
      </c>
    </row>
    <row r="39" ht="19.5" customHeight="1" spans="1:11">
      <c r="A39" s="35">
        <v>34</v>
      </c>
      <c r="B39" s="35" t="s">
        <v>201</v>
      </c>
      <c r="C39" s="60" t="s">
        <v>202</v>
      </c>
      <c r="D39" s="58">
        <f>IFERROR('Final Marks Dashboard'!F39*20/100,0)</f>
        <v>15.72</v>
      </c>
      <c r="E39" s="58">
        <f>IFERROR('Final Marks Dashboard'!F39*20/100,0)</f>
        <v>15.72</v>
      </c>
      <c r="F39" s="58">
        <f>IFERROR('Final Marks Dashboard'!F39*20/100,0)</f>
        <v>15.72</v>
      </c>
      <c r="G39" s="58">
        <f>IFERROR('Final Marks Dashboard'!F39*20/100,0)</f>
        <v>15.72</v>
      </c>
      <c r="H39" s="58">
        <f>IFERROR('Final Marks Dashboard'!F39*20/100,0)</f>
        <v>15.72</v>
      </c>
      <c r="I39" s="59">
        <f>'Final Marks Dashboard'!F39</f>
        <v>78.6</v>
      </c>
      <c r="J39" s="45" t="str">
        <f>IF('Final Marks Dashboard'!F39&gt;=80,"L3",IF('Final Marks Dashboard'!F39&gt;=60,"L2",IF('Final Marks Dashboard'!F39&gt;=40,"L1","L0")))</f>
        <v>L2</v>
      </c>
      <c r="K39" s="34" t="str">
        <f>IF('Final Marks Dashboard'!F39&gt;=40,"Pass","Fail")</f>
        <v>Pass</v>
      </c>
    </row>
    <row r="40" ht="19.5" customHeight="1" spans="1:11">
      <c r="A40" s="27">
        <v>35</v>
      </c>
      <c r="B40" s="27" t="s">
        <v>203</v>
      </c>
      <c r="C40" s="57" t="s">
        <v>204</v>
      </c>
      <c r="D40" s="58">
        <f>IFERROR('Final Marks Dashboard'!F40*20/100,0)</f>
        <v>15.82</v>
      </c>
      <c r="E40" s="58">
        <f>IFERROR('Final Marks Dashboard'!F40*20/100,0)</f>
        <v>15.82</v>
      </c>
      <c r="F40" s="58">
        <f>IFERROR('Final Marks Dashboard'!F40*20/100,0)</f>
        <v>15.82</v>
      </c>
      <c r="G40" s="58">
        <f>IFERROR('Final Marks Dashboard'!F40*20/100,0)</f>
        <v>15.82</v>
      </c>
      <c r="H40" s="58">
        <f>IFERROR('Final Marks Dashboard'!F40*20/100,0)</f>
        <v>15.82</v>
      </c>
      <c r="I40" s="59">
        <f>'Final Marks Dashboard'!F40</f>
        <v>79.1</v>
      </c>
      <c r="J40" s="45" t="str">
        <f>IF('Final Marks Dashboard'!F40&gt;=80,"L3",IF('Final Marks Dashboard'!F40&gt;=60,"L2",IF('Final Marks Dashboard'!F40&gt;=40,"L1","L0")))</f>
        <v>L2</v>
      </c>
      <c r="K40" s="34" t="str">
        <f>IF('Final Marks Dashboard'!F40&gt;=40,"Pass","Fail")</f>
        <v>Pass</v>
      </c>
    </row>
    <row r="41" ht="19.5" customHeight="1" spans="1:11">
      <c r="A41" s="35">
        <v>36</v>
      </c>
      <c r="B41" s="35" t="s">
        <v>205</v>
      </c>
      <c r="C41" s="60" t="s">
        <v>206</v>
      </c>
      <c r="D41" s="58">
        <f>IFERROR('Final Marks Dashboard'!F41*20/100,0)</f>
        <v>15.4</v>
      </c>
      <c r="E41" s="58">
        <f>IFERROR('Final Marks Dashboard'!F41*20/100,0)</f>
        <v>15.4</v>
      </c>
      <c r="F41" s="58">
        <f>IFERROR('Final Marks Dashboard'!F41*20/100,0)</f>
        <v>15.4</v>
      </c>
      <c r="G41" s="58">
        <f>IFERROR('Final Marks Dashboard'!F41*20/100,0)</f>
        <v>15.4</v>
      </c>
      <c r="H41" s="58">
        <f>IFERROR('Final Marks Dashboard'!F41*20/100,0)</f>
        <v>15.4</v>
      </c>
      <c r="I41" s="59">
        <f>'Final Marks Dashboard'!F41</f>
        <v>77</v>
      </c>
      <c r="J41" s="45" t="str">
        <f>IF('Final Marks Dashboard'!F41&gt;=80,"L3",IF('Final Marks Dashboard'!F41&gt;=60,"L2",IF('Final Marks Dashboard'!F41&gt;=40,"L1","L0")))</f>
        <v>L2</v>
      </c>
      <c r="K41" s="34" t="str">
        <f>IF('Final Marks Dashboard'!F41&gt;=40,"Pass","Fail")</f>
        <v>Pass</v>
      </c>
    </row>
    <row r="42" ht="19.5" customHeight="1" spans="1:11">
      <c r="A42" s="27">
        <v>37</v>
      </c>
      <c r="B42" s="27" t="s">
        <v>207</v>
      </c>
      <c r="C42" s="57" t="s">
        <v>208</v>
      </c>
      <c r="D42" s="58">
        <f>IFERROR('Final Marks Dashboard'!F42*20/100,0)</f>
        <v>17.18</v>
      </c>
      <c r="E42" s="58">
        <f>IFERROR('Final Marks Dashboard'!F42*20/100,0)</f>
        <v>17.18</v>
      </c>
      <c r="F42" s="58">
        <f>IFERROR('Final Marks Dashboard'!F42*20/100,0)</f>
        <v>17.18</v>
      </c>
      <c r="G42" s="58">
        <f>IFERROR('Final Marks Dashboard'!F42*20/100,0)</f>
        <v>17.18</v>
      </c>
      <c r="H42" s="58">
        <f>IFERROR('Final Marks Dashboard'!F42*20/100,0)</f>
        <v>17.18</v>
      </c>
      <c r="I42" s="59">
        <f>'Final Marks Dashboard'!F42</f>
        <v>85.9</v>
      </c>
      <c r="J42" s="45" t="str">
        <f>IF('Final Marks Dashboard'!F42&gt;=80,"L3",IF('Final Marks Dashboard'!F42&gt;=60,"L2",IF('Final Marks Dashboard'!F42&gt;=40,"L1","L0")))</f>
        <v>L3</v>
      </c>
      <c r="K42" s="34" t="str">
        <f>IF('Final Marks Dashboard'!F42&gt;=40,"Pass","Fail")</f>
        <v>Pass</v>
      </c>
    </row>
    <row r="43" ht="19.5" customHeight="1" spans="1:11">
      <c r="A43" s="35">
        <v>38</v>
      </c>
      <c r="B43" s="35" t="s">
        <v>209</v>
      </c>
      <c r="C43" s="60" t="s">
        <v>210</v>
      </c>
      <c r="D43" s="58">
        <f>IFERROR('Final Marks Dashboard'!F43*20/100,0)</f>
        <v>15.76</v>
      </c>
      <c r="E43" s="58">
        <f>IFERROR('Final Marks Dashboard'!F43*20/100,0)</f>
        <v>15.76</v>
      </c>
      <c r="F43" s="58">
        <f>IFERROR('Final Marks Dashboard'!F43*20/100,0)</f>
        <v>15.76</v>
      </c>
      <c r="G43" s="58">
        <f>IFERROR('Final Marks Dashboard'!F43*20/100,0)</f>
        <v>15.76</v>
      </c>
      <c r="H43" s="58">
        <f>IFERROR('Final Marks Dashboard'!F43*20/100,0)</f>
        <v>15.76</v>
      </c>
      <c r="I43" s="59">
        <f>'Final Marks Dashboard'!F43</f>
        <v>78.8</v>
      </c>
      <c r="J43" s="45" t="str">
        <f>IF('Final Marks Dashboard'!F43&gt;=80,"L3",IF('Final Marks Dashboard'!F43&gt;=60,"L2",IF('Final Marks Dashboard'!F43&gt;=40,"L1","L0")))</f>
        <v>L2</v>
      </c>
      <c r="K43" s="34" t="str">
        <f>IF('Final Marks Dashboard'!F43&gt;=40,"Pass","Fail")</f>
        <v>Pass</v>
      </c>
    </row>
    <row r="44" ht="19.5" customHeight="1" spans="1:11">
      <c r="A44" s="27">
        <v>39</v>
      </c>
      <c r="B44" s="27" t="s">
        <v>211</v>
      </c>
      <c r="C44" s="57" t="s">
        <v>212</v>
      </c>
      <c r="D44" s="58">
        <f>IFERROR('Final Marks Dashboard'!F44*20/100,0)</f>
        <v>14.98</v>
      </c>
      <c r="E44" s="58">
        <f>IFERROR('Final Marks Dashboard'!F44*20/100,0)</f>
        <v>14.98</v>
      </c>
      <c r="F44" s="58">
        <f>IFERROR('Final Marks Dashboard'!F44*20/100,0)</f>
        <v>14.98</v>
      </c>
      <c r="G44" s="58">
        <f>IFERROR('Final Marks Dashboard'!F44*20/100,0)</f>
        <v>14.98</v>
      </c>
      <c r="H44" s="58">
        <f>IFERROR('Final Marks Dashboard'!F44*20/100,0)</f>
        <v>14.98</v>
      </c>
      <c r="I44" s="59">
        <f>'Final Marks Dashboard'!F44</f>
        <v>74.9</v>
      </c>
      <c r="J44" s="45" t="str">
        <f>IF('Final Marks Dashboard'!F44&gt;=80,"L3",IF('Final Marks Dashboard'!F44&gt;=60,"L2",IF('Final Marks Dashboard'!F44&gt;=40,"L1","L0")))</f>
        <v>L2</v>
      </c>
      <c r="K44" s="34" t="str">
        <f>IF('Final Marks Dashboard'!F44&gt;=40,"Pass","Fail")</f>
        <v>Pass</v>
      </c>
    </row>
    <row r="45" ht="19.5" customHeight="1" spans="1:11">
      <c r="A45" s="35">
        <v>40</v>
      </c>
      <c r="B45" s="35" t="s">
        <v>213</v>
      </c>
      <c r="C45" s="60" t="s">
        <v>214</v>
      </c>
      <c r="D45" s="58">
        <f>IFERROR('Final Marks Dashboard'!F45*20/100,0)</f>
        <v>15.24</v>
      </c>
      <c r="E45" s="58">
        <f>IFERROR('Final Marks Dashboard'!F45*20/100,0)</f>
        <v>15.24</v>
      </c>
      <c r="F45" s="58">
        <f>IFERROR('Final Marks Dashboard'!F45*20/100,0)</f>
        <v>15.24</v>
      </c>
      <c r="G45" s="58">
        <f>IFERROR('Final Marks Dashboard'!F45*20/100,0)</f>
        <v>15.24</v>
      </c>
      <c r="H45" s="58">
        <f>IFERROR('Final Marks Dashboard'!F45*20/100,0)</f>
        <v>15.24</v>
      </c>
      <c r="I45" s="59">
        <f>'Final Marks Dashboard'!F45</f>
        <v>76.2</v>
      </c>
      <c r="J45" s="45" t="str">
        <f>IF('Final Marks Dashboard'!F45&gt;=80,"L3",IF('Final Marks Dashboard'!F45&gt;=60,"L2",IF('Final Marks Dashboard'!F45&gt;=40,"L1","L0")))</f>
        <v>L2</v>
      </c>
      <c r="K45" s="34" t="str">
        <f>IF('Final Marks Dashboard'!F45&gt;=40,"Pass","Fail")</f>
        <v>Pass</v>
      </c>
    </row>
    <row r="46" ht="19.5" customHeight="1" spans="1:11">
      <c r="A46" s="27">
        <v>41</v>
      </c>
      <c r="B46" s="27" t="s">
        <v>215</v>
      </c>
      <c r="C46" s="57" t="s">
        <v>216</v>
      </c>
      <c r="D46" s="58">
        <f>IFERROR('Final Marks Dashboard'!F46*20/100,0)</f>
        <v>16.38</v>
      </c>
      <c r="E46" s="58">
        <f>IFERROR('Final Marks Dashboard'!F46*20/100,0)</f>
        <v>16.38</v>
      </c>
      <c r="F46" s="58">
        <f>IFERROR('Final Marks Dashboard'!F46*20/100,0)</f>
        <v>16.38</v>
      </c>
      <c r="G46" s="58">
        <f>IFERROR('Final Marks Dashboard'!F46*20/100,0)</f>
        <v>16.38</v>
      </c>
      <c r="H46" s="58">
        <f>IFERROR('Final Marks Dashboard'!F46*20/100,0)</f>
        <v>16.38</v>
      </c>
      <c r="I46" s="59">
        <f>'Final Marks Dashboard'!F46</f>
        <v>81.9</v>
      </c>
      <c r="J46" s="45" t="str">
        <f>IF('Final Marks Dashboard'!F46&gt;=80,"L3",IF('Final Marks Dashboard'!F46&gt;=60,"L2",IF('Final Marks Dashboard'!F46&gt;=40,"L1","L0")))</f>
        <v>L3</v>
      </c>
      <c r="K46" s="34" t="str">
        <f>IF('Final Marks Dashboard'!F46&gt;=40,"Pass","Fail")</f>
        <v>Pass</v>
      </c>
    </row>
    <row r="47" ht="19.5" customHeight="1" spans="1:11">
      <c r="A47" s="35">
        <v>42</v>
      </c>
      <c r="B47" s="35" t="s">
        <v>217</v>
      </c>
      <c r="C47" s="60" t="s">
        <v>218</v>
      </c>
      <c r="D47" s="58">
        <f>IFERROR('Final Marks Dashboard'!F47*20/100,0)</f>
        <v>14.92</v>
      </c>
      <c r="E47" s="58">
        <f>IFERROR('Final Marks Dashboard'!F47*20/100,0)</f>
        <v>14.92</v>
      </c>
      <c r="F47" s="58">
        <f>IFERROR('Final Marks Dashboard'!F47*20/100,0)</f>
        <v>14.92</v>
      </c>
      <c r="G47" s="58">
        <f>IFERROR('Final Marks Dashboard'!F47*20/100,0)</f>
        <v>14.92</v>
      </c>
      <c r="H47" s="58">
        <f>IFERROR('Final Marks Dashboard'!F47*20/100,0)</f>
        <v>14.92</v>
      </c>
      <c r="I47" s="59">
        <f>'Final Marks Dashboard'!F47</f>
        <v>74.6</v>
      </c>
      <c r="J47" s="45" t="str">
        <f>IF('Final Marks Dashboard'!F47&gt;=80,"L3",IF('Final Marks Dashboard'!F47&gt;=60,"L2",IF('Final Marks Dashboard'!F47&gt;=40,"L1","L0")))</f>
        <v>L2</v>
      </c>
      <c r="K47" s="34" t="str">
        <f>IF('Final Marks Dashboard'!F47&gt;=40,"Pass","Fail")</f>
        <v>Pass</v>
      </c>
    </row>
    <row r="48" ht="19.5" customHeight="1" spans="1:11">
      <c r="A48" s="27">
        <v>43</v>
      </c>
      <c r="B48" s="27" t="s">
        <v>219</v>
      </c>
      <c r="C48" s="57" t="s">
        <v>220</v>
      </c>
      <c r="D48" s="58">
        <f>IFERROR('Final Marks Dashboard'!F48*20/100,0)</f>
        <v>17.8</v>
      </c>
      <c r="E48" s="58">
        <f>IFERROR('Final Marks Dashboard'!F48*20/100,0)</f>
        <v>17.8</v>
      </c>
      <c r="F48" s="58">
        <f>IFERROR('Final Marks Dashboard'!F48*20/100,0)</f>
        <v>17.8</v>
      </c>
      <c r="G48" s="58">
        <f>IFERROR('Final Marks Dashboard'!F48*20/100,0)</f>
        <v>17.8</v>
      </c>
      <c r="H48" s="58">
        <f>IFERROR('Final Marks Dashboard'!F48*20/100,0)</f>
        <v>17.8</v>
      </c>
      <c r="I48" s="59">
        <f>'Final Marks Dashboard'!F48</f>
        <v>89</v>
      </c>
      <c r="J48" s="45" t="str">
        <f>IF('Final Marks Dashboard'!F48&gt;=80,"L3",IF('Final Marks Dashboard'!F48&gt;=60,"L2",IF('Final Marks Dashboard'!F48&gt;=40,"L1","L0")))</f>
        <v>L3</v>
      </c>
      <c r="K48" s="34" t="str">
        <f>IF('Final Marks Dashboard'!F48&gt;=40,"Pass","Fail")</f>
        <v>Pass</v>
      </c>
    </row>
    <row r="49" ht="19.5" customHeight="1" spans="1:11">
      <c r="A49" s="35">
        <v>44</v>
      </c>
      <c r="B49" s="35" t="s">
        <v>221</v>
      </c>
      <c r="C49" s="60" t="s">
        <v>222</v>
      </c>
      <c r="D49" s="58">
        <f>IFERROR('Final Marks Dashboard'!F49*20/100,0)</f>
        <v>16.12</v>
      </c>
      <c r="E49" s="58">
        <f>IFERROR('Final Marks Dashboard'!F49*20/100,0)</f>
        <v>16.12</v>
      </c>
      <c r="F49" s="58">
        <f>IFERROR('Final Marks Dashboard'!F49*20/100,0)</f>
        <v>16.12</v>
      </c>
      <c r="G49" s="58">
        <f>IFERROR('Final Marks Dashboard'!F49*20/100,0)</f>
        <v>16.12</v>
      </c>
      <c r="H49" s="58">
        <f>IFERROR('Final Marks Dashboard'!F49*20/100,0)</f>
        <v>16.12</v>
      </c>
      <c r="I49" s="59">
        <f>'Final Marks Dashboard'!F49</f>
        <v>80.6</v>
      </c>
      <c r="J49" s="45" t="str">
        <f>IF('Final Marks Dashboard'!F49&gt;=80,"L3",IF('Final Marks Dashboard'!F49&gt;=60,"L2",IF('Final Marks Dashboard'!F49&gt;=40,"L1","L0")))</f>
        <v>L3</v>
      </c>
      <c r="K49" s="34" t="str">
        <f>IF('Final Marks Dashboard'!F49&gt;=40,"Pass","Fail")</f>
        <v>Pass</v>
      </c>
    </row>
    <row r="50" ht="19.5" customHeight="1" spans="1:11">
      <c r="A50" s="27">
        <v>45</v>
      </c>
      <c r="B50" s="27" t="s">
        <v>223</v>
      </c>
      <c r="C50" s="57" t="s">
        <v>224</v>
      </c>
      <c r="D50" s="58">
        <f>IFERROR('Final Marks Dashboard'!F50*20/100,0)</f>
        <v>15.52</v>
      </c>
      <c r="E50" s="58">
        <f>IFERROR('Final Marks Dashboard'!F50*20/100,0)</f>
        <v>15.52</v>
      </c>
      <c r="F50" s="58">
        <f>IFERROR('Final Marks Dashboard'!F50*20/100,0)</f>
        <v>15.52</v>
      </c>
      <c r="G50" s="58">
        <f>IFERROR('Final Marks Dashboard'!F50*20/100,0)</f>
        <v>15.52</v>
      </c>
      <c r="H50" s="58">
        <f>IFERROR('Final Marks Dashboard'!F50*20/100,0)</f>
        <v>15.52</v>
      </c>
      <c r="I50" s="59">
        <f>'Final Marks Dashboard'!F50</f>
        <v>77.6</v>
      </c>
      <c r="J50" s="45" t="str">
        <f>IF('Final Marks Dashboard'!F50&gt;=80,"L3",IF('Final Marks Dashboard'!F50&gt;=60,"L2",IF('Final Marks Dashboard'!F50&gt;=40,"L1","L0")))</f>
        <v>L2</v>
      </c>
      <c r="K50" s="34" t="str">
        <f>IF('Final Marks Dashboard'!F50&gt;=40,"Pass","Fail")</f>
        <v>Pass</v>
      </c>
    </row>
    <row r="51" ht="19.5" customHeight="1" spans="1:11">
      <c r="A51" s="35">
        <v>46</v>
      </c>
      <c r="B51" s="35" t="s">
        <v>225</v>
      </c>
      <c r="C51" s="60" t="s">
        <v>226</v>
      </c>
      <c r="D51" s="58">
        <f>IFERROR('Final Marks Dashboard'!F51*20/100,0)</f>
        <v>17.2</v>
      </c>
      <c r="E51" s="58">
        <f>IFERROR('Final Marks Dashboard'!F51*20/100,0)</f>
        <v>17.2</v>
      </c>
      <c r="F51" s="58">
        <f>IFERROR('Final Marks Dashboard'!F51*20/100,0)</f>
        <v>17.2</v>
      </c>
      <c r="G51" s="58">
        <f>IFERROR('Final Marks Dashboard'!F51*20/100,0)</f>
        <v>17.2</v>
      </c>
      <c r="H51" s="58">
        <f>IFERROR('Final Marks Dashboard'!F51*20/100,0)</f>
        <v>17.2</v>
      </c>
      <c r="I51" s="59">
        <f>'Final Marks Dashboard'!F51</f>
        <v>86</v>
      </c>
      <c r="J51" s="45" t="str">
        <f>IF('Final Marks Dashboard'!F51&gt;=80,"L3",IF('Final Marks Dashboard'!F51&gt;=60,"L2",IF('Final Marks Dashboard'!F51&gt;=40,"L1","L0")))</f>
        <v>L3</v>
      </c>
      <c r="K51" s="34" t="str">
        <f>IF('Final Marks Dashboard'!F51&gt;=40,"Pass","Fail")</f>
        <v>Pass</v>
      </c>
    </row>
    <row r="52" ht="19.5" customHeight="1" spans="1:11">
      <c r="A52" s="27">
        <v>47</v>
      </c>
      <c r="B52" s="27" t="s">
        <v>227</v>
      </c>
      <c r="C52" s="57" t="s">
        <v>228</v>
      </c>
      <c r="D52" s="58">
        <f>IFERROR('Final Marks Dashboard'!F52*20/100,0)</f>
        <v>15.74</v>
      </c>
      <c r="E52" s="58">
        <f>IFERROR('Final Marks Dashboard'!F52*20/100,0)</f>
        <v>15.74</v>
      </c>
      <c r="F52" s="58">
        <f>IFERROR('Final Marks Dashboard'!F52*20/100,0)</f>
        <v>15.74</v>
      </c>
      <c r="G52" s="58">
        <f>IFERROR('Final Marks Dashboard'!F52*20/100,0)</f>
        <v>15.74</v>
      </c>
      <c r="H52" s="58">
        <f>IFERROR('Final Marks Dashboard'!F52*20/100,0)</f>
        <v>15.74</v>
      </c>
      <c r="I52" s="59">
        <f>'Final Marks Dashboard'!F52</f>
        <v>78.7</v>
      </c>
      <c r="J52" s="45" t="str">
        <f>IF('Final Marks Dashboard'!F52&gt;=80,"L3",IF('Final Marks Dashboard'!F52&gt;=60,"L2",IF('Final Marks Dashboard'!F52&gt;=40,"L1","L0")))</f>
        <v>L2</v>
      </c>
      <c r="K52" s="34" t="str">
        <f>IF('Final Marks Dashboard'!F52&gt;=40,"Pass","Fail")</f>
        <v>Pass</v>
      </c>
    </row>
    <row r="53" ht="19.5" customHeight="1" spans="1:11">
      <c r="A53" s="35">
        <v>48</v>
      </c>
      <c r="B53" s="35" t="s">
        <v>229</v>
      </c>
      <c r="C53" s="60" t="s">
        <v>230</v>
      </c>
      <c r="D53" s="58">
        <f>IFERROR('Final Marks Dashboard'!F53*20/100,0)</f>
        <v>15.36</v>
      </c>
      <c r="E53" s="58">
        <f>IFERROR('Final Marks Dashboard'!F53*20/100,0)</f>
        <v>15.36</v>
      </c>
      <c r="F53" s="58">
        <f>IFERROR('Final Marks Dashboard'!F53*20/100,0)</f>
        <v>15.36</v>
      </c>
      <c r="G53" s="58">
        <f>IFERROR('Final Marks Dashboard'!F53*20/100,0)</f>
        <v>15.36</v>
      </c>
      <c r="H53" s="58">
        <f>IFERROR('Final Marks Dashboard'!F53*20/100,0)</f>
        <v>15.36</v>
      </c>
      <c r="I53" s="59">
        <f>'Final Marks Dashboard'!F53</f>
        <v>76.8</v>
      </c>
      <c r="J53" s="45" t="str">
        <f>IF('Final Marks Dashboard'!F53&gt;=80,"L3",IF('Final Marks Dashboard'!F53&gt;=60,"L2",IF('Final Marks Dashboard'!F53&gt;=40,"L1","L0")))</f>
        <v>L2</v>
      </c>
      <c r="K53" s="34" t="str">
        <f>IF('Final Marks Dashboard'!F53&gt;=40,"Pass","Fail")</f>
        <v>Pass</v>
      </c>
    </row>
    <row r="54" ht="19.5" customHeight="1" spans="1:11">
      <c r="A54" s="27">
        <v>49</v>
      </c>
      <c r="B54" s="27" t="s">
        <v>231</v>
      </c>
      <c r="C54" s="57" t="s">
        <v>232</v>
      </c>
      <c r="D54" s="58">
        <f>IFERROR('Final Marks Dashboard'!F54*20/100,0)</f>
        <v>14.82</v>
      </c>
      <c r="E54" s="58">
        <f>IFERROR('Final Marks Dashboard'!F54*20/100,0)</f>
        <v>14.82</v>
      </c>
      <c r="F54" s="58">
        <f>IFERROR('Final Marks Dashboard'!F54*20/100,0)</f>
        <v>14.82</v>
      </c>
      <c r="G54" s="58">
        <f>IFERROR('Final Marks Dashboard'!F54*20/100,0)</f>
        <v>14.82</v>
      </c>
      <c r="H54" s="58">
        <f>IFERROR('Final Marks Dashboard'!F54*20/100,0)</f>
        <v>14.82</v>
      </c>
      <c r="I54" s="59">
        <f>'Final Marks Dashboard'!F54</f>
        <v>74.1</v>
      </c>
      <c r="J54" s="45" t="str">
        <f>IF('Final Marks Dashboard'!F54&gt;=80,"L3",IF('Final Marks Dashboard'!F54&gt;=60,"L2",IF('Final Marks Dashboard'!F54&gt;=40,"L1","L0")))</f>
        <v>L2</v>
      </c>
      <c r="K54" s="34" t="str">
        <f>IF('Final Marks Dashboard'!F54&gt;=40,"Pass","Fail")</f>
        <v>Pass</v>
      </c>
    </row>
    <row r="55" ht="19.5" customHeight="1" spans="1:11">
      <c r="A55" s="35">
        <v>50</v>
      </c>
      <c r="B55" s="35" t="s">
        <v>233</v>
      </c>
      <c r="C55" s="60" t="s">
        <v>234</v>
      </c>
      <c r="D55" s="58">
        <f>IFERROR('Final Marks Dashboard'!F55*20/100,0)</f>
        <v>16.82</v>
      </c>
      <c r="E55" s="58">
        <f>IFERROR('Final Marks Dashboard'!F55*20/100,0)</f>
        <v>16.82</v>
      </c>
      <c r="F55" s="58">
        <f>IFERROR('Final Marks Dashboard'!F55*20/100,0)</f>
        <v>16.82</v>
      </c>
      <c r="G55" s="58">
        <f>IFERROR('Final Marks Dashboard'!F55*20/100,0)</f>
        <v>16.82</v>
      </c>
      <c r="H55" s="58">
        <f>IFERROR('Final Marks Dashboard'!F55*20/100,0)</f>
        <v>16.82</v>
      </c>
      <c r="I55" s="59">
        <f>'Final Marks Dashboard'!F55</f>
        <v>84.1</v>
      </c>
      <c r="J55" s="45" t="str">
        <f>IF('Final Marks Dashboard'!F55&gt;=80,"L3",IF('Final Marks Dashboard'!F55&gt;=60,"L2",IF('Final Marks Dashboard'!F55&gt;=40,"L1","L0")))</f>
        <v>L3</v>
      </c>
      <c r="K55" s="34" t="str">
        <f>IF('Final Marks Dashboard'!F55&gt;=40,"Pass","Fail")</f>
        <v>Pass</v>
      </c>
    </row>
    <row r="56" ht="15.15"/>
    <row r="57" ht="21.75" customHeight="1" spans="1:11">
      <c r="A57" s="52" t="s">
        <v>235</v>
      </c>
      <c r="B57" s="52"/>
      <c r="C57" s="52"/>
      <c r="D57" s="61">
        <f t="shared" ref="D57:I57" si="0">AVERAGE(D6:D55)</f>
        <v>16.088</v>
      </c>
      <c r="E57" s="61">
        <f t="shared" si="0"/>
        <v>16.088</v>
      </c>
      <c r="F57" s="61">
        <f t="shared" si="0"/>
        <v>16.088</v>
      </c>
      <c r="G57" s="61">
        <f t="shared" si="0"/>
        <v>16.088</v>
      </c>
      <c r="H57" s="61">
        <f t="shared" si="0"/>
        <v>16.088</v>
      </c>
      <c r="I57" s="61">
        <f t="shared" si="0"/>
        <v>80.44</v>
      </c>
      <c r="J57" s="62"/>
      <c r="K57" s="62"/>
    </row>
    <row r="58" ht="15.15"/>
    <row r="59" ht="21.75" customHeight="1" spans="1:11">
      <c r="A59" s="63" t="s">
        <v>360</v>
      </c>
      <c r="B59" s="63"/>
      <c r="C59" s="63"/>
      <c r="D59" s="64">
        <f>COUNTIF(D6:D55,"&gt;=12.0")</f>
        <v>50</v>
      </c>
      <c r="E59" s="64">
        <f>COUNTIF(E6:E55,"&gt;=12.0")</f>
        <v>50</v>
      </c>
      <c r="F59" s="64">
        <f>COUNTIF(F6:F55,"&gt;=12.0")</f>
        <v>50</v>
      </c>
      <c r="G59" s="64">
        <f>COUNTIF(G6:G55,"&gt;=12.0")</f>
        <v>50</v>
      </c>
      <c r="H59" s="64">
        <f>COUNTIF(H6:H55,"&gt;=12.0")</f>
        <v>50</v>
      </c>
    </row>
    <row r="60" ht="21.75" customHeight="1" spans="1:11">
      <c r="A60" s="65" t="s">
        <v>361</v>
      </c>
      <c r="B60" s="65"/>
      <c r="C60" s="65"/>
      <c r="D60" s="66">
        <f>IFERROR(D59/50*100,0)</f>
        <v>100</v>
      </c>
      <c r="E60" s="66">
        <f>IFERROR(E59/50*100,0)</f>
        <v>100</v>
      </c>
      <c r="F60" s="66">
        <f>IFERROR(F59/50*100,0)</f>
        <v>100</v>
      </c>
      <c r="G60" s="66">
        <f>IFERROR(G59/50*100,0)</f>
        <v>100</v>
      </c>
      <c r="H60" s="66">
        <f>IFERROR(H59/50*100,0)</f>
        <v>100</v>
      </c>
    </row>
    <row r="61" ht="21.75" customHeight="1" spans="1:11">
      <c r="A61" s="67" t="s">
        <v>362</v>
      </c>
      <c r="B61" s="67"/>
      <c r="C61" s="67"/>
      <c r="D61" s="33" t="str">
        <f>IF(D60&gt;=80,"L3",IF(D60&gt;=60,"L2",IF(D60&gt;=40,"L1","L0")))</f>
        <v>L3</v>
      </c>
      <c r="E61" s="33" t="str">
        <f>IF(E60&gt;=80,"L3",IF(E60&gt;=60,"L2",IF(E60&gt;=40,"L1","L0")))</f>
        <v>L3</v>
      </c>
      <c r="F61" s="33" t="str">
        <f>IF(F60&gt;=80,"L3",IF(F60&gt;=60,"L2",IF(F60&gt;=40,"L1","L0")))</f>
        <v>L3</v>
      </c>
      <c r="G61" s="33" t="str">
        <f>IF(G60&gt;=80,"L3",IF(G60&gt;=60,"L2",IF(G60&gt;=40,"L1","L0")))</f>
        <v>L3</v>
      </c>
      <c r="H61" s="33" t="str">
        <f>IF(H60&gt;=80,"L3",IF(H60&gt;=60,"L2",IF(H60&gt;=40,"L1","L0")))</f>
        <v>L3</v>
      </c>
    </row>
  </sheetData>
  <mergeCells count="10">
    <mergeCell ref="A1:M1"/>
    <mergeCell ref="A2:M2"/>
    <mergeCell ref="A4:C4"/>
    <mergeCell ref="D4:H4"/>
    <mergeCell ref="I4:K4"/>
    <mergeCell ref="A5:C5"/>
    <mergeCell ref="A57:C57"/>
    <mergeCell ref="A59:C59"/>
    <mergeCell ref="A60:C60"/>
    <mergeCell ref="A61:C6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showGridLines="0" workbookViewId="0">
      <selection activeCell="A1" sqref="A1:T1"/>
    </sheetView>
  </sheetViews>
  <sheetFormatPr defaultColWidth="8.67592592592593" defaultRowHeight="14.4"/>
  <cols>
    <col min="1" max="1" width="5" customWidth="1"/>
    <col min="2" max="2" width="8" customWidth="1"/>
    <col min="3" max="3" width="34" customWidth="1"/>
    <col min="4" max="4" width="26" customWidth="1"/>
    <col min="5" max="9" width="13" customWidth="1"/>
  </cols>
  <sheetData>
    <row r="1" ht="45.75" customHeight="1" spans="1:20">
      <c r="A1" s="18" t="s">
        <v>363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ht="18" customHeight="1" spans="1:20">
      <c r="A2" s="19" t="s">
        <v>364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ht="7.5" customHeight="1"/>
    <row r="4" ht="19.5" customHeight="1" spans="1:20">
      <c r="A4" s="20" t="s">
        <v>365</v>
      </c>
      <c r="B4" s="20"/>
      <c r="C4" s="20"/>
      <c r="D4" s="21" t="s">
        <v>366</v>
      </c>
      <c r="E4" s="22" t="s">
        <v>367</v>
      </c>
      <c r="F4" s="23" t="s">
        <v>368</v>
      </c>
      <c r="G4" s="24" t="s">
        <v>369</v>
      </c>
    </row>
    <row r="5" ht="15.15"/>
    <row r="6" ht="21.75" customHeight="1" spans="1:20">
      <c r="A6" s="25" t="s">
        <v>370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ht="24" customHeight="1" spans="1:20">
      <c r="A7" s="26" t="s">
        <v>248</v>
      </c>
      <c r="B7" s="26" t="s">
        <v>371</v>
      </c>
      <c r="C7" s="26" t="s">
        <v>12</v>
      </c>
      <c r="D7" s="26" t="s">
        <v>372</v>
      </c>
      <c r="E7" s="26" t="s">
        <v>373</v>
      </c>
      <c r="F7" s="26" t="s">
        <v>374</v>
      </c>
      <c r="G7" s="26" t="s">
        <v>375</v>
      </c>
      <c r="H7" s="26" t="s">
        <v>376</v>
      </c>
      <c r="I7" s="26" t="s">
        <v>377</v>
      </c>
      <c r="J7" s="26" t="s">
        <v>378</v>
      </c>
      <c r="K7" s="26" t="s">
        <v>257</v>
      </c>
    </row>
    <row r="8" ht="21.75" customHeight="1" spans="1:20">
      <c r="A8" s="27">
        <v>1</v>
      </c>
      <c r="B8" s="8" t="s">
        <v>379</v>
      </c>
      <c r="C8" s="28" t="s">
        <v>380</v>
      </c>
      <c r="D8" s="29" t="s">
        <v>381</v>
      </c>
      <c r="E8" s="29" t="s">
        <v>382</v>
      </c>
      <c r="F8" s="7" t="s">
        <v>383</v>
      </c>
      <c r="G8" s="30">
        <f>'CO Attainment'!D60</f>
        <v>100</v>
      </c>
      <c r="H8" s="31">
        <v>60</v>
      </c>
      <c r="I8" s="32">
        <f>G8-H8</f>
        <v>40</v>
      </c>
      <c r="J8" s="33" t="str">
        <f>IF(G8&gt;=80,"L3",IF(G8&gt;=60,"L2",IF(G8&gt;=40,"L1","L0")))</f>
        <v>L3</v>
      </c>
      <c r="K8" s="34" t="str">
        <f>IF(G8&gt;=60,"✔ Met","✘ Not Met")</f>
        <v>✔ Met</v>
      </c>
    </row>
    <row r="9" ht="21.75" customHeight="1" spans="1:20">
      <c r="A9" s="35">
        <v>2</v>
      </c>
      <c r="B9" s="8" t="s">
        <v>384</v>
      </c>
      <c r="C9" s="36" t="s">
        <v>385</v>
      </c>
      <c r="D9" s="37" t="s">
        <v>386</v>
      </c>
      <c r="E9" s="37" t="s">
        <v>382</v>
      </c>
      <c r="F9" s="7" t="s">
        <v>387</v>
      </c>
      <c r="G9" s="30">
        <f>'CO Attainment'!E60</f>
        <v>100</v>
      </c>
      <c r="H9" s="31">
        <v>60</v>
      </c>
      <c r="I9" s="32">
        <f>G9-H9</f>
        <v>40</v>
      </c>
      <c r="J9" s="33" t="str">
        <f>IF(G9&gt;=80,"L3",IF(G9&gt;=60,"L2",IF(G9&gt;=40,"L1","L0")))</f>
        <v>L3</v>
      </c>
      <c r="K9" s="34" t="str">
        <f>IF(G9&gt;=60,"✔ Met","✘ Not Met")</f>
        <v>✔ Met</v>
      </c>
    </row>
    <row r="10" ht="21.75" customHeight="1" spans="1:20">
      <c r="A10" s="27">
        <v>3</v>
      </c>
      <c r="B10" s="8" t="s">
        <v>388</v>
      </c>
      <c r="C10" s="28" t="s">
        <v>389</v>
      </c>
      <c r="D10" s="29" t="s">
        <v>381</v>
      </c>
      <c r="E10" s="29" t="s">
        <v>390</v>
      </c>
      <c r="F10" s="7" t="s">
        <v>383</v>
      </c>
      <c r="G10" s="30">
        <f>'CO Attainment'!F60</f>
        <v>100</v>
      </c>
      <c r="H10" s="31">
        <v>60</v>
      </c>
      <c r="I10" s="32">
        <f>G10-H10</f>
        <v>40</v>
      </c>
      <c r="J10" s="33" t="str">
        <f>IF(G10&gt;=80,"L3",IF(G10&gt;=60,"L2",IF(G10&gt;=40,"L1","L0")))</f>
        <v>L3</v>
      </c>
      <c r="K10" s="34" t="str">
        <f>IF(G10&gt;=60,"✔ Met","✘ Not Met")</f>
        <v>✔ Met</v>
      </c>
    </row>
    <row r="11" ht="21.75" customHeight="1" spans="1:20">
      <c r="A11" s="35">
        <v>4</v>
      </c>
      <c r="B11" s="8" t="s">
        <v>391</v>
      </c>
      <c r="C11" s="36" t="s">
        <v>392</v>
      </c>
      <c r="D11" s="37" t="s">
        <v>386</v>
      </c>
      <c r="E11" s="37" t="s">
        <v>393</v>
      </c>
      <c r="F11" s="7" t="s">
        <v>394</v>
      </c>
      <c r="G11" s="30">
        <f>'CO Attainment'!G60</f>
        <v>100</v>
      </c>
      <c r="H11" s="31">
        <v>60</v>
      </c>
      <c r="I11" s="32">
        <f>G11-H11</f>
        <v>40</v>
      </c>
      <c r="J11" s="33" t="str">
        <f>IF(G11&gt;=80,"L3",IF(G11&gt;=60,"L2",IF(G11&gt;=40,"L1","L0")))</f>
        <v>L3</v>
      </c>
      <c r="K11" s="34" t="str">
        <f>IF(G11&gt;=60,"✔ Met","✘ Not Met")</f>
        <v>✔ Met</v>
      </c>
    </row>
    <row r="12" ht="21.75" customHeight="1" spans="1:20">
      <c r="A12" s="27">
        <v>5</v>
      </c>
      <c r="B12" s="8" t="s">
        <v>26</v>
      </c>
      <c r="C12" s="28" t="s">
        <v>395</v>
      </c>
      <c r="D12" s="29" t="s">
        <v>386</v>
      </c>
      <c r="E12" s="29" t="s">
        <v>27</v>
      </c>
      <c r="F12" s="7" t="s">
        <v>394</v>
      </c>
      <c r="G12" s="30">
        <f>'CO Attainment'!H60</f>
        <v>100</v>
      </c>
      <c r="H12" s="31">
        <v>60</v>
      </c>
      <c r="I12" s="32">
        <f>G12-H12</f>
        <v>40</v>
      </c>
      <c r="J12" s="33" t="str">
        <f>IF(G12&gt;=80,"L3",IF(G12&gt;=60,"L2",IF(G12&gt;=40,"L1","L0")))</f>
        <v>L3</v>
      </c>
      <c r="K12" s="34" t="str">
        <f>IF(G12&gt;=60,"✔ Met","✘ Not Met")</f>
        <v>✔ Met</v>
      </c>
    </row>
    <row r="14" ht="15.15"/>
    <row r="15" ht="21.75" customHeight="1" spans="1:20">
      <c r="A15" s="38" t="s">
        <v>396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</row>
    <row r="16" ht="24" customHeight="1" spans="1:20">
      <c r="A16" s="26" t="s">
        <v>248</v>
      </c>
      <c r="B16" s="26" t="s">
        <v>397</v>
      </c>
      <c r="C16" s="26" t="s">
        <v>12</v>
      </c>
      <c r="D16" s="26" t="s">
        <v>398</v>
      </c>
      <c r="E16" s="26" t="s">
        <v>399</v>
      </c>
      <c r="F16" s="26" t="s">
        <v>376</v>
      </c>
      <c r="G16" s="26" t="s">
        <v>377</v>
      </c>
      <c r="H16" s="26" t="s">
        <v>378</v>
      </c>
      <c r="I16" s="26" t="s">
        <v>257</v>
      </c>
    </row>
    <row r="17" ht="21.75" customHeight="1" spans="1:9">
      <c r="A17" s="27">
        <v>1</v>
      </c>
      <c r="B17" s="8" t="s">
        <v>400</v>
      </c>
      <c r="C17" s="39" t="s">
        <v>401</v>
      </c>
      <c r="D17" s="40" t="s">
        <v>402</v>
      </c>
      <c r="E17" s="30">
        <f>IFERROR((('CO &amp; PO Attainment'!G8*3)+('CO &amp; PO Attainment'!G9*2))/5,0)</f>
        <v>100</v>
      </c>
      <c r="F17" s="31">
        <v>60</v>
      </c>
      <c r="G17" s="32">
        <f>E17-F17</f>
        <v>40</v>
      </c>
      <c r="H17" s="33" t="str">
        <f>IF(E17&gt;=80,"L3",IF(E17&gt;=60,"L2",IF(E17&gt;=40,"L1","L0")))</f>
        <v>L3</v>
      </c>
      <c r="I17" s="34" t="str">
        <f>IF(E17&gt;=60,"✔ Met","✘ Not Met")</f>
        <v>✔ Met</v>
      </c>
    </row>
    <row r="18" ht="21.75" customHeight="1" spans="1:9">
      <c r="A18" s="35">
        <v>2</v>
      </c>
      <c r="B18" s="8" t="s">
        <v>403</v>
      </c>
      <c r="C18" s="41" t="s">
        <v>404</v>
      </c>
      <c r="D18" s="42" t="s">
        <v>405</v>
      </c>
      <c r="E18" s="30">
        <f>IFERROR((('CO &amp; PO Attainment'!G8*2)+('CO &amp; PO Attainment'!G9*3))/5,0)</f>
        <v>100</v>
      </c>
      <c r="F18" s="31">
        <v>60</v>
      </c>
      <c r="G18" s="32">
        <f>E18-F18</f>
        <v>40</v>
      </c>
      <c r="H18" s="33" t="str">
        <f>IF(E18&gt;=80,"L3",IF(E18&gt;=60,"L2",IF(E18&gt;=40,"L1","L0")))</f>
        <v>L3</v>
      </c>
      <c r="I18" s="34" t="str">
        <f>IF(E18&gt;=60,"✔ Met","✘ Not Met")</f>
        <v>✔ Met</v>
      </c>
    </row>
    <row r="19" ht="21.75" customHeight="1" spans="1:9">
      <c r="A19" s="27">
        <v>3</v>
      </c>
      <c r="B19" s="8" t="s">
        <v>406</v>
      </c>
      <c r="C19" s="39" t="s">
        <v>407</v>
      </c>
      <c r="D19" s="40" t="s">
        <v>408</v>
      </c>
      <c r="E19" s="30">
        <f>IFERROR((('CO &amp; PO Attainment'!G8*2)+('CO &amp; PO Attainment'!G9*2))/4,0)</f>
        <v>100</v>
      </c>
      <c r="F19" s="31">
        <v>60</v>
      </c>
      <c r="G19" s="32">
        <f>E19-F19</f>
        <v>40</v>
      </c>
      <c r="H19" s="33" t="str">
        <f>IF(E19&gt;=80,"L3",IF(E19&gt;=60,"L2",IF(E19&gt;=40,"L1","L0")))</f>
        <v>L3</v>
      </c>
      <c r="I19" s="34" t="str">
        <f>IF(E19&gt;=60,"✔ Met","✘ Not Met")</f>
        <v>✔ Met</v>
      </c>
    </row>
    <row r="20" ht="21.75" customHeight="1" spans="1:9">
      <c r="A20" s="35">
        <v>4</v>
      </c>
      <c r="B20" s="8" t="s">
        <v>409</v>
      </c>
      <c r="C20" s="41" t="s">
        <v>410</v>
      </c>
      <c r="D20" s="42" t="s">
        <v>411</v>
      </c>
      <c r="E20" s="43" t="s">
        <v>411</v>
      </c>
      <c r="F20" s="43" t="s">
        <v>411</v>
      </c>
      <c r="G20" s="43" t="s">
        <v>411</v>
      </c>
      <c r="H20" s="43" t="s">
        <v>411</v>
      </c>
      <c r="I20" s="43" t="s">
        <v>411</v>
      </c>
    </row>
    <row r="21" ht="21.75" customHeight="1" spans="1:9">
      <c r="A21" s="27">
        <v>5</v>
      </c>
      <c r="B21" s="8" t="s">
        <v>390</v>
      </c>
      <c r="C21" s="39" t="s">
        <v>412</v>
      </c>
      <c r="D21" s="40" t="s">
        <v>413</v>
      </c>
      <c r="E21" s="30">
        <f>IFERROR((('CO &amp; PO Attainment'!G10*3))/3,0)</f>
        <v>100</v>
      </c>
      <c r="F21" s="31">
        <v>60</v>
      </c>
      <c r="G21" s="32">
        <f>E21-F21</f>
        <v>40</v>
      </c>
      <c r="H21" s="33" t="str">
        <f>IF(E21&gt;=80,"L3",IF(E21&gt;=60,"L2",IF(E21&gt;=40,"L1","L0")))</f>
        <v>L3</v>
      </c>
      <c r="I21" s="34" t="str">
        <f>IF(E21&gt;=60,"✔ Met","✘ Not Met")</f>
        <v>✔ Met</v>
      </c>
    </row>
    <row r="22" ht="21.75" customHeight="1" spans="1:9">
      <c r="A22" s="35">
        <v>6</v>
      </c>
      <c r="B22" s="8" t="s">
        <v>414</v>
      </c>
      <c r="C22" s="41" t="s">
        <v>415</v>
      </c>
      <c r="D22" s="42" t="s">
        <v>411</v>
      </c>
      <c r="E22" s="43" t="s">
        <v>411</v>
      </c>
      <c r="F22" s="43" t="s">
        <v>411</v>
      </c>
      <c r="G22" s="43" t="s">
        <v>411</v>
      </c>
      <c r="H22" s="43" t="s">
        <v>411</v>
      </c>
      <c r="I22" s="43" t="s">
        <v>411</v>
      </c>
    </row>
    <row r="23" ht="21.75" customHeight="1" spans="1:9">
      <c r="A23" s="27">
        <v>7</v>
      </c>
      <c r="B23" s="8" t="s">
        <v>416</v>
      </c>
      <c r="C23" s="39" t="s">
        <v>417</v>
      </c>
      <c r="D23" s="40" t="s">
        <v>411</v>
      </c>
      <c r="E23" s="43" t="s">
        <v>411</v>
      </c>
      <c r="F23" s="43" t="s">
        <v>411</v>
      </c>
      <c r="G23" s="43" t="s">
        <v>411</v>
      </c>
      <c r="H23" s="43" t="s">
        <v>411</v>
      </c>
      <c r="I23" s="43" t="s">
        <v>411</v>
      </c>
    </row>
    <row r="24" ht="21.75" customHeight="1" spans="1:9">
      <c r="A24" s="35">
        <v>8</v>
      </c>
      <c r="B24" s="8" t="s">
        <v>418</v>
      </c>
      <c r="C24" s="41" t="s">
        <v>419</v>
      </c>
      <c r="D24" s="42" t="s">
        <v>420</v>
      </c>
      <c r="E24" s="30">
        <f>IFERROR((('CO &amp; PO Attainment'!G12*3))/3,0)</f>
        <v>100</v>
      </c>
      <c r="F24" s="31">
        <v>60</v>
      </c>
      <c r="G24" s="32">
        <f>E24-F24</f>
        <v>40</v>
      </c>
      <c r="H24" s="33" t="str">
        <f>IF(E24&gt;=80,"L3",IF(E24&gt;=60,"L2",IF(E24&gt;=40,"L1","L0")))</f>
        <v>L3</v>
      </c>
      <c r="I24" s="34" t="str">
        <f>IF(E24&gt;=60,"✔ Met","✘ Not Met")</f>
        <v>✔ Met</v>
      </c>
    </row>
    <row r="25" ht="21.75" customHeight="1" spans="1:9">
      <c r="A25" s="27">
        <v>9</v>
      </c>
      <c r="B25" s="8" t="s">
        <v>421</v>
      </c>
      <c r="C25" s="39" t="s">
        <v>422</v>
      </c>
      <c r="D25" s="40" t="s">
        <v>420</v>
      </c>
      <c r="E25" s="30">
        <f>IFERROR((('CO &amp; PO Attainment'!G12*3))/3,0)</f>
        <v>100</v>
      </c>
      <c r="F25" s="31">
        <v>60</v>
      </c>
      <c r="G25" s="32">
        <f>E25-F25</f>
        <v>40</v>
      </c>
      <c r="H25" s="33" t="str">
        <f>IF(E25&gt;=80,"L3",IF(E25&gt;=60,"L2",IF(E25&gt;=40,"L1","L0")))</f>
        <v>L3</v>
      </c>
      <c r="I25" s="34" t="str">
        <f>IF(E25&gt;=60,"✔ Met","✘ Not Met")</f>
        <v>✔ Met</v>
      </c>
    </row>
    <row r="26" ht="21.75" customHeight="1" spans="1:9">
      <c r="A26" s="35">
        <v>10</v>
      </c>
      <c r="B26" s="8" t="s">
        <v>423</v>
      </c>
      <c r="C26" s="41" t="s">
        <v>424</v>
      </c>
      <c r="D26" s="42" t="s">
        <v>425</v>
      </c>
      <c r="E26" s="30">
        <f>IFERROR((('CO &amp; PO Attainment'!G11*3)+('CO &amp; PO Attainment'!G12*2))/5,0)</f>
        <v>100</v>
      </c>
      <c r="F26" s="31">
        <v>60</v>
      </c>
      <c r="G26" s="32">
        <f>E26-F26</f>
        <v>40</v>
      </c>
      <c r="H26" s="33" t="str">
        <f>IF(E26&gt;=80,"L3",IF(E26&gt;=60,"L2",IF(E26&gt;=40,"L1","L0")))</f>
        <v>L3</v>
      </c>
      <c r="I26" s="34" t="str">
        <f>IF(E26&gt;=60,"✔ Met","✘ Not Met")</f>
        <v>✔ Met</v>
      </c>
    </row>
    <row r="27" ht="21.75" customHeight="1" spans="1:9">
      <c r="A27" s="27">
        <v>11</v>
      </c>
      <c r="B27" s="8" t="s">
        <v>426</v>
      </c>
      <c r="C27" s="39" t="s">
        <v>427</v>
      </c>
      <c r="D27" s="40" t="s">
        <v>428</v>
      </c>
      <c r="E27" s="30">
        <f>IFERROR((('CO &amp; PO Attainment'!G11*2)+('CO &amp; PO Attainment'!G12*2))/4,0)</f>
        <v>100</v>
      </c>
      <c r="F27" s="31">
        <v>60</v>
      </c>
      <c r="G27" s="32">
        <f>E27-F27</f>
        <v>40</v>
      </c>
      <c r="H27" s="33" t="str">
        <f>IF(E27&gt;=80,"L3",IF(E27&gt;=60,"L2",IF(E27&gt;=40,"L1","L0")))</f>
        <v>L3</v>
      </c>
      <c r="I27" s="34" t="str">
        <f>IF(E27&gt;=60,"✔ Met","✘ Not Met")</f>
        <v>✔ Met</v>
      </c>
    </row>
    <row r="28" ht="21.75" customHeight="1" spans="1:9">
      <c r="A28" s="35">
        <v>12</v>
      </c>
      <c r="B28" s="8" t="s">
        <v>429</v>
      </c>
      <c r="C28" s="41" t="s">
        <v>430</v>
      </c>
      <c r="D28" s="42" t="s">
        <v>411</v>
      </c>
      <c r="E28" s="43" t="s">
        <v>411</v>
      </c>
      <c r="F28" s="43" t="s">
        <v>411</v>
      </c>
      <c r="G28" s="43" t="s">
        <v>411</v>
      </c>
      <c r="H28" s="43" t="s">
        <v>411</v>
      </c>
      <c r="I28" s="43" t="s">
        <v>411</v>
      </c>
    </row>
    <row r="30" ht="15.15"/>
    <row r="31" ht="21.75" customHeight="1" spans="1:9">
      <c r="A31" s="44" t="s">
        <v>431</v>
      </c>
      <c r="B31" s="44"/>
      <c r="C31" s="44"/>
      <c r="D31" s="44"/>
      <c r="E31" s="44"/>
      <c r="F31" s="44"/>
      <c r="G31" s="44"/>
      <c r="H31" s="44"/>
      <c r="I31" s="44"/>
    </row>
    <row r="32" ht="21.75" customHeight="1" spans="1:9">
      <c r="A32" s="26" t="s">
        <v>248</v>
      </c>
      <c r="B32" s="26" t="s">
        <v>374</v>
      </c>
      <c r="C32" s="26" t="s">
        <v>12</v>
      </c>
      <c r="D32" s="26" t="s">
        <v>432</v>
      </c>
      <c r="E32" s="26" t="s">
        <v>433</v>
      </c>
      <c r="F32" s="26" t="s">
        <v>376</v>
      </c>
      <c r="G32" s="26" t="s">
        <v>377</v>
      </c>
      <c r="H32" s="26" t="s">
        <v>378</v>
      </c>
      <c r="I32" s="26" t="s">
        <v>257</v>
      </c>
    </row>
    <row r="33" ht="21.75" customHeight="1" spans="1:9">
      <c r="A33" s="27">
        <v>1</v>
      </c>
      <c r="B33" s="45" t="s">
        <v>387</v>
      </c>
      <c r="C33" s="46" t="s">
        <v>434</v>
      </c>
      <c r="D33" s="47" t="s">
        <v>384</v>
      </c>
      <c r="E33" s="48">
        <f>IFERROR(AVERAGE('CO &amp; PO Attainment'!G9),0)</f>
        <v>100</v>
      </c>
      <c r="F33" s="31">
        <v>60</v>
      </c>
      <c r="G33" s="32">
        <f>E33-F33</f>
        <v>40</v>
      </c>
      <c r="H33" s="33" t="str">
        <f>IF(E33&gt;=80,"L3",IF(E33&gt;=60,"L2",IF(E33&gt;=40,"L1","L0")))</f>
        <v>L3</v>
      </c>
      <c r="I33" s="34" t="str">
        <f>IF(E33&gt;=60,"✔ Met","✘ Not Met")</f>
        <v>✔ Met</v>
      </c>
    </row>
    <row r="34" ht="21.75" customHeight="1" spans="1:9">
      <c r="A34" s="35">
        <v>2</v>
      </c>
      <c r="B34" s="45" t="s">
        <v>383</v>
      </c>
      <c r="C34" s="49" t="s">
        <v>435</v>
      </c>
      <c r="D34" s="50" t="s">
        <v>436</v>
      </c>
      <c r="E34" s="48">
        <f>IFERROR(AVERAGE('CO &amp; PO Attainment'!G8,'CO &amp; PO Attainment'!G10),0)</f>
        <v>100</v>
      </c>
      <c r="F34" s="31">
        <v>60</v>
      </c>
      <c r="G34" s="32">
        <f>E34-F34</f>
        <v>40</v>
      </c>
      <c r="H34" s="33" t="str">
        <f>IF(E34&gt;=80,"L3",IF(E34&gt;=60,"L2",IF(E34&gt;=40,"L1","L0")))</f>
        <v>L3</v>
      </c>
      <c r="I34" s="34" t="str">
        <f>IF(E34&gt;=60,"✔ Met","✘ Not Met")</f>
        <v>✔ Met</v>
      </c>
    </row>
    <row r="35" ht="21.75" customHeight="1" spans="1:9">
      <c r="A35" s="27">
        <v>3</v>
      </c>
      <c r="B35" s="45" t="s">
        <v>394</v>
      </c>
      <c r="C35" s="46" t="s">
        <v>437</v>
      </c>
      <c r="D35" s="47" t="s">
        <v>438</v>
      </c>
      <c r="E35" s="48">
        <f>IFERROR(AVERAGE('CO &amp; PO Attainment'!G11,'CO &amp; PO Attainment'!G12),0)</f>
        <v>100</v>
      </c>
      <c r="F35" s="31">
        <v>60</v>
      </c>
      <c r="G35" s="32">
        <f>E35-F35</f>
        <v>40</v>
      </c>
      <c r="H35" s="33" t="str">
        <f>IF(E35&gt;=80,"L3",IF(E35&gt;=60,"L2",IF(E35&gt;=40,"L1","L0")))</f>
        <v>L3</v>
      </c>
      <c r="I35" s="34" t="str">
        <f>IF(E35&gt;=60,"✔ Met","✘ Not Met")</f>
        <v>✔ Met</v>
      </c>
    </row>
  </sheetData>
  <mergeCells count="6">
    <mergeCell ref="A1:T1"/>
    <mergeCell ref="A2:T2"/>
    <mergeCell ref="A4:C4"/>
    <mergeCell ref="A6:M6"/>
    <mergeCell ref="A15:T15"/>
    <mergeCell ref="A31:I3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"/>
  <sheetViews>
    <sheetView showGridLines="0" workbookViewId="0">
      <pane xSplit="4" ySplit="5" topLeftCell="E6" activePane="bottomRight" state="frozen"/>
      <selection/>
      <selection pane="topRight"/>
      <selection pane="bottomLeft"/>
      <selection pane="bottomRight" activeCell="A1" sqref="A1:X1"/>
    </sheetView>
  </sheetViews>
  <sheetFormatPr defaultColWidth="8.67592592592593" defaultRowHeight="14.4"/>
  <cols>
    <col min="1" max="1" width="8" customWidth="1"/>
    <col min="2" max="2" width="34" customWidth="1"/>
    <col min="3" max="3" width="14" customWidth="1"/>
    <col min="4" max="4" width="22" customWidth="1"/>
    <col min="5" max="19" width="8" customWidth="1"/>
  </cols>
  <sheetData>
    <row r="1" ht="43.5" customHeight="1" spans="1:24">
      <c r="A1" s="1" t="s">
        <v>439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3.5" customHeight="1" spans="1:24">
      <c r="A2" s="2" t="s">
        <v>440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7.5" customHeight="1"/>
    <row r="4" ht="25.5" customHeight="1" spans="1:24">
      <c r="A4" s="3" t="s">
        <v>371</v>
      </c>
      <c r="B4" s="3" t="s">
        <v>12</v>
      </c>
      <c r="C4" s="3" t="s">
        <v>372</v>
      </c>
      <c r="D4" s="3" t="s">
        <v>441</v>
      </c>
      <c r="E4" s="4" t="s">
        <v>442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 t="s">
        <v>443</v>
      </c>
      <c r="R4" s="5"/>
      <c r="S4" s="5"/>
    </row>
    <row r="5" ht="19.5" customHeight="1" spans="1:24">
      <c r="A5" s="3"/>
      <c r="B5" s="3"/>
      <c r="C5" s="3"/>
      <c r="D5" s="3"/>
      <c r="E5" s="6" t="s">
        <v>400</v>
      </c>
      <c r="F5" s="6" t="s">
        <v>403</v>
      </c>
      <c r="G5" s="6" t="s">
        <v>406</v>
      </c>
      <c r="H5" s="6" t="s">
        <v>409</v>
      </c>
      <c r="I5" s="6" t="s">
        <v>390</v>
      </c>
      <c r="J5" s="6" t="s">
        <v>414</v>
      </c>
      <c r="K5" s="6" t="s">
        <v>416</v>
      </c>
      <c r="L5" s="6" t="s">
        <v>418</v>
      </c>
      <c r="M5" s="6" t="s">
        <v>421</v>
      </c>
      <c r="N5" s="6" t="s">
        <v>423</v>
      </c>
      <c r="O5" s="6" t="s">
        <v>426</v>
      </c>
      <c r="P5" s="6" t="s">
        <v>429</v>
      </c>
      <c r="Q5" s="7" t="s">
        <v>387</v>
      </c>
      <c r="R5" s="7" t="s">
        <v>383</v>
      </c>
      <c r="S5" s="7" t="s">
        <v>394</v>
      </c>
    </row>
    <row r="6" ht="21.75" customHeight="1" spans="1:24">
      <c r="A6" s="8" t="s">
        <v>379</v>
      </c>
      <c r="B6" s="9" t="s">
        <v>380</v>
      </c>
      <c r="C6" s="10" t="s">
        <v>381</v>
      </c>
      <c r="D6" s="11" t="s">
        <v>382</v>
      </c>
      <c r="E6" s="12">
        <v>3</v>
      </c>
      <c r="F6" s="13">
        <v>2</v>
      </c>
      <c r="G6" s="13">
        <v>2</v>
      </c>
      <c r="H6" s="14" t="s">
        <v>411</v>
      </c>
      <c r="I6" s="14" t="s">
        <v>411</v>
      </c>
      <c r="J6" s="14" t="s">
        <v>411</v>
      </c>
      <c r="K6" s="14" t="s">
        <v>411</v>
      </c>
      <c r="L6" s="14" t="s">
        <v>411</v>
      </c>
      <c r="M6" s="14" t="s">
        <v>411</v>
      </c>
      <c r="N6" s="14" t="s">
        <v>411</v>
      </c>
      <c r="O6" s="14" t="s">
        <v>411</v>
      </c>
      <c r="P6" s="14" t="s">
        <v>411</v>
      </c>
      <c r="Q6" s="14" t="s">
        <v>411</v>
      </c>
      <c r="R6" s="15">
        <v>2</v>
      </c>
      <c r="S6" s="14" t="s">
        <v>411</v>
      </c>
    </row>
    <row r="7" ht="21.75" customHeight="1" spans="1:24">
      <c r="A7" s="8" t="s">
        <v>384</v>
      </c>
      <c r="B7" s="16" t="s">
        <v>385</v>
      </c>
      <c r="C7" s="10" t="s">
        <v>386</v>
      </c>
      <c r="D7" s="17" t="s">
        <v>382</v>
      </c>
      <c r="E7" s="13">
        <v>2</v>
      </c>
      <c r="F7" s="12">
        <v>3</v>
      </c>
      <c r="G7" s="13">
        <v>2</v>
      </c>
      <c r="H7" s="14" t="s">
        <v>411</v>
      </c>
      <c r="I7" s="14" t="s">
        <v>411</v>
      </c>
      <c r="J7" s="14" t="s">
        <v>411</v>
      </c>
      <c r="K7" s="14" t="s">
        <v>411</v>
      </c>
      <c r="L7" s="14" t="s">
        <v>411</v>
      </c>
      <c r="M7" s="14" t="s">
        <v>411</v>
      </c>
      <c r="N7" s="14" t="s">
        <v>411</v>
      </c>
      <c r="O7" s="14" t="s">
        <v>411</v>
      </c>
      <c r="P7" s="14" t="s">
        <v>411</v>
      </c>
      <c r="Q7" s="15">
        <v>2</v>
      </c>
      <c r="R7" s="14" t="s">
        <v>411</v>
      </c>
      <c r="S7" s="14" t="s">
        <v>411</v>
      </c>
    </row>
    <row r="8" ht="21.75" customHeight="1" spans="1:24">
      <c r="A8" s="8" t="s">
        <v>388</v>
      </c>
      <c r="B8" s="9" t="s">
        <v>389</v>
      </c>
      <c r="C8" s="10" t="s">
        <v>381</v>
      </c>
      <c r="D8" s="11" t="s">
        <v>390</v>
      </c>
      <c r="E8" s="14" t="s">
        <v>411</v>
      </c>
      <c r="F8" s="14" t="s">
        <v>411</v>
      </c>
      <c r="G8" s="14" t="s">
        <v>411</v>
      </c>
      <c r="H8" s="14" t="s">
        <v>411</v>
      </c>
      <c r="I8" s="12">
        <v>3</v>
      </c>
      <c r="J8" s="14" t="s">
        <v>411</v>
      </c>
      <c r="K8" s="14" t="s">
        <v>411</v>
      </c>
      <c r="L8" s="14" t="s">
        <v>411</v>
      </c>
      <c r="M8" s="14" t="s">
        <v>411</v>
      </c>
      <c r="N8" s="14" t="s">
        <v>411</v>
      </c>
      <c r="O8" s="14" t="s">
        <v>411</v>
      </c>
      <c r="P8" s="14" t="s">
        <v>411</v>
      </c>
      <c r="Q8" s="14" t="s">
        <v>411</v>
      </c>
      <c r="R8" s="15">
        <v>2</v>
      </c>
      <c r="S8" s="14" t="s">
        <v>411</v>
      </c>
    </row>
    <row r="9" ht="21.75" customHeight="1" spans="1:24">
      <c r="A9" s="8" t="s">
        <v>391</v>
      </c>
      <c r="B9" s="16" t="s">
        <v>392</v>
      </c>
      <c r="C9" s="10" t="s">
        <v>386</v>
      </c>
      <c r="D9" s="17" t="s">
        <v>393</v>
      </c>
      <c r="E9" s="14" t="s">
        <v>411</v>
      </c>
      <c r="F9" s="14" t="s">
        <v>411</v>
      </c>
      <c r="G9" s="14" t="s">
        <v>411</v>
      </c>
      <c r="H9" s="14" t="s">
        <v>411</v>
      </c>
      <c r="I9" s="14" t="s">
        <v>411</v>
      </c>
      <c r="J9" s="14" t="s">
        <v>411</v>
      </c>
      <c r="K9" s="14" t="s">
        <v>411</v>
      </c>
      <c r="L9" s="14" t="s">
        <v>411</v>
      </c>
      <c r="M9" s="14" t="s">
        <v>411</v>
      </c>
      <c r="N9" s="12">
        <v>3</v>
      </c>
      <c r="O9" s="13">
        <v>2</v>
      </c>
      <c r="P9" s="14" t="s">
        <v>411</v>
      </c>
      <c r="Q9" s="14" t="s">
        <v>411</v>
      </c>
      <c r="R9" s="14" t="s">
        <v>411</v>
      </c>
      <c r="S9" s="15">
        <v>2</v>
      </c>
    </row>
    <row r="10" ht="21.75" customHeight="1" spans="1:24">
      <c r="A10" s="8" t="s">
        <v>26</v>
      </c>
      <c r="B10" s="9" t="s">
        <v>395</v>
      </c>
      <c r="C10" s="10" t="s">
        <v>386</v>
      </c>
      <c r="D10" s="11" t="s">
        <v>27</v>
      </c>
      <c r="E10" s="14" t="s">
        <v>411</v>
      </c>
      <c r="F10" s="14" t="s">
        <v>411</v>
      </c>
      <c r="G10" s="14" t="s">
        <v>411</v>
      </c>
      <c r="H10" s="14" t="s">
        <v>411</v>
      </c>
      <c r="I10" s="14" t="s">
        <v>411</v>
      </c>
      <c r="J10" s="14" t="s">
        <v>411</v>
      </c>
      <c r="K10" s="14" t="s">
        <v>411</v>
      </c>
      <c r="L10" s="12">
        <v>3</v>
      </c>
      <c r="M10" s="12">
        <v>3</v>
      </c>
      <c r="N10" s="13">
        <v>2</v>
      </c>
      <c r="O10" s="13">
        <v>2</v>
      </c>
      <c r="P10" s="14" t="s">
        <v>411</v>
      </c>
      <c r="Q10" s="14" t="s">
        <v>411</v>
      </c>
      <c r="R10" s="14" t="s">
        <v>411</v>
      </c>
      <c r="S10" s="15">
        <v>2</v>
      </c>
    </row>
  </sheetData>
  <mergeCells count="8">
    <mergeCell ref="A1:X1"/>
    <mergeCell ref="A2:X2"/>
    <mergeCell ref="E4:P4"/>
    <mergeCell ref="Q4:S4"/>
    <mergeCell ref="A4:A5"/>
    <mergeCell ref="B4:B5"/>
    <mergeCell ref="C4:C5"/>
    <mergeCell ref="D4:D5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Framework &amp; Rubrics</vt:lpstr>
      <vt:lpstr>CIE Marks Entry</vt:lpstr>
      <vt:lpstr>SEE Marks Entry</vt:lpstr>
      <vt:lpstr>Internship Register</vt:lpstr>
      <vt:lpstr>Final Marks Dashboard</vt:lpstr>
      <vt:lpstr>CO Attainment</vt:lpstr>
      <vt:lpstr>CO &amp; PO Attainment</vt:lpstr>
      <vt:lpstr>CO-PO Mapping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cp:revision>0</cp:revision>
  <dcterms:created xsi:type="dcterms:W3CDTF">2026-05-14T05:15:00Z</dcterms:created>
  <dcterms:modified xsi:type="dcterms:W3CDTF">2026-05-14T05:17:11Z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322520BACFD9461584E2AA5ED1C8E5A4_12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