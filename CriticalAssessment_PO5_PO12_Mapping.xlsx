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PO5-PO12 Matrix" sheetId="4" state="visible" r:id="rId6"/>
    <sheet name="CS303" sheetId="5" state="visible" r:id="rId7"/>
    <sheet name="PO Attainment Summary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<sst xmlns="http://schemas.openxmlformats.org/spreadsheetml/2006/main" count="893" uniqueCount="253">
  <si>
    <t xml:space="preserve">CO–PO MAPPING: CRITICAL ASSESSMENT RECORD — PO5 to PO12  (Rubric-Based Method)</t>
  </si>
  <si>
    <t xml:space="preserve">Based on: NBA OBE Guidelines  |  Method E: Rubric-Based Critical Assessment Records for Skill-Based POs</t>
  </si>
  <si>
    <t xml:space="preserve">WHY RUBRICS FOR PO5–PO12 SPECIFICALLY?</t>
  </si>
  <si>
    <t xml:space="preserve">PO1–PO4: Technical/Core POs</t>
  </si>
  <si>
    <t xml:space="preserve">PO5–PO12: Professional/Skill-Based POs</t>
  </si>
  <si>
    <t xml:space="preserve">Assessed through: Exams, Assignments, Lab Reports
→ Covered by Methods A, B, C, D</t>
  </si>
  <si>
    <t xml:space="preserve">Require: Observation + Rubrics + Activities + Projects + Presentations
→ Written exams alone are NOT sufficient</t>
  </si>
  <si>
    <t xml:space="preserve">MAPPING LEVEL CRITERIA  (from CO-PO Mapping Guidelines — Section E: Rubric-Based Mapping)</t>
  </si>
  <si>
    <t xml:space="preserve">Level</t>
  </si>
  <si>
    <t xml:space="preserve">Symbol</t>
  </si>
  <si>
    <t xml:space="preserve">Rubric Categories Used</t>
  </si>
  <si>
    <t xml:space="preserve">Condition</t>
  </si>
  <si>
    <t xml:space="preserve">Meaning</t>
  </si>
  <si>
    <t xml:space="preserve">Example</t>
  </si>
  <si>
    <t xml:space="preserve">No Mapping</t>
  </si>
  <si>
    <t xml:space="preserve">—</t>
  </si>
  <si>
    <t xml:space="preserve">0 categories</t>
  </si>
  <si>
    <t xml:space="preserve">No rubric used</t>
  </si>
  <si>
    <t xml:space="preserve">No measurable evidence exists for CO-PO link</t>
  </si>
  <si>
    <t xml:space="preserve">Assignment submitted without evaluation criteria, rubric, or observation sheet</t>
  </si>
  <si>
    <t xml:space="preserve">Low</t>
  </si>
  <si>
    <t xml:space="preserve">1</t>
  </si>
  <si>
    <t xml:space="preserve">1 category</t>
  </si>
  <si>
    <t xml:space="preserve">Only one rubric category evaluated</t>
  </si>
  <si>
    <t xml:space="preserve">Limited evidence — one dimension assessed</t>
  </si>
  <si>
    <t xml:space="preserve">Seminar: only 'Communication' assessed, no technical/teamwork evaluation</t>
  </si>
  <si>
    <t xml:space="preserve">Medium</t>
  </si>
  <si>
    <t xml:space="preserve">2</t>
  </si>
  <si>
    <t xml:space="preserve">2 categories</t>
  </si>
  <si>
    <t xml:space="preserve">Two rubric categories evaluated</t>
  </si>
  <si>
    <t xml:space="preserve">Moderate depth — two competency dimensions measured</t>
  </si>
  <si>
    <t xml:space="preserve">Project: 'Technical Implementation' + 'Communication' both assessed</t>
  </si>
  <si>
    <t xml:space="preserve">High</t>
  </si>
  <si>
    <t xml:space="preserve">3</t>
  </si>
  <si>
    <t xml:space="preserve">3+ categories</t>
  </si>
  <si>
    <t xml:space="preserve">Three or more rubric categories evaluated</t>
  </si>
  <si>
    <t xml:space="preserve">Comprehensive — multidimensional assessment with strong evidence</t>
  </si>
  <si>
    <t xml:space="preserve">Mini Project: Problem ID + Design + Tool Usage + Teamwork + Presentation (5 categories)</t>
  </si>
  <si>
    <t xml:space="preserve">PO5–PO12: RUBRIC CATEGORIES REFERENCE  (from Section E of document)</t>
  </si>
  <si>
    <t xml:space="preserve">PO</t>
  </si>
  <si>
    <t xml:space="preserve">PO Name</t>
  </si>
  <si>
    <t xml:space="preserve">Rubric Categories Used in Assessment</t>
  </si>
  <si>
    <t xml:space="preserve">PO5</t>
  </si>
  <si>
    <t xml:space="preserve">Modern Tool Usage</t>
  </si>
  <si>
    <t xml:space="preserve">(1) Tool Selection  |  (2) Simulation Accuracy  |  (3) Result Interpretation  |  (4) Software Proficiency</t>
  </si>
  <si>
    <t xml:space="preserve">PO6</t>
  </si>
  <si>
    <t xml:space="preserve">The Engineer and Society</t>
  </si>
  <si>
    <t xml:space="preserve">(1) Social Impact Analysis  |  (2) Safety Considerations  |  (3) Community Awareness  |  (4) Professional Practice</t>
  </si>
  <si>
    <t xml:space="preserve">PO7</t>
  </si>
  <si>
    <t xml:space="preserve">Environment and Sustainability</t>
  </si>
  <si>
    <t xml:space="preserve">(1) Energy Efficiency  |  (2) Environmental Impact  |  (3) Sustainable Solution Design  |  (4) Conservation</t>
  </si>
  <si>
    <t xml:space="preserve">PO8</t>
  </si>
  <si>
    <t xml:space="preserve">Ethics</t>
  </si>
  <si>
    <t xml:space="preserve">(1) Professional Ethics  |  (2) Integrity  |  (3) Ethical Decision Making  |  (4) Responsibility</t>
  </si>
  <si>
    <t xml:space="preserve">PO9</t>
  </si>
  <si>
    <t xml:space="preserve">Individual and Team Work</t>
  </si>
  <si>
    <t xml:space="preserve">(1) Collaboration  |  (2) Participation  |  (3) Leadership  |  (4) Responsibility</t>
  </si>
  <si>
    <t xml:space="preserve">PO10</t>
  </si>
  <si>
    <t xml:space="preserve">Communication</t>
  </si>
  <si>
    <t xml:space="preserve">(1) Oral Presentation  |  (2) Technical Writing  |  (3) Clarity  |  (4) Confidence</t>
  </si>
  <si>
    <t xml:space="preserve">PO11</t>
  </si>
  <si>
    <t xml:space="preserve">Project Management and Finance</t>
  </si>
  <si>
    <t xml:space="preserve">(1) Planning  |  (2) Resource Management  |  (3) Scheduling  |  (4) Cost Analysis</t>
  </si>
  <si>
    <t xml:space="preserve">PO12</t>
  </si>
  <si>
    <t xml:space="preserve">Life-long Learning</t>
  </si>
  <si>
    <t xml:space="preserve">(1) Self-Learning Ability  |  (2) Research Orientation  |  (3) Adaptability  |  (4) Independent Study</t>
  </si>
  <si>
    <t xml:space="preserve">EXCEL FORMULA LOGIC USED IN THIS WORKBOOK</t>
  </si>
  <si>
    <t xml:space="preserve">Step</t>
  </si>
  <si>
    <t xml:space="preserve">Logic</t>
  </si>
  <si>
    <t xml:space="preserve">Notes</t>
  </si>
  <si>
    <t xml:space="preserve">Rubric Score Input</t>
  </si>
  <si>
    <t xml:space="preserve">Enter score 1–3 per rubric category per CO per activity (YELLOW cells)</t>
  </si>
  <si>
    <t xml:space="preserve">1=Poor  2=Average  3=Good</t>
  </si>
  <si>
    <t xml:space="preserve">Categories Used</t>
  </si>
  <si>
    <t xml:space="preserve">Enter score 1, 2, or 3 per rubric category per CO per assessment activity</t>
  </si>
  <si>
    <t xml:space="preserve">Counts how many rubric categories are actually assessed</t>
  </si>
  <si>
    <t xml:space="preserve">Average Rubric Score</t>
  </si>
  <si>
    <t xml:space="preserve">COUNTIF(rubric_range, "&gt;0")  — counts categories with score greater than 0</t>
  </si>
  <si>
    <t xml:space="preserve">Average of scores for categories that are used (&gt;0)</t>
  </si>
  <si>
    <t xml:space="preserve">Mapping Level</t>
  </si>
  <si>
    <t xml:space="preserve">AVERAGEIF(rubric_range, "&gt;0")  — average of scores for assessed categories only</t>
  </si>
  <si>
    <t xml:space="preserve">0=No Map | 1=Low(1 cat) | 2=Medium(2 cats) | 3=High(3+ cats)</t>
  </si>
  <si>
    <t xml:space="preserve">PO Attainment %</t>
  </si>
  <si>
    <t xml:space="preserve">IF(cats&gt;=3, 3,  IF(cats&gt;=2, 2,  IF(cats&gt;=1, 1, 0)))</t>
  </si>
  <si>
    <t xml:space="preserve">Since max rubric score is 3</t>
  </si>
  <si>
    <t xml:space="preserve">AVERAGEIF(rubric_range, "&gt;0") / 3 * 100</t>
  </si>
  <si>
    <t xml:space="preserve">Shown in mapping matrix</t>
  </si>
  <si>
    <t xml:space="preserve">NBA Justification</t>
  </si>
  <si>
    <t xml:space="preserve">Auto-generated text from rubric categories and scores</t>
  </si>
  <si>
    <t xml:space="preserve">Ready for NBA documentation</t>
  </si>
  <si>
    <t xml:space="preserve">HOW TO USE THIS WORKBOOK</t>
  </si>
  <si>
    <t xml:space="preserve">1. Open any course sheet (CS301–CS305)  →  For each CO and each assessment activity, rubric categories are shown</t>
  </si>
  <si>
    <t xml:space="preserve">2. Enter rubric score (1=Poor, 2=Average, 3=Good) for each rubric category in YELLOW cells per CO</t>
  </si>
  <si>
    <t xml:space="preserve">3. Categories Used auto-counts: how many rubric categories have score &gt; 0</t>
  </si>
  <si>
    <t xml:space="preserve">4. Mapping Level auto-calculates: 0=None, 1=Low(1 cat), 2=Medium(2 cats), 3=High(3+ cats)</t>
  </si>
  <si>
    <t xml:space="preserve">5. PO Attainment % auto-calculates: Average Score / 3 × 100</t>
  </si>
  <si>
    <t xml:space="preserve">6. Open 'PO5-PO12 Matrix' sheet — full CO-PO mapping auto-linked from all course sheets</t>
  </si>
  <si>
    <t xml:space="preserve">7. Open 'Rubric Records' sheet — complete rubric documentation for NBA accreditation</t>
  </si>
  <si>
    <t xml:space="preserve">8. Open 'PO Attainment Summary' — programme-level PO5-PO12 attainment dashboard</t>
  </si>
  <si>
    <t xml:space="preserve">9. Change any rubric score → all mapping levels, attainment %, and summaries update instantly</t>
  </si>
  <si>
    <t xml:space="preserve">CRITICAL ASSESSMENT RECORD (Rubric-Based) — Data Structures &amp; Algorithms (CS301)</t>
  </si>
  <si>
    <t xml:space="preserve">Method E: Enter Rubric Score (1=Poor / 2=Average / 3=Good) in YELLOW cells per CO per rubric category  |  Categories Used auto-counts  |  Level: 0=—  1=Low(1 cat)  2=Medium(2 cats)  3=High(3+ cats)</t>
  </si>
  <si>
    <t xml:space="preserve">Score Guide →</t>
  </si>
  <si>
    <t xml:space="preserve">0 = Not Assessed</t>
  </si>
  <si>
    <t xml:space="preserve">1 = Poor</t>
  </si>
  <si>
    <t xml:space="preserve">2 = Average</t>
  </si>
  <si>
    <t xml:space="preserve">3 = Good</t>
  </si>
  <si>
    <t xml:space="preserve">Mapping Level: 0 categories → No Map  |  1 cat → Low(1)  |  2 cats → Medium(2)  |  3+ cats → High(3)</t>
  </si>
  <si>
    <t xml:space="preserve">Rubric Category</t>
  </si>
  <si>
    <t xml:space="preserve">Max
Score</t>
  </si>
  <si>
    <t xml:space="preserve">CO1
Score
(0–3)</t>
  </si>
  <si>
    <t xml:space="preserve">CO1
Level</t>
  </si>
  <si>
    <t xml:space="preserve">CO1
Att%</t>
  </si>
  <si>
    <t xml:space="preserve">CO2
Score
(0–3)</t>
  </si>
  <si>
    <t xml:space="preserve">CO2
Level</t>
  </si>
  <si>
    <t xml:space="preserve">CO2
Att%</t>
  </si>
  <si>
    <t xml:space="preserve">CO3
Score
(0–3)</t>
  </si>
  <si>
    <t xml:space="preserve">CO3
Level</t>
  </si>
  <si>
    <t xml:space="preserve">CO3
Att%</t>
  </si>
  <si>
    <t xml:space="preserve">CO4
Score
(0–3)</t>
  </si>
  <si>
    <t xml:space="preserve">CO4
Level</t>
  </si>
  <si>
    <t xml:space="preserve">CO4
Att%</t>
  </si>
  <si>
    <t xml:space="preserve">CO5
Score
(0–3)</t>
  </si>
  <si>
    <t xml:space="preserve">CO5
Level</t>
  </si>
  <si>
    <t xml:space="preserve">CO5
Att%</t>
  </si>
  <si>
    <t xml:space="preserve">PO5  —  Modern Tool Usage  |  Use modern engineering tools, techniques and IT tools for engineering practice</t>
  </si>
  <si>
    <t xml:space="preserve">(1) Tool Selection</t>
  </si>
  <si>
    <t xml:space="preserve">(2) Simulation Accuracy</t>
  </si>
  <si>
    <t xml:space="preserve">(3) Result Interpretation</t>
  </si>
  <si>
    <t xml:space="preserve">(4) Software Proficiency</t>
  </si>
  <si>
    <t xml:space="preserve">Categories Used → Level</t>
  </si>
  <si>
    <t xml:space="preserve">PO6  —  The Engineer and Society  |  Apply reasoning to assess societal, health, safety, legal and cultural issues</t>
  </si>
  <si>
    <t xml:space="preserve">(1) Social Impact Analysis</t>
  </si>
  <si>
    <t xml:space="preserve">(2) Safety Considerations</t>
  </si>
  <si>
    <t xml:space="preserve">(3) Community Awareness</t>
  </si>
  <si>
    <t xml:space="preserve">(4) Professional Practice</t>
  </si>
  <si>
    <t xml:space="preserve">PO7  —  Environment and Sustainability  |  Understand the impact of engineering solutions in societal and environmental contexts</t>
  </si>
  <si>
    <t xml:space="preserve">(1) Energy Efficiency</t>
  </si>
  <si>
    <t xml:space="preserve">(2) Environmental Impact</t>
  </si>
  <si>
    <t xml:space="preserve">(3) Sustainable Solution Design</t>
  </si>
  <si>
    <t xml:space="preserve">(4) Conservation</t>
  </si>
  <si>
    <t xml:space="preserve">PO8  —  Ethics  |  Apply ethical principles and commit to professional ethics, responsibilities and norms</t>
  </si>
  <si>
    <t xml:space="preserve">(1) Professional Ethics</t>
  </si>
  <si>
    <t xml:space="preserve">(2) Integrity</t>
  </si>
  <si>
    <t xml:space="preserve">(3) Ethical Decision Making</t>
  </si>
  <si>
    <t xml:space="preserve">(4) Responsibility</t>
  </si>
  <si>
    <t xml:space="preserve">PO9  —  Individual and Team Work  |  Function effectively as an individual, and as a member or leader in diverse teams</t>
  </si>
  <si>
    <t xml:space="preserve">(1) Collaboration</t>
  </si>
  <si>
    <t xml:space="preserve">(2) Participation</t>
  </si>
  <si>
    <t xml:space="preserve">(3) Leadership</t>
  </si>
  <si>
    <t xml:space="preserve">PO10  —  Communication  |  Communicate effectively on complex engineering activities</t>
  </si>
  <si>
    <t xml:space="preserve">(1) Oral Presentation</t>
  </si>
  <si>
    <t xml:space="preserve">(2) Technical Writing</t>
  </si>
  <si>
    <t xml:space="preserve">(3) Clarity</t>
  </si>
  <si>
    <t xml:space="preserve">(4) Confidence</t>
  </si>
  <si>
    <t xml:space="preserve">PO11  —  Project Management and Finance  |  Demonstrate knowledge and understanding of engineering management and financial principles</t>
  </si>
  <si>
    <t xml:space="preserve">(1) Planning</t>
  </si>
  <si>
    <t xml:space="preserve">(2) Resource Management</t>
  </si>
  <si>
    <t xml:space="preserve">(3) Scheduling</t>
  </si>
  <si>
    <t xml:space="preserve">(4) Cost Analysis</t>
  </si>
  <si>
    <t xml:space="preserve">PO12  —  Life-long Learning  |  Recognize the need for and engage in independent learning for continual professional development</t>
  </si>
  <si>
    <t xml:space="preserve">(1) Self-Learning Ability</t>
  </si>
  <si>
    <t xml:space="preserve">(2) Research Orientation</t>
  </si>
  <si>
    <t xml:space="preserve">(3) Adaptability</t>
  </si>
  <si>
    <t xml:space="preserve">(4) Independent Study</t>
  </si>
  <si>
    <t xml:space="preserve">CRITICAL ASSESSMENT RECORD (Rubric-Based) — Database Management Systems (CS302)</t>
  </si>
  <si>
    <t xml:space="preserve">CO–PO5 to PO12 MAPPING MATRIX  (Rubric-Based Critical Assessment)  —  Auto-linked from course sheets</t>
  </si>
  <si>
    <t xml:space="preserve">Level: — No Mapping (0 cats)  |  1 Low (1 rubric category)  |  2 Medium (2 categories)  |  3 High (3+ categories)  |  All values auto-linked from course rubric sheets</t>
  </si>
  <si>
    <t xml:space="preserve">LEGEND →</t>
  </si>
  <si>
    <t xml:space="preserve">— No Mapping</t>
  </si>
  <si>
    <t xml:space="preserve">1 Low (1 cat)</t>
  </si>
  <si>
    <t xml:space="preserve">2 Medium (2 cats)</t>
  </si>
  <si>
    <t xml:space="preserve">3 High (3+ cats)</t>
  </si>
  <si>
    <t xml:space="preserve">#</t>
  </si>
  <si>
    <t xml:space="preserve">Course</t>
  </si>
  <si>
    <t xml:space="preserve">Code</t>
  </si>
  <si>
    <t xml:space="preserve">CO</t>
  </si>
  <si>
    <t xml:space="preserve">Topic</t>
  </si>
  <si>
    <t xml:space="preserve">SKILL-BASED PROGRAMME OUTCOMES (PO5–PO12) — Rubric Assessment</t>
  </si>
  <si>
    <t xml:space="preserve">PSOs</t>
  </si>
  <si>
    <t xml:space="preserve">PSO1</t>
  </si>
  <si>
    <t xml:space="preserve">PSO2</t>
  </si>
  <si>
    <t xml:space="preserve">PSO3</t>
  </si>
  <si>
    <t xml:space="preserve">Data Structures &amp; Algorithms</t>
  </si>
  <si>
    <t xml:space="preserve">CS301</t>
  </si>
  <si>
    <t xml:space="preserve">CO1</t>
  </si>
  <si>
    <t xml:space="preserve">Arrays, Linked Lists, Stacks, Queues</t>
  </si>
  <si>
    <t xml:space="preserve">CO2</t>
  </si>
  <si>
    <t xml:space="preserve">Trees and Binary Search Trees</t>
  </si>
  <si>
    <t xml:space="preserve">CO3</t>
  </si>
  <si>
    <t xml:space="preserve">Graphs: BFS, DFS, Shortest Paths</t>
  </si>
  <si>
    <t xml:space="preserve">CO4</t>
  </si>
  <si>
    <t xml:space="preserve">Sorting and Searching Algorithms</t>
  </si>
  <si>
    <t xml:space="preserve">CO5</t>
  </si>
  <si>
    <t xml:space="preserve">Hashing and Complexity Analysis</t>
  </si>
  <si>
    <t xml:space="preserve">Database Management Systems</t>
  </si>
  <si>
    <t xml:space="preserve">CS302</t>
  </si>
  <si>
    <t xml:space="preserve">ER Model and Relational Algebra</t>
  </si>
  <si>
    <t xml:space="preserve">SQL: DDL, DML, Complex Queries</t>
  </si>
  <si>
    <t xml:space="preserve">Normalization: 1NF to BCNF</t>
  </si>
  <si>
    <t xml:space="preserve">Transaction Management &amp; Concurrency</t>
  </si>
  <si>
    <t xml:space="preserve">Indexing &amp; Query Optimization</t>
  </si>
  <si>
    <t xml:space="preserve">Computer Networks</t>
  </si>
  <si>
    <t xml:space="preserve">CS303</t>
  </si>
  <si>
    <t xml:space="preserve">OSI and TCP/IP Model</t>
  </si>
  <si>
    <t xml:space="preserve">Data Link Layer Protocols</t>
  </si>
  <si>
    <t xml:space="preserve">Network Layer: IP &amp; Routing</t>
  </si>
  <si>
    <t xml:space="preserve">Transport Layer: TCP &amp; UDP</t>
  </si>
  <si>
    <t xml:space="preserve">Application Layer Protocols</t>
  </si>
  <si>
    <t xml:space="preserve">Operating Systems</t>
  </si>
  <si>
    <t xml:space="preserve">CS304</t>
  </si>
  <si>
    <t xml:space="preserve">Process Management &amp; Scheduling</t>
  </si>
  <si>
    <t xml:space="preserve">Synchronization &amp; Deadlock</t>
  </si>
  <si>
    <t xml:space="preserve">Memory Management: Paging &amp; Segmentation</t>
  </si>
  <si>
    <t xml:space="preserve">File System Management</t>
  </si>
  <si>
    <t xml:space="preserve">I/O Management &amp; Disk Scheduling</t>
  </si>
  <si>
    <t xml:space="preserve">Machine Learning</t>
  </si>
  <si>
    <t xml:space="preserve">CS305</t>
  </si>
  <si>
    <t xml:space="preserve">Supervised Learning: Regression &amp; SVM</t>
  </si>
  <si>
    <t xml:space="preserve">Classification: Decision Trees &amp; KNN</t>
  </si>
  <si>
    <t xml:space="preserve">Neural Networks &amp; Deep Learning</t>
  </si>
  <si>
    <t xml:space="preserve">Unsupervised Learning: Clustering &amp; PCA</t>
  </si>
  <si>
    <t xml:space="preserve">Model Evaluation &amp; Optimization</t>
  </si>
  <si>
    <t xml:space="preserve">CO6</t>
  </si>
  <si>
    <t xml:space="preserve">Applied ML Projects &amp; Case Studies</t>
  </si>
  <si>
    <t xml:space="preserve">DEPT AVERAGE (all COs)</t>
  </si>
  <si>
    <t xml:space="preserve">CRITICAL ASSESSMENT RECORD (Rubric-Based) — Computer Networks (CS303)</t>
  </si>
  <si>
    <t xml:space="preserve">PO5–PO12 ATTAINMENT SUMMARY  —  Rubric-Based Critical Assessment</t>
  </si>
  <si>
    <t xml:space="preserve">All values auto-linked from course rubric sheets. Shows average mapping level and attainment % per PO per course.</t>
  </si>
  <si>
    <t xml:space="preserve">ATTAINMENT LEVELS →</t>
  </si>
  <si>
    <t xml:space="preserve">Level 3 ≥66% HIGH</t>
  </si>
  <si>
    <t xml:space="preserve">Level 2 33–66% MEDIUM</t>
  </si>
  <si>
    <t xml:space="preserve">Level 1 &lt;33% LOW</t>
  </si>
  <si>
    <t xml:space="preserve">— Not Mapped</t>
  </si>
  <si>
    <t xml:space="preserve">Description</t>
  </si>
  <si>
    <t xml:space="preserve">Dept
Avg Lvl</t>
  </si>
  <si>
    <t xml:space="preserve">Dept
Att%</t>
  </si>
  <si>
    <t xml:space="preserve">Avg
Level</t>
  </si>
  <si>
    <t xml:space="preserve">Att%</t>
  </si>
  <si>
    <t xml:space="preserve">Use modern engineering tools, techniques and IT tools for engineering practice</t>
  </si>
  <si>
    <t xml:space="preserve">Apply reasoning to assess societal, health, safety, legal and cultural issues</t>
  </si>
  <si>
    <t xml:space="preserve">Understand the impact of engineering solutions in societal and environmental contexts</t>
  </si>
  <si>
    <t xml:space="preserve">Apply ethical principles and commit to professional ethics, responsibilities and norms</t>
  </si>
  <si>
    <t xml:space="preserve">Function effectively as an individual, and as a member or leader in diverse teams</t>
  </si>
  <si>
    <t xml:space="preserve">Communicate effectively on complex engineering activities</t>
  </si>
  <si>
    <t xml:space="preserve">Demonstrate knowledge and understanding of engineering management and financial principles</t>
  </si>
  <si>
    <t xml:space="preserve">Recognize the need for and engage in independent learning for continual professional development</t>
  </si>
  <si>
    <t xml:space="preserve">PROGRAMME OVERALL PO5–PO12 ATTAINMENT</t>
  </si>
  <si>
    <t xml:space="preserve">CRITICAL ASSESSMENT RECORD (Rubric-Based) — Operating Systems (CS304)</t>
  </si>
  <si>
    <t xml:space="preserve">CRITICAL ASSESSMENT RECORD (Rubric-Based) — Machine Learning (CS305)</t>
  </si>
  <si>
    <t xml:space="preserve">CO6
Score
(0–3)</t>
  </si>
  <si>
    <t xml:space="preserve">CO6
Level</t>
  </si>
  <si>
    <t xml:space="preserve">CO6
Att%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</si>
</sst>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@"/>
    <numFmt numFmtId="168" formatCode="0.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AAAAAA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5D4037"/>
      </patternFill>
    </fill>
    <fill>
      <patternFill patternType="solid">
        <fgColor rgb="FFC55A11"/>
        <bgColor rgb="FF993300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E4E1"/>
      </patternFill>
    </fill>
    <fill>
      <patternFill patternType="solid">
        <fgColor rgb="FF00695C"/>
        <bgColor rgb="FF008080"/>
      </patternFill>
    </fill>
    <fill>
      <patternFill patternType="solid">
        <fgColor rgb="FF404040"/>
        <bgColor rgb="FF5D4037"/>
      </patternFill>
    </fill>
    <fill>
      <patternFill patternType="solid">
        <fgColor rgb="FFF2F2F2"/>
        <bgColor rgb="FFEFEBE9"/>
      </patternFill>
    </fill>
    <fill>
      <patternFill patternType="solid">
        <fgColor rgb="FFFFF8DC"/>
        <bgColor rgb="FFFFF2CC"/>
      </patternFill>
    </fill>
    <fill>
      <patternFill patternType="solid">
        <fgColor rgb="FFE2EFDA"/>
        <bgColor rgb="FFE0F2F1"/>
      </patternFill>
    </fill>
    <fill>
      <patternFill patternType="solid">
        <fgColor rgb="FFE0F2F1"/>
        <bgColor rgb="FFDEEAF1"/>
      </patternFill>
    </fill>
    <fill>
      <patternFill patternType="solid">
        <fgColor rgb="FF375623"/>
        <bgColor rgb="FF404040"/>
      </patternFill>
    </fill>
    <fill>
      <patternFill patternType="solid">
        <fgColor rgb="FFE2D9F3"/>
        <bgColor rgb="FFDEEAF1"/>
      </patternFill>
    </fill>
    <fill>
      <patternFill patternType="solid">
        <fgColor rgb="FF8B0000"/>
        <bgColor rgb="FF800000"/>
      </patternFill>
    </fill>
    <fill>
      <patternFill patternType="solid">
        <fgColor rgb="FFFFE4E1"/>
        <bgColor rgb="FFFCE4D6"/>
      </patternFill>
    </fill>
    <fill>
      <patternFill patternType="solid">
        <fgColor rgb="FF5D4037"/>
        <bgColor rgb="FF404040"/>
      </patternFill>
    </fill>
    <fill>
      <patternFill patternType="solid">
        <fgColor rgb="FFEFEBE9"/>
        <bgColor rgb="FFE8EAF6"/>
      </patternFill>
    </fill>
    <fill>
      <patternFill patternType="solid">
        <fgColor rgb="FF283593"/>
        <bgColor rgb="FF1F3864"/>
      </patternFill>
    </fill>
    <fill>
      <patternFill patternType="solid">
        <fgColor rgb="FFE8EAF6"/>
        <bgColor rgb="FFDEEAF1"/>
      </patternFill>
    </fill>
    <fill>
      <patternFill patternType="solid">
        <fgColor rgb="FFFFFFFF"/>
        <bgColor rgb="FFFFF8DC"/>
      </patternFill>
    </fill>
    <fill>
      <patternFill patternType="solid">
        <fgColor rgb="FFFFF2CC"/>
        <bgColor rgb="FFFFF8DC"/>
      </patternFill>
    </fill>
    <fill>
      <patternFill patternType="solid">
        <fgColor rgb="FFDEEAF1"/>
        <bgColor rgb="FFE8EAF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CCCCCC"/>
      <rgbColor rgb="FF808080"/>
      <rgbColor rgb="FFEFEBE9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E2D9F3"/>
      <rgbColor rgb="FFFFE4E1"/>
      <rgbColor rgb="FFE8EAF6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AAAAAA"/>
      <rgbColor rgb="FF1F3864"/>
      <rgbColor rgb="FF339966"/>
      <rgbColor rgb="FF003300"/>
      <rgbColor rgb="FF375623"/>
      <rgbColor rgb="FF993300"/>
      <rgbColor rgb="FF5D4037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10" min="6" style="1" width="16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8" hidden="false" customHeight="true" outlineLevel="0" collapsed="false">
      <c r="A5" s="5" t="s">
        <v>3</v>
      </c>
      <c r="B5" s="5"/>
      <c r="C5" s="5"/>
      <c r="D5" s="5"/>
      <c r="E5" s="5"/>
      <c r="F5" s="6" t="s">
        <v>4</v>
      </c>
      <c r="G5" s="6"/>
      <c r="H5" s="6"/>
      <c r="I5" s="6"/>
      <c r="J5" s="6"/>
    </row>
    <row r="6" customFormat="false" ht="18" hidden="false" customHeight="true" outlineLevel="0" collapsed="false">
      <c r="A6" s="7" t="s">
        <v>5</v>
      </c>
      <c r="B6" s="7"/>
      <c r="C6" s="7"/>
      <c r="D6" s="7"/>
      <c r="E6" s="7"/>
      <c r="F6" s="8" t="s">
        <v>6</v>
      </c>
      <c r="G6" s="8"/>
      <c r="H6" s="8"/>
      <c r="I6" s="8"/>
      <c r="J6" s="8"/>
    </row>
    <row r="8" customFormat="false" ht="21.75" hidden="false" customHeight="true" outlineLevel="0" collapsed="false">
      <c r="A8" s="9" t="s">
        <v>7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19.5" hidden="false" customHeight="true" outlineLevel="0" collapsed="false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</row>
    <row r="10" customFormat="false" ht="30" hidden="false" customHeight="true" outlineLevel="0" collapsed="false">
      <c r="A10" s="11" t="s">
        <v>14</v>
      </c>
      <c r="B10" s="12" t="s">
        <v>15</v>
      </c>
      <c r="C10" s="11" t="s">
        <v>16</v>
      </c>
      <c r="D10" s="13" t="s">
        <v>17</v>
      </c>
      <c r="E10" s="14" t="s">
        <v>18</v>
      </c>
      <c r="F10" s="15" t="s">
        <v>19</v>
      </c>
      <c r="G10" s="15"/>
      <c r="H10" s="15"/>
      <c r="I10" s="15"/>
      <c r="J10" s="15"/>
    </row>
    <row r="11" customFormat="false" ht="30" hidden="false" customHeight="true" outlineLevel="0" collapsed="false">
      <c r="A11" s="16" t="s">
        <v>20</v>
      </c>
      <c r="B11" s="17" t="s">
        <v>21</v>
      </c>
      <c r="C11" s="16" t="s">
        <v>22</v>
      </c>
      <c r="D11" s="18" t="s">
        <v>23</v>
      </c>
      <c r="E11" s="19" t="s">
        <v>24</v>
      </c>
      <c r="F11" s="20" t="s">
        <v>25</v>
      </c>
      <c r="G11" s="20"/>
      <c r="H11" s="20"/>
      <c r="I11" s="20"/>
      <c r="J11" s="20"/>
    </row>
    <row r="12" customFormat="false" ht="30" hidden="false" customHeight="true" outlineLevel="0" collapsed="false">
      <c r="A12" s="21" t="s">
        <v>26</v>
      </c>
      <c r="B12" s="22" t="s">
        <v>27</v>
      </c>
      <c r="C12" s="21" t="s">
        <v>28</v>
      </c>
      <c r="D12" s="23" t="s">
        <v>29</v>
      </c>
      <c r="E12" s="24" t="s">
        <v>30</v>
      </c>
      <c r="F12" s="25" t="s">
        <v>31</v>
      </c>
      <c r="G12" s="25"/>
      <c r="H12" s="25"/>
      <c r="I12" s="25"/>
      <c r="J12" s="25"/>
    </row>
    <row r="13" customFormat="false" ht="30" hidden="false" customHeight="true" outlineLevel="0" collapsed="false">
      <c r="A13" s="26" t="s">
        <v>32</v>
      </c>
      <c r="B13" s="27" t="s">
        <v>33</v>
      </c>
      <c r="C13" s="26" t="s">
        <v>34</v>
      </c>
      <c r="D13" s="28" t="s">
        <v>35</v>
      </c>
      <c r="E13" s="29" t="s">
        <v>36</v>
      </c>
      <c r="F13" s="30" t="s">
        <v>37</v>
      </c>
      <c r="G13" s="30"/>
      <c r="H13" s="30"/>
      <c r="I13" s="30"/>
      <c r="J13" s="30"/>
    </row>
    <row r="15" customFormat="false" ht="21.75" hidden="false" customHeight="true" outlineLevel="0" collapsed="false">
      <c r="A15" s="31" t="s">
        <v>38</v>
      </c>
      <c r="B15" s="31"/>
      <c r="C15" s="31"/>
      <c r="D15" s="31"/>
      <c r="E15" s="31"/>
      <c r="F15" s="31"/>
      <c r="G15" s="31"/>
      <c r="H15" s="31"/>
      <c r="I15" s="31"/>
      <c r="J15" s="31"/>
    </row>
    <row r="16" customFormat="false" ht="18" hidden="false" customHeight="true" outlineLevel="0" collapsed="false">
      <c r="A16" s="10" t="s">
        <v>39</v>
      </c>
      <c r="B16" s="10" t="s">
        <v>40</v>
      </c>
      <c r="C16" s="10" t="s">
        <v>41</v>
      </c>
    </row>
    <row r="17" customFormat="false" ht="19.5" hidden="false" customHeight="true" outlineLevel="0" collapsed="false">
      <c r="A17" s="32" t="s">
        <v>42</v>
      </c>
      <c r="B17" s="33" t="s">
        <v>43</v>
      </c>
      <c r="C17" s="34" t="s">
        <v>44</v>
      </c>
      <c r="D17" s="34"/>
      <c r="E17" s="34"/>
      <c r="F17" s="34"/>
      <c r="G17" s="34"/>
      <c r="H17" s="34"/>
      <c r="I17" s="34"/>
      <c r="J17" s="34"/>
    </row>
    <row r="18" customFormat="false" ht="19.5" hidden="false" customHeight="true" outlineLevel="0" collapsed="false">
      <c r="A18" s="35" t="s">
        <v>45</v>
      </c>
      <c r="B18" s="36" t="s">
        <v>46</v>
      </c>
      <c r="C18" s="37" t="s">
        <v>47</v>
      </c>
      <c r="D18" s="37"/>
      <c r="E18" s="37"/>
      <c r="F18" s="37"/>
      <c r="G18" s="37"/>
      <c r="H18" s="37"/>
      <c r="I18" s="37"/>
      <c r="J18" s="37"/>
    </row>
    <row r="19" customFormat="false" ht="19.5" hidden="false" customHeight="true" outlineLevel="0" collapsed="false">
      <c r="A19" s="38" t="s">
        <v>48</v>
      </c>
      <c r="B19" s="26" t="s">
        <v>49</v>
      </c>
      <c r="C19" s="39" t="s">
        <v>50</v>
      </c>
      <c r="D19" s="39"/>
      <c r="E19" s="39"/>
      <c r="F19" s="39"/>
      <c r="G19" s="39"/>
      <c r="H19" s="39"/>
      <c r="I19" s="39"/>
      <c r="J19" s="39"/>
    </row>
    <row r="20" customFormat="false" ht="19.5" hidden="false" customHeight="true" outlineLevel="0" collapsed="false">
      <c r="A20" s="40" t="s">
        <v>51</v>
      </c>
      <c r="B20" s="16" t="s">
        <v>52</v>
      </c>
      <c r="C20" s="41" t="s">
        <v>53</v>
      </c>
      <c r="D20" s="41"/>
      <c r="E20" s="41"/>
      <c r="F20" s="41"/>
      <c r="G20" s="41"/>
      <c r="H20" s="41"/>
      <c r="I20" s="41"/>
      <c r="J20" s="41"/>
    </row>
    <row r="21" customFormat="false" ht="19.5" hidden="false" customHeight="true" outlineLevel="0" collapsed="false">
      <c r="A21" s="42" t="s">
        <v>54</v>
      </c>
      <c r="B21" s="43" t="s">
        <v>55</v>
      </c>
      <c r="C21" s="44" t="s">
        <v>56</v>
      </c>
      <c r="D21" s="44"/>
      <c r="E21" s="44"/>
      <c r="F21" s="44"/>
      <c r="G21" s="44"/>
      <c r="H21" s="44"/>
      <c r="I21" s="44"/>
      <c r="J21" s="44"/>
    </row>
    <row r="22" customFormat="false" ht="19.5" hidden="false" customHeight="true" outlineLevel="0" collapsed="false">
      <c r="A22" s="45" t="s">
        <v>57</v>
      </c>
      <c r="B22" s="46" t="s">
        <v>58</v>
      </c>
      <c r="C22" s="47" t="s">
        <v>59</v>
      </c>
      <c r="D22" s="47"/>
      <c r="E22" s="47"/>
      <c r="F22" s="47"/>
      <c r="G22" s="47"/>
      <c r="H22" s="47"/>
      <c r="I22" s="47"/>
      <c r="J22" s="47"/>
    </row>
    <row r="23" customFormat="false" ht="19.5" hidden="false" customHeight="true" outlineLevel="0" collapsed="false">
      <c r="A23" s="48" t="s">
        <v>60</v>
      </c>
      <c r="B23" s="49" t="s">
        <v>61</v>
      </c>
      <c r="C23" s="50" t="s">
        <v>62</v>
      </c>
      <c r="D23" s="50"/>
      <c r="E23" s="50"/>
      <c r="F23" s="50"/>
      <c r="G23" s="50"/>
      <c r="H23" s="50"/>
      <c r="I23" s="50"/>
      <c r="J23" s="50"/>
    </row>
    <row r="24" customFormat="false" ht="19.5" hidden="false" customHeight="true" outlineLevel="0" collapsed="false">
      <c r="A24" s="51" t="s">
        <v>63</v>
      </c>
      <c r="B24" s="52" t="s">
        <v>64</v>
      </c>
      <c r="C24" s="53" t="s">
        <v>65</v>
      </c>
      <c r="D24" s="53"/>
      <c r="E24" s="53"/>
      <c r="F24" s="53"/>
      <c r="G24" s="53"/>
      <c r="H24" s="53"/>
      <c r="I24" s="53"/>
      <c r="J24" s="53"/>
    </row>
    <row r="26" customFormat="false" ht="21.75" hidden="false" customHeight="true" outlineLevel="0" collapsed="false">
      <c r="A26" s="54" t="s">
        <v>66</v>
      </c>
      <c r="B26" s="54"/>
      <c r="C26" s="54"/>
      <c r="D26" s="54"/>
      <c r="E26" s="54"/>
      <c r="F26" s="54"/>
      <c r="G26" s="54"/>
      <c r="H26" s="54"/>
      <c r="I26" s="54"/>
      <c r="J26" s="54"/>
    </row>
    <row r="27" customFormat="false" ht="18" hidden="false" customHeight="true" outlineLevel="0" collapsed="false">
      <c r="A27" s="10" t="s">
        <v>67</v>
      </c>
      <c r="B27" s="10" t="s">
        <v>68</v>
      </c>
      <c r="C27" s="10" t="s">
        <v>69</v>
      </c>
    </row>
    <row r="28" customFormat="false" ht="19.5" hidden="false" customHeight="true" outlineLevel="0" collapsed="false">
      <c r="A28" s="55" t="s">
        <v>70</v>
      </c>
      <c r="B28" s="14" t="s">
        <v>71</v>
      </c>
      <c r="C28" s="56" t="s">
        <v>72</v>
      </c>
      <c r="D28" s="56"/>
      <c r="E28" s="56"/>
      <c r="F28" s="56"/>
      <c r="G28" s="56"/>
      <c r="H28" s="56"/>
      <c r="I28" s="56"/>
      <c r="J28" s="56"/>
    </row>
    <row r="29" customFormat="false" ht="19.5" hidden="false" customHeight="true" outlineLevel="0" collapsed="false">
      <c r="A29" s="57" t="s">
        <v>73</v>
      </c>
      <c r="B29" s="58" t="s">
        <v>74</v>
      </c>
      <c r="C29" s="59" t="s">
        <v>75</v>
      </c>
      <c r="D29" s="59"/>
      <c r="E29" s="59"/>
      <c r="F29" s="59"/>
      <c r="G29" s="59"/>
      <c r="H29" s="59"/>
      <c r="I29" s="59"/>
      <c r="J29" s="59"/>
    </row>
    <row r="30" customFormat="false" ht="19.5" hidden="false" customHeight="true" outlineLevel="0" collapsed="false">
      <c r="A30" s="55" t="s">
        <v>76</v>
      </c>
      <c r="B30" s="60" t="s">
        <v>77</v>
      </c>
      <c r="C30" s="56" t="s">
        <v>78</v>
      </c>
      <c r="D30" s="56"/>
      <c r="E30" s="56"/>
      <c r="F30" s="56"/>
      <c r="G30" s="56"/>
      <c r="H30" s="56"/>
      <c r="I30" s="56"/>
      <c r="J30" s="56"/>
    </row>
    <row r="31" customFormat="false" ht="19.5" hidden="false" customHeight="true" outlineLevel="0" collapsed="false">
      <c r="A31" s="57" t="s">
        <v>79</v>
      </c>
      <c r="B31" s="58" t="s">
        <v>80</v>
      </c>
      <c r="C31" s="59" t="s">
        <v>81</v>
      </c>
      <c r="D31" s="59"/>
      <c r="E31" s="59"/>
      <c r="F31" s="59"/>
      <c r="G31" s="59"/>
      <c r="H31" s="59"/>
      <c r="I31" s="59"/>
      <c r="J31" s="59"/>
    </row>
    <row r="32" customFormat="false" ht="19.5" hidden="false" customHeight="true" outlineLevel="0" collapsed="false">
      <c r="A32" s="55" t="s">
        <v>82</v>
      </c>
      <c r="B32" s="60" t="s">
        <v>83</v>
      </c>
      <c r="C32" s="56" t="s">
        <v>84</v>
      </c>
      <c r="D32" s="56"/>
      <c r="E32" s="56"/>
      <c r="F32" s="56"/>
      <c r="G32" s="56"/>
      <c r="H32" s="56"/>
      <c r="I32" s="56"/>
      <c r="J32" s="56"/>
    </row>
    <row r="33" customFormat="false" ht="19.5" hidden="false" customHeight="true" outlineLevel="0" collapsed="false">
      <c r="A33" s="57" t="s">
        <v>9</v>
      </c>
      <c r="B33" s="58" t="s">
        <v>85</v>
      </c>
      <c r="C33" s="59" t="s">
        <v>86</v>
      </c>
      <c r="D33" s="59"/>
      <c r="E33" s="59"/>
      <c r="F33" s="59"/>
      <c r="G33" s="59"/>
      <c r="H33" s="59"/>
      <c r="I33" s="59"/>
      <c r="J33" s="59"/>
    </row>
    <row r="34" customFormat="false" ht="19.5" hidden="false" customHeight="true" outlineLevel="0" collapsed="false">
      <c r="A34" s="55" t="s">
        <v>87</v>
      </c>
      <c r="B34" s="14" t="s">
        <v>88</v>
      </c>
      <c r="C34" s="56" t="s">
        <v>89</v>
      </c>
      <c r="D34" s="56"/>
      <c r="E34" s="56"/>
      <c r="F34" s="56"/>
      <c r="G34" s="56"/>
      <c r="H34" s="56"/>
      <c r="I34" s="56"/>
      <c r="J34" s="56"/>
    </row>
    <row r="36" customFormat="false" ht="21.75" hidden="false" customHeight="true" outlineLevel="0" collapsed="false">
      <c r="A36" s="61" t="s">
        <v>90</v>
      </c>
      <c r="B36" s="61"/>
      <c r="C36" s="61"/>
      <c r="D36" s="61"/>
      <c r="E36" s="61"/>
      <c r="F36" s="61"/>
      <c r="G36" s="61"/>
      <c r="H36" s="61"/>
      <c r="I36" s="61"/>
      <c r="J36" s="61"/>
    </row>
    <row r="37" customFormat="false" ht="18" hidden="false" customHeight="true" outlineLevel="0" collapsed="false">
      <c r="A37" s="62" t="s">
        <v>91</v>
      </c>
      <c r="B37" s="62"/>
      <c r="C37" s="62"/>
      <c r="D37" s="62"/>
      <c r="E37" s="62"/>
      <c r="F37" s="62"/>
      <c r="G37" s="62"/>
      <c r="H37" s="62"/>
      <c r="I37" s="62"/>
      <c r="J37" s="62"/>
    </row>
    <row r="38" customFormat="false" ht="18" hidden="false" customHeight="true" outlineLevel="0" collapsed="false">
      <c r="A38" s="63" t="s">
        <v>92</v>
      </c>
      <c r="B38" s="63"/>
      <c r="C38" s="63"/>
      <c r="D38" s="63"/>
      <c r="E38" s="63"/>
      <c r="F38" s="63"/>
      <c r="G38" s="63"/>
      <c r="H38" s="63"/>
      <c r="I38" s="63"/>
      <c r="J38" s="63"/>
    </row>
    <row r="39" customFormat="false" ht="18" hidden="false" customHeight="true" outlineLevel="0" collapsed="false">
      <c r="A39" s="62" t="s">
        <v>93</v>
      </c>
      <c r="B39" s="62"/>
      <c r="C39" s="62"/>
      <c r="D39" s="62"/>
      <c r="E39" s="62"/>
      <c r="F39" s="62"/>
      <c r="G39" s="62"/>
      <c r="H39" s="62"/>
      <c r="I39" s="62"/>
      <c r="J39" s="62"/>
    </row>
    <row r="40" customFormat="false" ht="18" hidden="false" customHeight="true" outlineLevel="0" collapsed="false">
      <c r="A40" s="63" t="s">
        <v>94</v>
      </c>
      <c r="B40" s="63"/>
      <c r="C40" s="63"/>
      <c r="D40" s="63"/>
      <c r="E40" s="63"/>
      <c r="F40" s="63"/>
      <c r="G40" s="63"/>
      <c r="H40" s="63"/>
      <c r="I40" s="63"/>
      <c r="J40" s="63"/>
    </row>
    <row r="41" customFormat="false" ht="18" hidden="false" customHeight="true" outlineLevel="0" collapsed="false">
      <c r="A41" s="62" t="s">
        <v>95</v>
      </c>
      <c r="B41" s="62"/>
      <c r="C41" s="62"/>
      <c r="D41" s="62"/>
      <c r="E41" s="62"/>
      <c r="F41" s="62"/>
      <c r="G41" s="62"/>
      <c r="H41" s="62"/>
      <c r="I41" s="62"/>
      <c r="J41" s="62"/>
    </row>
    <row r="42" customFormat="false" ht="18" hidden="false" customHeight="true" outlineLevel="0" collapsed="false">
      <c r="A42" s="63" t="s">
        <v>96</v>
      </c>
      <c r="B42" s="63"/>
      <c r="C42" s="63"/>
      <c r="D42" s="63"/>
      <c r="E42" s="63"/>
      <c r="F42" s="63"/>
      <c r="G42" s="63"/>
      <c r="H42" s="63"/>
      <c r="I42" s="63"/>
      <c r="J42" s="63"/>
    </row>
    <row r="43" customFormat="false" ht="18" hidden="false" customHeight="true" outlineLevel="0" collapsed="false">
      <c r="A43" s="62" t="s">
        <v>97</v>
      </c>
      <c r="B43" s="62"/>
      <c r="C43" s="62"/>
      <c r="D43" s="62"/>
      <c r="E43" s="62"/>
      <c r="F43" s="62"/>
      <c r="G43" s="62"/>
      <c r="H43" s="62"/>
      <c r="I43" s="62"/>
      <c r="J43" s="62"/>
    </row>
    <row r="44" customFormat="false" ht="18" hidden="false" customHeight="true" outlineLevel="0" collapsed="false">
      <c r="A44" s="63" t="s">
        <v>98</v>
      </c>
      <c r="B44" s="63"/>
      <c r="C44" s="63"/>
      <c r="D44" s="63"/>
      <c r="E44" s="63"/>
      <c r="F44" s="63"/>
      <c r="G44" s="63"/>
      <c r="H44" s="63"/>
      <c r="I44" s="63"/>
      <c r="J44" s="63"/>
    </row>
    <row r="45" customFormat="false" ht="18" hidden="false" customHeight="true" outlineLevel="0" collapsed="false">
      <c r="A45" s="62" t="s">
        <v>99</v>
      </c>
      <c r="B45" s="62"/>
      <c r="C45" s="62"/>
      <c r="D45" s="62"/>
      <c r="E45" s="62"/>
      <c r="F45" s="62"/>
      <c r="G45" s="62"/>
      <c r="H45" s="62"/>
      <c r="I45" s="62"/>
      <c r="J45" s="62"/>
    </row>
  </sheetData>
  <mergeCells count="39">
    <mergeCell ref="A1:J1"/>
    <mergeCell ref="A2:J2"/>
    <mergeCell ref="A4:J4"/>
    <mergeCell ref="A5:E5"/>
    <mergeCell ref="F5:J5"/>
    <mergeCell ref="A6:E6"/>
    <mergeCell ref="F6:J6"/>
    <mergeCell ref="A8:J8"/>
    <mergeCell ref="F10:J10"/>
    <mergeCell ref="F11:J11"/>
    <mergeCell ref="F12:J12"/>
    <mergeCell ref="F13:J13"/>
    <mergeCell ref="A15:J15"/>
    <mergeCell ref="C17:J17"/>
    <mergeCell ref="C18:J18"/>
    <mergeCell ref="C19:J19"/>
    <mergeCell ref="C20:J20"/>
    <mergeCell ref="C21:J21"/>
    <mergeCell ref="C22:J22"/>
    <mergeCell ref="C23:J23"/>
    <mergeCell ref="C24:J24"/>
    <mergeCell ref="A26:J26"/>
    <mergeCell ref="C28:J28"/>
    <mergeCell ref="C29:J29"/>
    <mergeCell ref="C30:J30"/>
    <mergeCell ref="C31:J31"/>
    <mergeCell ref="C32:J32"/>
    <mergeCell ref="C33:J33"/>
    <mergeCell ref="C34:J34"/>
    <mergeCell ref="A36:J36"/>
    <mergeCell ref="A37:J37"/>
    <mergeCell ref="A38:J38"/>
    <mergeCell ref="A39:J39"/>
    <mergeCell ref="A40:J40"/>
    <mergeCell ref="A41:J41"/>
    <mergeCell ref="A42:J42"/>
    <mergeCell ref="A43:J43"/>
    <mergeCell ref="A44:J44"/>
    <mergeCell ref="A45:J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18" min="4" style="1" width="9"/>
  </cols>
  <sheetData>
    <row r="1" customFormat="false" ht="36" hidden="false" customHeight="true" outlineLevel="0" collapsed="false">
      <c r="A1" s="64" t="s">
        <v>100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customFormat="false" ht="13.5" hidden="false" customHeight="true" outlineLevel="0" collapsed="false">
      <c r="A2" s="65" t="s">
        <v>101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customFormat="false" ht="4.5" hidden="false" customHeight="true" outlineLevel="0" collapsed="false"/>
    <row r="4" customFormat="false" ht="18" hidden="false" customHeight="true" outlineLevel="0" collapsed="false">
      <c r="A4" s="66" t="s">
        <v>102</v>
      </c>
      <c r="B4" s="66"/>
      <c r="C4" s="66"/>
      <c r="D4" s="11" t="s">
        <v>103</v>
      </c>
      <c r="E4" s="16" t="s">
        <v>104</v>
      </c>
      <c r="F4" s="21" t="s">
        <v>105</v>
      </c>
      <c r="G4" s="26" t="s">
        <v>106</v>
      </c>
      <c r="H4" s="67" t="s">
        <v>107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customFormat="false" ht="21.75" hidden="false" customHeight="true" outlineLevel="0" collapsed="false">
      <c r="A5" s="10" t="s">
        <v>39</v>
      </c>
      <c r="B5" s="10" t="s">
        <v>108</v>
      </c>
      <c r="C5" s="68" t="s">
        <v>109</v>
      </c>
      <c r="D5" s="69" t="s">
        <v>110</v>
      </c>
      <c r="E5" s="70" t="s">
        <v>111</v>
      </c>
      <c r="F5" s="71" t="s">
        <v>112</v>
      </c>
      <c r="G5" s="69" t="s">
        <v>113</v>
      </c>
      <c r="H5" s="70" t="s">
        <v>114</v>
      </c>
      <c r="I5" s="71" t="s">
        <v>115</v>
      </c>
      <c r="J5" s="69" t="s">
        <v>116</v>
      </c>
      <c r="K5" s="70" t="s">
        <v>117</v>
      </c>
      <c r="L5" s="71" t="s">
        <v>118</v>
      </c>
      <c r="M5" s="69" t="s">
        <v>119</v>
      </c>
      <c r="N5" s="70" t="s">
        <v>120</v>
      </c>
      <c r="O5" s="71" t="s">
        <v>121</v>
      </c>
      <c r="P5" s="69" t="s">
        <v>122</v>
      </c>
      <c r="Q5" s="70" t="s">
        <v>123</v>
      </c>
      <c r="R5" s="71" t="s">
        <v>124</v>
      </c>
    </row>
    <row r="6" customFormat="false" ht="25.5" hidden="false" customHeight="true" outlineLevel="0" collapsed="false">
      <c r="A6" s="72" t="s">
        <v>125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customFormat="false" ht="19.5" hidden="false" customHeight="true" outlineLevel="0" collapsed="false">
      <c r="A7" s="32" t="s">
        <v>42</v>
      </c>
      <c r="B7" s="73" t="s">
        <v>126</v>
      </c>
      <c r="C7" s="11" t="s">
        <v>33</v>
      </c>
      <c r="D7" s="74" t="n">
        <v>1</v>
      </c>
      <c r="E7" s="75"/>
      <c r="F7" s="75"/>
      <c r="G7" s="74" t="n">
        <v>1</v>
      </c>
      <c r="H7" s="75"/>
      <c r="I7" s="75"/>
      <c r="J7" s="74" t="n">
        <v>1</v>
      </c>
      <c r="K7" s="75"/>
      <c r="L7" s="75"/>
      <c r="M7" s="74" t="n">
        <v>1</v>
      </c>
      <c r="N7" s="75"/>
      <c r="O7" s="75"/>
      <c r="P7" s="74" t="n">
        <v>1</v>
      </c>
      <c r="Q7" s="75"/>
      <c r="R7" s="75"/>
    </row>
    <row r="8" customFormat="false" ht="19.5" hidden="false" customHeight="true" outlineLevel="0" collapsed="false">
      <c r="A8" s="32"/>
      <c r="B8" s="76" t="s">
        <v>127</v>
      </c>
      <c r="C8" s="11" t="s">
        <v>33</v>
      </c>
      <c r="D8" s="74" t="n">
        <v>2</v>
      </c>
      <c r="E8" s="77"/>
      <c r="F8" s="77"/>
      <c r="G8" s="74" t="n">
        <v>2</v>
      </c>
      <c r="H8" s="77"/>
      <c r="I8" s="77"/>
      <c r="J8" s="74" t="n">
        <v>2</v>
      </c>
      <c r="K8" s="77"/>
      <c r="L8" s="77"/>
      <c r="M8" s="74" t="n">
        <v>2</v>
      </c>
      <c r="N8" s="77"/>
      <c r="O8" s="77"/>
      <c r="P8" s="74" t="n">
        <v>2</v>
      </c>
      <c r="Q8" s="77"/>
      <c r="R8" s="77"/>
    </row>
    <row r="9" customFormat="false" ht="19.5" hidden="false" customHeight="true" outlineLevel="0" collapsed="false">
      <c r="A9" s="32"/>
      <c r="B9" s="73" t="s">
        <v>128</v>
      </c>
      <c r="C9" s="11" t="s">
        <v>33</v>
      </c>
      <c r="D9" s="74" t="n">
        <v>3</v>
      </c>
      <c r="E9" s="75"/>
      <c r="F9" s="75"/>
      <c r="G9" s="74" t="n">
        <v>3</v>
      </c>
      <c r="H9" s="75"/>
      <c r="I9" s="75"/>
      <c r="J9" s="74" t="n">
        <v>3</v>
      </c>
      <c r="K9" s="75"/>
      <c r="L9" s="75"/>
      <c r="M9" s="74" t="n">
        <v>3</v>
      </c>
      <c r="N9" s="75"/>
      <c r="O9" s="75"/>
      <c r="P9" s="74" t="n">
        <v>3</v>
      </c>
      <c r="Q9" s="75"/>
      <c r="R9" s="75"/>
    </row>
    <row r="10" customFormat="false" ht="19.5" hidden="false" customHeight="true" outlineLevel="0" collapsed="false">
      <c r="A10" s="32"/>
      <c r="B10" s="76" t="s">
        <v>129</v>
      </c>
      <c r="C10" s="11" t="s">
        <v>33</v>
      </c>
      <c r="D10" s="74" t="n">
        <v>1</v>
      </c>
      <c r="E10" s="77"/>
      <c r="F10" s="77"/>
      <c r="G10" s="74" t="n">
        <v>1</v>
      </c>
      <c r="H10" s="77"/>
      <c r="I10" s="77"/>
      <c r="J10" s="74" t="n">
        <v>1</v>
      </c>
      <c r="K10" s="77"/>
      <c r="L10" s="77"/>
      <c r="M10" s="74" t="n">
        <v>1</v>
      </c>
      <c r="N10" s="77"/>
      <c r="O10" s="77"/>
      <c r="P10" s="74" t="n">
        <v>1</v>
      </c>
      <c r="Q10" s="77"/>
      <c r="R10" s="77"/>
    </row>
    <row r="11" customFormat="false" ht="21.75" hidden="false" customHeight="true" outlineLevel="0" collapsed="false">
      <c r="A11" s="5" t="s">
        <v>130</v>
      </c>
      <c r="B11" s="5"/>
      <c r="C11" s="78"/>
      <c r="D11" s="79" t="n">
        <f aca="false">COUNTIF(D7:D10,"&gt;0")</f>
        <v>4</v>
      </c>
      <c r="E11" s="80" t="n">
        <f aca="false">IF(COUNTIF(D7:D10,"&gt;0")&gt;=3,3,IF(COUNTIF(D7:D10,"&gt;0")&gt;=2,2,IF(COUNTIF(D7:D10,"&gt;0")&gt;=1,1,0)))</f>
        <v>3</v>
      </c>
      <c r="F11" s="81" t="n">
        <f aca="false">IFERROR(AVERAGEIF(D7:D10,"&gt;0")/3*100,0)</f>
        <v>58.3333333333333</v>
      </c>
      <c r="G11" s="79" t="n">
        <f aca="false">COUNTIF(G7:G10,"&gt;0")</f>
        <v>4</v>
      </c>
      <c r="H11" s="80" t="n">
        <f aca="false">IF(COUNTIF(G7:G10,"&gt;0")&gt;=3,3,IF(COUNTIF(G7:G10,"&gt;0")&gt;=2,2,IF(COUNTIF(G7:G10,"&gt;0")&gt;=1,1,0)))</f>
        <v>3</v>
      </c>
      <c r="I11" s="81" t="n">
        <f aca="false">IFERROR(AVERAGEIF(G7:G10,"&gt;0")/3*100,0)</f>
        <v>58.3333333333333</v>
      </c>
      <c r="J11" s="79" t="n">
        <f aca="false">COUNTIF(J7:J10,"&gt;0")</f>
        <v>4</v>
      </c>
      <c r="K11" s="80" t="n">
        <f aca="false">IF(COUNTIF(J7:J10,"&gt;0")&gt;=3,3,IF(COUNTIF(J7:J10,"&gt;0")&gt;=2,2,IF(COUNTIF(J7:J10,"&gt;0")&gt;=1,1,0)))</f>
        <v>3</v>
      </c>
      <c r="L11" s="81" t="n">
        <f aca="false">IFERROR(AVERAGEIF(J7:J10,"&gt;0")/3*100,0)</f>
        <v>58.3333333333333</v>
      </c>
      <c r="M11" s="79" t="n">
        <f aca="false">COUNTIF(M7:M10,"&gt;0")</f>
        <v>4</v>
      </c>
      <c r="N11" s="80" t="n">
        <f aca="false">IF(COUNTIF(M7:M10,"&gt;0")&gt;=3,3,IF(COUNTIF(M7:M10,"&gt;0")&gt;=2,2,IF(COUNTIF(M7:M10,"&gt;0")&gt;=1,1,0)))</f>
        <v>3</v>
      </c>
      <c r="O11" s="81" t="n">
        <f aca="false">IFERROR(AVERAGEIF(M7:M10,"&gt;0")/3*100,0)</f>
        <v>58.3333333333333</v>
      </c>
      <c r="P11" s="79" t="n">
        <f aca="false">COUNTIF(P7:P10,"&gt;0")</f>
        <v>4</v>
      </c>
      <c r="Q11" s="80" t="n">
        <f aca="false">IF(COUNTIF(P7:P10,"&gt;0")&gt;=3,3,IF(COUNTIF(P7:P10,"&gt;0")&gt;=2,2,IF(COUNTIF(P7:P10,"&gt;0")&gt;=1,1,0)))</f>
        <v>3</v>
      </c>
      <c r="R11" s="81" t="n">
        <f aca="false">IFERROR(AVERAGEIF(P7:P10,"&gt;0")/3*100,0)</f>
        <v>58.3333333333333</v>
      </c>
    </row>
    <row r="13" customFormat="false" ht="25.5" hidden="false" customHeight="true" outlineLevel="0" collapsed="false">
      <c r="A13" s="9" t="s">
        <v>131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A14" s="35" t="s">
        <v>45</v>
      </c>
      <c r="B14" s="82" t="s">
        <v>132</v>
      </c>
      <c r="C14" s="11" t="s">
        <v>33</v>
      </c>
      <c r="D14" s="74" t="n">
        <v>1</v>
      </c>
      <c r="E14" s="83"/>
      <c r="F14" s="83"/>
      <c r="G14" s="84" t="n">
        <v>0</v>
      </c>
      <c r="H14" s="83"/>
      <c r="I14" s="83"/>
      <c r="J14" s="84" t="n">
        <v>0</v>
      </c>
      <c r="K14" s="83"/>
      <c r="L14" s="83"/>
      <c r="M14" s="84" t="n">
        <v>0</v>
      </c>
      <c r="N14" s="83"/>
      <c r="O14" s="83"/>
      <c r="P14" s="84" t="n">
        <v>0</v>
      </c>
      <c r="Q14" s="83"/>
      <c r="R14" s="83"/>
    </row>
    <row r="15" customFormat="false" ht="19.5" hidden="false" customHeight="true" outlineLevel="0" collapsed="false">
      <c r="A15" s="35"/>
      <c r="B15" s="76" t="s">
        <v>133</v>
      </c>
      <c r="C15" s="11" t="s">
        <v>33</v>
      </c>
      <c r="D15" s="74" t="n">
        <v>2</v>
      </c>
      <c r="E15" s="77"/>
      <c r="F15" s="77"/>
      <c r="G15" s="84" t="n">
        <v>0</v>
      </c>
      <c r="H15" s="77"/>
      <c r="I15" s="77"/>
      <c r="J15" s="84" t="n">
        <v>0</v>
      </c>
      <c r="K15" s="77"/>
      <c r="L15" s="77"/>
      <c r="M15" s="84" t="n">
        <v>0</v>
      </c>
      <c r="N15" s="77"/>
      <c r="O15" s="77"/>
      <c r="P15" s="84" t="n">
        <v>0</v>
      </c>
      <c r="Q15" s="77"/>
      <c r="R15" s="77"/>
    </row>
    <row r="16" customFormat="false" ht="19.5" hidden="false" customHeight="true" outlineLevel="0" collapsed="false">
      <c r="A16" s="35"/>
      <c r="B16" s="82" t="s">
        <v>134</v>
      </c>
      <c r="C16" s="11" t="s">
        <v>33</v>
      </c>
      <c r="D16" s="74" t="n">
        <v>3</v>
      </c>
      <c r="E16" s="83"/>
      <c r="F16" s="83"/>
      <c r="G16" s="84" t="n">
        <v>0</v>
      </c>
      <c r="H16" s="83"/>
      <c r="I16" s="83"/>
      <c r="J16" s="84" t="n">
        <v>0</v>
      </c>
      <c r="K16" s="83"/>
      <c r="L16" s="83"/>
      <c r="M16" s="84" t="n">
        <v>0</v>
      </c>
      <c r="N16" s="83"/>
      <c r="O16" s="83"/>
      <c r="P16" s="84" t="n">
        <v>0</v>
      </c>
      <c r="Q16" s="83"/>
      <c r="R16" s="83"/>
    </row>
    <row r="17" customFormat="false" ht="19.5" hidden="false" customHeight="true" outlineLevel="0" collapsed="false">
      <c r="A17" s="35"/>
      <c r="B17" s="76" t="s">
        <v>135</v>
      </c>
      <c r="C17" s="11" t="s">
        <v>33</v>
      </c>
      <c r="D17" s="74" t="n">
        <v>1</v>
      </c>
      <c r="E17" s="77"/>
      <c r="F17" s="77"/>
      <c r="G17" s="84" t="n">
        <v>0</v>
      </c>
      <c r="H17" s="77"/>
      <c r="I17" s="77"/>
      <c r="J17" s="84" t="n">
        <v>0</v>
      </c>
      <c r="K17" s="77"/>
      <c r="L17" s="77"/>
      <c r="M17" s="84" t="n">
        <v>0</v>
      </c>
      <c r="N17" s="77"/>
      <c r="O17" s="77"/>
      <c r="P17" s="84" t="n">
        <v>0</v>
      </c>
      <c r="Q17" s="77"/>
      <c r="R17" s="77"/>
    </row>
    <row r="18" customFormat="false" ht="21.75" hidden="false" customHeight="true" outlineLevel="0" collapsed="false">
      <c r="A18" s="85" t="s">
        <v>130</v>
      </c>
      <c r="B18" s="85"/>
      <c r="C18" s="86"/>
      <c r="D18" s="87" t="n">
        <f aca="false">COUNTIF(D14:D17,"&gt;0")</f>
        <v>4</v>
      </c>
      <c r="E18" s="88" t="n">
        <f aca="false">IF(COUNTIF(D14:D17,"&gt;0")&gt;=3,3,IF(COUNTIF(D14:D17,"&gt;0")&gt;=2,2,IF(COUNTIF(D14:D17,"&gt;0")&gt;=1,1,0)))</f>
        <v>3</v>
      </c>
      <c r="F18" s="89" t="n">
        <f aca="false">IFERROR(AVERAGEIF(D14:D17,"&gt;0")/3*100,0)</f>
        <v>58.3333333333333</v>
      </c>
      <c r="G18" s="87" t="n">
        <f aca="false">COUNTIF(G14:G17,"&gt;0")</f>
        <v>0</v>
      </c>
      <c r="H18" s="88" t="n">
        <f aca="false">IF(COUNTIF(G14:G17,"&gt;0")&gt;=3,3,IF(COUNTIF(G14:G17,"&gt;0")&gt;=2,2,IF(COUNTIF(G14:G17,"&gt;0")&gt;=1,1,0)))</f>
        <v>0</v>
      </c>
      <c r="I18" s="89" t="n">
        <f aca="false">IFERROR(AVERAGEIF(G14:G17,"&gt;0")/3*100,0)</f>
        <v>0</v>
      </c>
      <c r="J18" s="87" t="n">
        <f aca="false">COUNTIF(J14:J17,"&gt;0")</f>
        <v>0</v>
      </c>
      <c r="K18" s="88" t="n">
        <f aca="false">IF(COUNTIF(J14:J17,"&gt;0")&gt;=3,3,IF(COUNTIF(J14:J17,"&gt;0")&gt;=2,2,IF(COUNTIF(J14:J17,"&gt;0")&gt;=1,1,0)))</f>
        <v>0</v>
      </c>
      <c r="L18" s="89" t="n">
        <f aca="false">IFERROR(AVERAGEIF(J14:J17,"&gt;0")/3*100,0)</f>
        <v>0</v>
      </c>
      <c r="M18" s="87" t="n">
        <f aca="false">COUNTIF(M14:M17,"&gt;0")</f>
        <v>0</v>
      </c>
      <c r="N18" s="88" t="n">
        <f aca="false">IF(COUNTIF(M14:M17,"&gt;0")&gt;=3,3,IF(COUNTIF(M14:M17,"&gt;0")&gt;=2,2,IF(COUNTIF(M14:M17,"&gt;0")&gt;=1,1,0)))</f>
        <v>0</v>
      </c>
      <c r="O18" s="89" t="n">
        <f aca="false">IFERROR(AVERAGEIF(M14:M17,"&gt;0")/3*100,0)</f>
        <v>0</v>
      </c>
      <c r="P18" s="87" t="n">
        <f aca="false">COUNTIF(P14:P17,"&gt;0")</f>
        <v>0</v>
      </c>
      <c r="Q18" s="88" t="n">
        <f aca="false">IF(COUNTIF(P14:P17,"&gt;0")&gt;=3,3,IF(COUNTIF(P14:P17,"&gt;0")&gt;=2,2,IF(COUNTIF(P14:P17,"&gt;0")&gt;=1,1,0)))</f>
        <v>0</v>
      </c>
      <c r="R18" s="89" t="n">
        <f aca="false">IFERROR(AVERAGEIF(P14:P17,"&gt;0")/3*100,0)</f>
        <v>0</v>
      </c>
    </row>
    <row r="20" customFormat="false" ht="25.5" hidden="false" customHeight="true" outlineLevel="0" collapsed="false">
      <c r="A20" s="54" t="s">
        <v>136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customFormat="false" ht="19.5" hidden="false" customHeight="true" outlineLevel="0" collapsed="false">
      <c r="A21" s="38" t="s">
        <v>48</v>
      </c>
      <c r="B21" s="29" t="s">
        <v>137</v>
      </c>
      <c r="C21" s="11" t="s">
        <v>33</v>
      </c>
      <c r="D21" s="84" t="n">
        <v>0</v>
      </c>
      <c r="E21" s="28"/>
      <c r="F21" s="28"/>
      <c r="G21" s="84" t="n">
        <v>0</v>
      </c>
      <c r="H21" s="28"/>
      <c r="I21" s="28"/>
      <c r="J21" s="84" t="n">
        <v>0</v>
      </c>
      <c r="K21" s="28"/>
      <c r="L21" s="28"/>
      <c r="M21" s="84" t="n">
        <v>0</v>
      </c>
      <c r="N21" s="28"/>
      <c r="O21" s="28"/>
      <c r="P21" s="84" t="n">
        <v>0</v>
      </c>
      <c r="Q21" s="28"/>
      <c r="R21" s="28"/>
    </row>
    <row r="22" customFormat="false" ht="19.5" hidden="false" customHeight="true" outlineLevel="0" collapsed="false">
      <c r="A22" s="38"/>
      <c r="B22" s="76" t="s">
        <v>138</v>
      </c>
      <c r="C22" s="11" t="s">
        <v>33</v>
      </c>
      <c r="D22" s="84" t="n">
        <v>0</v>
      </c>
      <c r="E22" s="77"/>
      <c r="F22" s="77"/>
      <c r="G22" s="84" t="n">
        <v>0</v>
      </c>
      <c r="H22" s="77"/>
      <c r="I22" s="77"/>
      <c r="J22" s="84" t="n">
        <v>0</v>
      </c>
      <c r="K22" s="77"/>
      <c r="L22" s="77"/>
      <c r="M22" s="84" t="n">
        <v>0</v>
      </c>
      <c r="N22" s="77"/>
      <c r="O22" s="77"/>
      <c r="P22" s="84" t="n">
        <v>0</v>
      </c>
      <c r="Q22" s="77"/>
      <c r="R22" s="77"/>
    </row>
    <row r="23" customFormat="false" ht="19.5" hidden="false" customHeight="true" outlineLevel="0" collapsed="false">
      <c r="A23" s="38"/>
      <c r="B23" s="29" t="s">
        <v>139</v>
      </c>
      <c r="C23" s="11" t="s">
        <v>33</v>
      </c>
      <c r="D23" s="84" t="n">
        <v>0</v>
      </c>
      <c r="E23" s="28"/>
      <c r="F23" s="28"/>
      <c r="G23" s="84" t="n">
        <v>0</v>
      </c>
      <c r="H23" s="28"/>
      <c r="I23" s="28"/>
      <c r="J23" s="84" t="n">
        <v>0</v>
      </c>
      <c r="K23" s="28"/>
      <c r="L23" s="28"/>
      <c r="M23" s="84" t="n">
        <v>0</v>
      </c>
      <c r="N23" s="28"/>
      <c r="O23" s="28"/>
      <c r="P23" s="84" t="n">
        <v>0</v>
      </c>
      <c r="Q23" s="28"/>
      <c r="R23" s="28"/>
    </row>
    <row r="24" customFormat="false" ht="19.5" hidden="false" customHeight="true" outlineLevel="0" collapsed="false">
      <c r="A24" s="38"/>
      <c r="B24" s="76" t="s">
        <v>140</v>
      </c>
      <c r="C24" s="11" t="s">
        <v>33</v>
      </c>
      <c r="D24" s="84" t="n">
        <v>0</v>
      </c>
      <c r="E24" s="77"/>
      <c r="F24" s="77"/>
      <c r="G24" s="84" t="n">
        <v>0</v>
      </c>
      <c r="H24" s="77"/>
      <c r="I24" s="77"/>
      <c r="J24" s="84" t="n">
        <v>0</v>
      </c>
      <c r="K24" s="77"/>
      <c r="L24" s="77"/>
      <c r="M24" s="84" t="n">
        <v>0</v>
      </c>
      <c r="N24" s="77"/>
      <c r="O24" s="77"/>
      <c r="P24" s="84" t="n">
        <v>0</v>
      </c>
      <c r="Q24" s="77"/>
      <c r="R24" s="77"/>
    </row>
    <row r="25" customFormat="false" ht="21.75" hidden="false" customHeight="true" outlineLevel="0" collapsed="false">
      <c r="A25" s="90" t="s">
        <v>130</v>
      </c>
      <c r="B25" s="90"/>
      <c r="C25" s="91"/>
      <c r="D25" s="92" t="n">
        <f aca="false">COUNTIF(D21:D24,"&gt;0")</f>
        <v>0</v>
      </c>
      <c r="E25" s="93" t="n">
        <f aca="false">IF(COUNTIF(D21:D24,"&gt;0")&gt;=3,3,IF(COUNTIF(D21:D24,"&gt;0")&gt;=2,2,IF(COUNTIF(D21:D24,"&gt;0")&gt;=1,1,0)))</f>
        <v>0</v>
      </c>
      <c r="F25" s="94" t="n">
        <f aca="false">IFERROR(AVERAGEIF(D21:D24,"&gt;0")/3*100,0)</f>
        <v>0</v>
      </c>
      <c r="G25" s="92" t="n">
        <f aca="false">COUNTIF(G21:G24,"&gt;0")</f>
        <v>0</v>
      </c>
      <c r="H25" s="93" t="n">
        <f aca="false">IF(COUNTIF(G21:G24,"&gt;0")&gt;=3,3,IF(COUNTIF(G21:G24,"&gt;0")&gt;=2,2,IF(COUNTIF(G21:G24,"&gt;0")&gt;=1,1,0)))</f>
        <v>0</v>
      </c>
      <c r="I25" s="94" t="n">
        <f aca="false">IFERROR(AVERAGEIF(G21:G24,"&gt;0")/3*100,0)</f>
        <v>0</v>
      </c>
      <c r="J25" s="92" t="n">
        <f aca="false">COUNTIF(J21:J24,"&gt;0")</f>
        <v>0</v>
      </c>
      <c r="K25" s="93" t="n">
        <f aca="false">IF(COUNTIF(J21:J24,"&gt;0")&gt;=3,3,IF(COUNTIF(J21:J24,"&gt;0")&gt;=2,2,IF(COUNTIF(J21:J24,"&gt;0")&gt;=1,1,0)))</f>
        <v>0</v>
      </c>
      <c r="L25" s="94" t="n">
        <f aca="false">IFERROR(AVERAGEIF(J21:J24,"&gt;0")/3*100,0)</f>
        <v>0</v>
      </c>
      <c r="M25" s="92" t="n">
        <f aca="false">COUNTIF(M21:M24,"&gt;0")</f>
        <v>0</v>
      </c>
      <c r="N25" s="93" t="n">
        <f aca="false">IF(COUNTIF(M21:M24,"&gt;0")&gt;=3,3,IF(COUNTIF(M21:M24,"&gt;0")&gt;=2,2,IF(COUNTIF(M21:M24,"&gt;0")&gt;=1,1,0)))</f>
        <v>0</v>
      </c>
      <c r="O25" s="94" t="n">
        <f aca="false">IFERROR(AVERAGEIF(M21:M24,"&gt;0")/3*100,0)</f>
        <v>0</v>
      </c>
      <c r="P25" s="92" t="n">
        <f aca="false">COUNTIF(P21:P24,"&gt;0")</f>
        <v>0</v>
      </c>
      <c r="Q25" s="93" t="n">
        <f aca="false">IF(COUNTIF(P21:P24,"&gt;0")&gt;=3,3,IF(COUNTIF(P21:P24,"&gt;0")&gt;=2,2,IF(COUNTIF(P21:P24,"&gt;0")&gt;=1,1,0)))</f>
        <v>0</v>
      </c>
      <c r="R25" s="94" t="n">
        <f aca="false">IFERROR(AVERAGEIF(P21:P24,"&gt;0")/3*100,0)</f>
        <v>0</v>
      </c>
    </row>
    <row r="27" customFormat="false" ht="25.5" hidden="false" customHeight="true" outlineLevel="0" collapsed="false">
      <c r="A27" s="61" t="s">
        <v>141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customFormat="false" ht="19.5" hidden="false" customHeight="true" outlineLevel="0" collapsed="false">
      <c r="A28" s="40" t="s">
        <v>51</v>
      </c>
      <c r="B28" s="19" t="s">
        <v>142</v>
      </c>
      <c r="C28" s="11" t="s">
        <v>33</v>
      </c>
      <c r="D28" s="74" t="n">
        <v>1</v>
      </c>
      <c r="E28" s="18"/>
      <c r="F28" s="18"/>
      <c r="G28" s="74" t="n">
        <v>1</v>
      </c>
      <c r="H28" s="18"/>
      <c r="I28" s="18"/>
      <c r="J28" s="74" t="n">
        <v>1</v>
      </c>
      <c r="K28" s="18"/>
      <c r="L28" s="18"/>
      <c r="M28" s="84" t="n">
        <v>0</v>
      </c>
      <c r="N28" s="18"/>
      <c r="O28" s="18"/>
      <c r="P28" s="74" t="n">
        <v>1</v>
      </c>
      <c r="Q28" s="18"/>
      <c r="R28" s="18"/>
    </row>
    <row r="29" customFormat="false" ht="19.5" hidden="false" customHeight="true" outlineLevel="0" collapsed="false">
      <c r="A29" s="40"/>
      <c r="B29" s="76" t="s">
        <v>143</v>
      </c>
      <c r="C29" s="11" t="s">
        <v>33</v>
      </c>
      <c r="D29" s="74" t="n">
        <v>2</v>
      </c>
      <c r="E29" s="77"/>
      <c r="F29" s="77"/>
      <c r="G29" s="74" t="n">
        <v>2</v>
      </c>
      <c r="H29" s="77"/>
      <c r="I29" s="77"/>
      <c r="J29" s="74" t="n">
        <v>2</v>
      </c>
      <c r="K29" s="77"/>
      <c r="L29" s="77"/>
      <c r="M29" s="84" t="n">
        <v>0</v>
      </c>
      <c r="N29" s="77"/>
      <c r="O29" s="77"/>
      <c r="P29" s="74" t="n">
        <v>2</v>
      </c>
      <c r="Q29" s="77"/>
      <c r="R29" s="77"/>
    </row>
    <row r="30" customFormat="false" ht="19.5" hidden="false" customHeight="true" outlineLevel="0" collapsed="false">
      <c r="A30" s="40"/>
      <c r="B30" s="19" t="s">
        <v>144</v>
      </c>
      <c r="C30" s="11" t="s">
        <v>33</v>
      </c>
      <c r="D30" s="74" t="n">
        <v>3</v>
      </c>
      <c r="E30" s="18"/>
      <c r="F30" s="18"/>
      <c r="G30" s="74" t="n">
        <v>3</v>
      </c>
      <c r="H30" s="18"/>
      <c r="I30" s="18"/>
      <c r="J30" s="74" t="n">
        <v>3</v>
      </c>
      <c r="K30" s="18"/>
      <c r="L30" s="18"/>
      <c r="M30" s="84" t="n">
        <v>0</v>
      </c>
      <c r="N30" s="18"/>
      <c r="O30" s="18"/>
      <c r="P30" s="74" t="n">
        <v>3</v>
      </c>
      <c r="Q30" s="18"/>
      <c r="R30" s="18"/>
    </row>
    <row r="31" customFormat="false" ht="19.5" hidden="false" customHeight="true" outlineLevel="0" collapsed="false">
      <c r="A31" s="40"/>
      <c r="B31" s="76" t="s">
        <v>145</v>
      </c>
      <c r="C31" s="11" t="s">
        <v>33</v>
      </c>
      <c r="D31" s="74" t="n">
        <v>1</v>
      </c>
      <c r="E31" s="77"/>
      <c r="F31" s="77"/>
      <c r="G31" s="74" t="n">
        <v>1</v>
      </c>
      <c r="H31" s="77"/>
      <c r="I31" s="77"/>
      <c r="J31" s="74" t="n">
        <v>1</v>
      </c>
      <c r="K31" s="77"/>
      <c r="L31" s="77"/>
      <c r="M31" s="84" t="n">
        <v>0</v>
      </c>
      <c r="N31" s="77"/>
      <c r="O31" s="77"/>
      <c r="P31" s="74" t="n">
        <v>1</v>
      </c>
      <c r="Q31" s="77"/>
      <c r="R31" s="77"/>
    </row>
    <row r="32" customFormat="false" ht="21.75" hidden="false" customHeight="true" outlineLevel="0" collapsed="false">
      <c r="A32" s="6" t="s">
        <v>130</v>
      </c>
      <c r="B32" s="6"/>
      <c r="C32" s="95"/>
      <c r="D32" s="96" t="n">
        <f aca="false">COUNTIF(D28:D31,"&gt;0")</f>
        <v>4</v>
      </c>
      <c r="E32" s="97" t="n">
        <f aca="false">IF(COUNTIF(D28:D31,"&gt;0")&gt;=3,3,IF(COUNTIF(D28:D31,"&gt;0")&gt;=2,2,IF(COUNTIF(D28:D31,"&gt;0")&gt;=1,1,0)))</f>
        <v>3</v>
      </c>
      <c r="F32" s="98" t="n">
        <f aca="false">IFERROR(AVERAGEIF(D28:D31,"&gt;0")/3*100,0)</f>
        <v>58.3333333333333</v>
      </c>
      <c r="G32" s="96" t="n">
        <f aca="false">COUNTIF(G28:G31,"&gt;0")</f>
        <v>4</v>
      </c>
      <c r="H32" s="97" t="n">
        <f aca="false">IF(COUNTIF(G28:G31,"&gt;0")&gt;=3,3,IF(COUNTIF(G28:G31,"&gt;0")&gt;=2,2,IF(COUNTIF(G28:G31,"&gt;0")&gt;=1,1,0)))</f>
        <v>3</v>
      </c>
      <c r="I32" s="98" t="n">
        <f aca="false">IFERROR(AVERAGEIF(G28:G31,"&gt;0")/3*100,0)</f>
        <v>58.3333333333333</v>
      </c>
      <c r="J32" s="96" t="n">
        <f aca="false">COUNTIF(J28:J31,"&gt;0")</f>
        <v>4</v>
      </c>
      <c r="K32" s="97" t="n">
        <f aca="false">IF(COUNTIF(J28:J31,"&gt;0")&gt;=3,3,IF(COUNTIF(J28:J31,"&gt;0")&gt;=2,2,IF(COUNTIF(J28:J31,"&gt;0")&gt;=1,1,0)))</f>
        <v>3</v>
      </c>
      <c r="L32" s="98" t="n">
        <f aca="false">IFERROR(AVERAGEIF(J28:J31,"&gt;0")/3*100,0)</f>
        <v>58.3333333333333</v>
      </c>
      <c r="M32" s="96" t="n">
        <f aca="false">COUNTIF(M28:M31,"&gt;0")</f>
        <v>0</v>
      </c>
      <c r="N32" s="97" t="n">
        <f aca="false">IF(COUNTIF(M28:M31,"&gt;0")&gt;=3,3,IF(COUNTIF(M28:M31,"&gt;0")&gt;=2,2,IF(COUNTIF(M28:M31,"&gt;0")&gt;=1,1,0)))</f>
        <v>0</v>
      </c>
      <c r="O32" s="98" t="n">
        <f aca="false">IFERROR(AVERAGEIF(M28:M31,"&gt;0")/3*100,0)</f>
        <v>0</v>
      </c>
      <c r="P32" s="96" t="n">
        <f aca="false">COUNTIF(P28:P31,"&gt;0")</f>
        <v>4</v>
      </c>
      <c r="Q32" s="97" t="n">
        <f aca="false">IF(COUNTIF(P28:P31,"&gt;0")&gt;=3,3,IF(COUNTIF(P28:P31,"&gt;0")&gt;=2,2,IF(COUNTIF(P28:P31,"&gt;0")&gt;=1,1,0)))</f>
        <v>3</v>
      </c>
      <c r="R32" s="98" t="n">
        <f aca="false">IFERROR(AVERAGEIF(P28:P31,"&gt;0")/3*100,0)</f>
        <v>58.3333333333333</v>
      </c>
    </row>
    <row r="34" customFormat="false" ht="25.5" hidden="false" customHeight="true" outlineLevel="0" collapsed="false">
      <c r="A34" s="4" t="s">
        <v>146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customFormat="false" ht="19.5" hidden="false" customHeight="true" outlineLevel="0" collapsed="false">
      <c r="A35" s="42" t="s">
        <v>54</v>
      </c>
      <c r="B35" s="99" t="s">
        <v>147</v>
      </c>
      <c r="C35" s="11" t="s">
        <v>33</v>
      </c>
      <c r="D35" s="74" t="n">
        <v>1</v>
      </c>
      <c r="E35" s="100"/>
      <c r="F35" s="100"/>
      <c r="G35" s="74" t="n">
        <v>1</v>
      </c>
      <c r="H35" s="100"/>
      <c r="I35" s="100"/>
      <c r="J35" s="74" t="n">
        <v>1</v>
      </c>
      <c r="K35" s="100"/>
      <c r="L35" s="100"/>
      <c r="M35" s="74" t="n">
        <v>1</v>
      </c>
      <c r="N35" s="100"/>
      <c r="O35" s="100"/>
      <c r="P35" s="74" t="n">
        <v>1</v>
      </c>
      <c r="Q35" s="100"/>
      <c r="R35" s="100"/>
    </row>
    <row r="36" customFormat="false" ht="19.5" hidden="false" customHeight="true" outlineLevel="0" collapsed="false">
      <c r="A36" s="42"/>
      <c r="B36" s="76" t="s">
        <v>148</v>
      </c>
      <c r="C36" s="11" t="s">
        <v>33</v>
      </c>
      <c r="D36" s="74" t="n">
        <v>2</v>
      </c>
      <c r="E36" s="77"/>
      <c r="F36" s="77"/>
      <c r="G36" s="74" t="n">
        <v>2</v>
      </c>
      <c r="H36" s="77"/>
      <c r="I36" s="77"/>
      <c r="J36" s="74" t="n">
        <v>2</v>
      </c>
      <c r="K36" s="77"/>
      <c r="L36" s="77"/>
      <c r="M36" s="74" t="n">
        <v>2</v>
      </c>
      <c r="N36" s="77"/>
      <c r="O36" s="77"/>
      <c r="P36" s="74" t="n">
        <v>2</v>
      </c>
      <c r="Q36" s="77"/>
      <c r="R36" s="77"/>
    </row>
    <row r="37" customFormat="false" ht="19.5" hidden="false" customHeight="true" outlineLevel="0" collapsed="false">
      <c r="A37" s="42"/>
      <c r="B37" s="99" t="s">
        <v>149</v>
      </c>
      <c r="C37" s="11" t="s">
        <v>33</v>
      </c>
      <c r="D37" s="74" t="n">
        <v>3</v>
      </c>
      <c r="E37" s="100"/>
      <c r="F37" s="100"/>
      <c r="G37" s="74" t="n">
        <v>3</v>
      </c>
      <c r="H37" s="100"/>
      <c r="I37" s="100"/>
      <c r="J37" s="74" t="n">
        <v>3</v>
      </c>
      <c r="K37" s="100"/>
      <c r="L37" s="100"/>
      <c r="M37" s="74" t="n">
        <v>3</v>
      </c>
      <c r="N37" s="100"/>
      <c r="O37" s="100"/>
      <c r="P37" s="74" t="n">
        <v>3</v>
      </c>
      <c r="Q37" s="100"/>
      <c r="R37" s="100"/>
    </row>
    <row r="38" customFormat="false" ht="19.5" hidden="false" customHeight="true" outlineLevel="0" collapsed="false">
      <c r="A38" s="42"/>
      <c r="B38" s="76" t="s">
        <v>145</v>
      </c>
      <c r="C38" s="11" t="s">
        <v>33</v>
      </c>
      <c r="D38" s="74" t="n">
        <v>1</v>
      </c>
      <c r="E38" s="77"/>
      <c r="F38" s="77"/>
      <c r="G38" s="74" t="n">
        <v>1</v>
      </c>
      <c r="H38" s="77"/>
      <c r="I38" s="77"/>
      <c r="J38" s="74" t="n">
        <v>1</v>
      </c>
      <c r="K38" s="77"/>
      <c r="L38" s="77"/>
      <c r="M38" s="74" t="n">
        <v>1</v>
      </c>
      <c r="N38" s="77"/>
      <c r="O38" s="77"/>
      <c r="P38" s="74" t="n">
        <v>1</v>
      </c>
      <c r="Q38" s="77"/>
      <c r="R38" s="77"/>
    </row>
    <row r="39" customFormat="false" ht="21.75" hidden="false" customHeight="true" outlineLevel="0" collapsed="false">
      <c r="A39" s="101" t="s">
        <v>130</v>
      </c>
      <c r="B39" s="101"/>
      <c r="C39" s="102"/>
      <c r="D39" s="103" t="n">
        <f aca="false">COUNTIF(D35:D38,"&gt;0")</f>
        <v>4</v>
      </c>
      <c r="E39" s="104" t="n">
        <f aca="false">IF(COUNTIF(D35:D38,"&gt;0")&gt;=3,3,IF(COUNTIF(D35:D38,"&gt;0")&gt;=2,2,IF(COUNTIF(D35:D38,"&gt;0")&gt;=1,1,0)))</f>
        <v>3</v>
      </c>
      <c r="F39" s="105" t="n">
        <f aca="false">IFERROR(AVERAGEIF(D35:D38,"&gt;0")/3*100,0)</f>
        <v>58.3333333333333</v>
      </c>
      <c r="G39" s="103" t="n">
        <f aca="false">COUNTIF(G35:G38,"&gt;0")</f>
        <v>4</v>
      </c>
      <c r="H39" s="104" t="n">
        <f aca="false">IF(COUNTIF(G35:G38,"&gt;0")&gt;=3,3,IF(COUNTIF(G35:G38,"&gt;0")&gt;=2,2,IF(COUNTIF(G35:G38,"&gt;0")&gt;=1,1,0)))</f>
        <v>3</v>
      </c>
      <c r="I39" s="105" t="n">
        <f aca="false">IFERROR(AVERAGEIF(G35:G38,"&gt;0")/3*100,0)</f>
        <v>58.3333333333333</v>
      </c>
      <c r="J39" s="103" t="n">
        <f aca="false">COUNTIF(J35:J38,"&gt;0")</f>
        <v>4</v>
      </c>
      <c r="K39" s="104" t="n">
        <f aca="false">IF(COUNTIF(J35:J38,"&gt;0")&gt;=3,3,IF(COUNTIF(J35:J38,"&gt;0")&gt;=2,2,IF(COUNTIF(J35:J38,"&gt;0")&gt;=1,1,0)))</f>
        <v>3</v>
      </c>
      <c r="L39" s="105" t="n">
        <f aca="false">IFERROR(AVERAGEIF(J35:J38,"&gt;0")/3*100,0)</f>
        <v>58.3333333333333</v>
      </c>
      <c r="M39" s="103" t="n">
        <f aca="false">COUNTIF(M35:M38,"&gt;0")</f>
        <v>4</v>
      </c>
      <c r="N39" s="104" t="n">
        <f aca="false">IF(COUNTIF(M35:M38,"&gt;0")&gt;=3,3,IF(COUNTIF(M35:M38,"&gt;0")&gt;=2,2,IF(COUNTIF(M35:M38,"&gt;0")&gt;=1,1,0)))</f>
        <v>3</v>
      </c>
      <c r="O39" s="105" t="n">
        <f aca="false">IFERROR(AVERAGEIF(M35:M38,"&gt;0")/3*100,0)</f>
        <v>58.3333333333333</v>
      </c>
      <c r="P39" s="103" t="n">
        <f aca="false">COUNTIF(P35:P38,"&gt;0")</f>
        <v>4</v>
      </c>
      <c r="Q39" s="104" t="n">
        <f aca="false">IF(COUNTIF(P35:P38,"&gt;0")&gt;=3,3,IF(COUNTIF(P35:P38,"&gt;0")&gt;=2,2,IF(COUNTIF(P35:P38,"&gt;0")&gt;=1,1,0)))</f>
        <v>3</v>
      </c>
      <c r="R39" s="105" t="n">
        <f aca="false">IFERROR(AVERAGEIF(P35:P38,"&gt;0")/3*100,0)</f>
        <v>58.3333333333333</v>
      </c>
    </row>
    <row r="41" customFormat="false" ht="25.5" hidden="false" customHeight="true" outlineLevel="0" collapsed="false">
      <c r="A41" s="106" t="s">
        <v>150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 customFormat="false" ht="19.5" hidden="false" customHeight="true" outlineLevel="0" collapsed="false">
      <c r="A42" s="45" t="s">
        <v>57</v>
      </c>
      <c r="B42" s="107" t="s">
        <v>151</v>
      </c>
      <c r="C42" s="11" t="s">
        <v>33</v>
      </c>
      <c r="D42" s="74" t="n">
        <v>1</v>
      </c>
      <c r="E42" s="108"/>
      <c r="F42" s="108"/>
      <c r="G42" s="74" t="n">
        <v>1</v>
      </c>
      <c r="H42" s="108"/>
      <c r="I42" s="108"/>
      <c r="J42" s="74" t="n">
        <v>1</v>
      </c>
      <c r="K42" s="108"/>
      <c r="L42" s="108"/>
      <c r="M42" s="74" t="n">
        <v>1</v>
      </c>
      <c r="N42" s="108"/>
      <c r="O42" s="108"/>
      <c r="P42" s="74" t="n">
        <v>1</v>
      </c>
      <c r="Q42" s="108"/>
      <c r="R42" s="108"/>
    </row>
    <row r="43" customFormat="false" ht="19.5" hidden="false" customHeight="true" outlineLevel="0" collapsed="false">
      <c r="A43" s="45"/>
      <c r="B43" s="76" t="s">
        <v>152</v>
      </c>
      <c r="C43" s="11" t="s">
        <v>33</v>
      </c>
      <c r="D43" s="74" t="n">
        <v>2</v>
      </c>
      <c r="E43" s="77"/>
      <c r="F43" s="77"/>
      <c r="G43" s="74" t="n">
        <v>2</v>
      </c>
      <c r="H43" s="77"/>
      <c r="I43" s="77"/>
      <c r="J43" s="74" t="n">
        <v>2</v>
      </c>
      <c r="K43" s="77"/>
      <c r="L43" s="77"/>
      <c r="M43" s="74" t="n">
        <v>2</v>
      </c>
      <c r="N43" s="77"/>
      <c r="O43" s="77"/>
      <c r="P43" s="74" t="n">
        <v>2</v>
      </c>
      <c r="Q43" s="77"/>
      <c r="R43" s="77"/>
    </row>
    <row r="44" customFormat="false" ht="19.5" hidden="false" customHeight="true" outlineLevel="0" collapsed="false">
      <c r="A44" s="45"/>
      <c r="B44" s="107" t="s">
        <v>153</v>
      </c>
      <c r="C44" s="11" t="s">
        <v>33</v>
      </c>
      <c r="D44" s="74" t="n">
        <v>3</v>
      </c>
      <c r="E44" s="108"/>
      <c r="F44" s="108"/>
      <c r="G44" s="74" t="n">
        <v>3</v>
      </c>
      <c r="H44" s="108"/>
      <c r="I44" s="108"/>
      <c r="J44" s="74" t="n">
        <v>3</v>
      </c>
      <c r="K44" s="108"/>
      <c r="L44" s="108"/>
      <c r="M44" s="74" t="n">
        <v>3</v>
      </c>
      <c r="N44" s="108"/>
      <c r="O44" s="108"/>
      <c r="P44" s="74" t="n">
        <v>3</v>
      </c>
      <c r="Q44" s="108"/>
      <c r="R44" s="108"/>
    </row>
    <row r="45" customFormat="false" ht="19.5" hidden="false" customHeight="true" outlineLevel="0" collapsed="false">
      <c r="A45" s="45"/>
      <c r="B45" s="76" t="s">
        <v>154</v>
      </c>
      <c r="C45" s="11" t="s">
        <v>33</v>
      </c>
      <c r="D45" s="74" t="n">
        <v>1</v>
      </c>
      <c r="E45" s="77"/>
      <c r="F45" s="77"/>
      <c r="G45" s="74" t="n">
        <v>1</v>
      </c>
      <c r="H45" s="77"/>
      <c r="I45" s="77"/>
      <c r="J45" s="74" t="n">
        <v>1</v>
      </c>
      <c r="K45" s="77"/>
      <c r="L45" s="77"/>
      <c r="M45" s="74" t="n">
        <v>1</v>
      </c>
      <c r="N45" s="77"/>
      <c r="O45" s="77"/>
      <c r="P45" s="74" t="n">
        <v>1</v>
      </c>
      <c r="Q45" s="77"/>
      <c r="R45" s="77"/>
    </row>
    <row r="46" customFormat="false" ht="21.75" hidden="false" customHeight="true" outlineLevel="0" collapsed="false">
      <c r="A46" s="109" t="s">
        <v>130</v>
      </c>
      <c r="B46" s="109"/>
      <c r="C46" s="110"/>
      <c r="D46" s="111" t="n">
        <f aca="false">COUNTIF(D42:D45,"&gt;0")</f>
        <v>4</v>
      </c>
      <c r="E46" s="112" t="n">
        <f aca="false">IF(COUNTIF(D42:D45,"&gt;0")&gt;=3,3,IF(COUNTIF(D42:D45,"&gt;0")&gt;=2,2,IF(COUNTIF(D42:D45,"&gt;0")&gt;=1,1,0)))</f>
        <v>3</v>
      </c>
      <c r="F46" s="113" t="n">
        <f aca="false">IFERROR(AVERAGEIF(D42:D45,"&gt;0")/3*100,0)</f>
        <v>58.3333333333333</v>
      </c>
      <c r="G46" s="111" t="n">
        <f aca="false">COUNTIF(G42:G45,"&gt;0")</f>
        <v>4</v>
      </c>
      <c r="H46" s="112" t="n">
        <f aca="false">IF(COUNTIF(G42:G45,"&gt;0")&gt;=3,3,IF(COUNTIF(G42:G45,"&gt;0")&gt;=2,2,IF(COUNTIF(G42:G45,"&gt;0")&gt;=1,1,0)))</f>
        <v>3</v>
      </c>
      <c r="I46" s="113" t="n">
        <f aca="false">IFERROR(AVERAGEIF(G42:G45,"&gt;0")/3*100,0)</f>
        <v>58.3333333333333</v>
      </c>
      <c r="J46" s="111" t="n">
        <f aca="false">COUNTIF(J42:J45,"&gt;0")</f>
        <v>4</v>
      </c>
      <c r="K46" s="112" t="n">
        <f aca="false">IF(COUNTIF(J42:J45,"&gt;0")&gt;=3,3,IF(COUNTIF(J42:J45,"&gt;0")&gt;=2,2,IF(COUNTIF(J42:J45,"&gt;0")&gt;=1,1,0)))</f>
        <v>3</v>
      </c>
      <c r="L46" s="113" t="n">
        <f aca="false">IFERROR(AVERAGEIF(J42:J45,"&gt;0")/3*100,0)</f>
        <v>58.3333333333333</v>
      </c>
      <c r="M46" s="111" t="n">
        <f aca="false">COUNTIF(M42:M45,"&gt;0")</f>
        <v>4</v>
      </c>
      <c r="N46" s="112" t="n">
        <f aca="false">IF(COUNTIF(M42:M45,"&gt;0")&gt;=3,3,IF(COUNTIF(M42:M45,"&gt;0")&gt;=2,2,IF(COUNTIF(M42:M45,"&gt;0")&gt;=1,1,0)))</f>
        <v>3</v>
      </c>
      <c r="O46" s="113" t="n">
        <f aca="false">IFERROR(AVERAGEIF(M42:M45,"&gt;0")/3*100,0)</f>
        <v>58.3333333333333</v>
      </c>
      <c r="P46" s="111" t="n">
        <f aca="false">COUNTIF(P42:P45,"&gt;0")</f>
        <v>4</v>
      </c>
      <c r="Q46" s="112" t="n">
        <f aca="false">IF(COUNTIF(P42:P45,"&gt;0")&gt;=3,3,IF(COUNTIF(P42:P45,"&gt;0")&gt;=2,2,IF(COUNTIF(P42:P45,"&gt;0")&gt;=1,1,0)))</f>
        <v>3</v>
      </c>
      <c r="R46" s="113" t="n">
        <f aca="false">IFERROR(AVERAGEIF(P42:P45,"&gt;0")/3*100,0)</f>
        <v>58.3333333333333</v>
      </c>
    </row>
    <row r="48" customFormat="false" ht="25.5" hidden="false" customHeight="true" outlineLevel="0" collapsed="false">
      <c r="A48" s="114" t="s">
        <v>155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 customFormat="false" ht="19.5" hidden="false" customHeight="true" outlineLevel="0" collapsed="false">
      <c r="A49" s="48" t="s">
        <v>60</v>
      </c>
      <c r="B49" s="115" t="s">
        <v>156</v>
      </c>
      <c r="C49" s="11" t="s">
        <v>33</v>
      </c>
      <c r="D49" s="84" t="n">
        <v>0</v>
      </c>
      <c r="E49" s="116"/>
      <c r="F49" s="116"/>
      <c r="G49" s="84" t="n">
        <v>0</v>
      </c>
      <c r="H49" s="116"/>
      <c r="I49" s="116"/>
      <c r="J49" s="74" t="n">
        <v>1</v>
      </c>
      <c r="K49" s="116"/>
      <c r="L49" s="116"/>
      <c r="M49" s="84" t="n">
        <v>0</v>
      </c>
      <c r="N49" s="116"/>
      <c r="O49" s="116"/>
      <c r="P49" s="74" t="n">
        <v>1</v>
      </c>
      <c r="Q49" s="116"/>
      <c r="R49" s="116"/>
    </row>
    <row r="50" customFormat="false" ht="19.5" hidden="false" customHeight="true" outlineLevel="0" collapsed="false">
      <c r="A50" s="48"/>
      <c r="B50" s="76" t="s">
        <v>157</v>
      </c>
      <c r="C50" s="11" t="s">
        <v>33</v>
      </c>
      <c r="D50" s="84" t="n">
        <v>0</v>
      </c>
      <c r="E50" s="77"/>
      <c r="F50" s="77"/>
      <c r="G50" s="84" t="n">
        <v>0</v>
      </c>
      <c r="H50" s="77"/>
      <c r="I50" s="77"/>
      <c r="J50" s="74" t="n">
        <v>2</v>
      </c>
      <c r="K50" s="77"/>
      <c r="L50" s="77"/>
      <c r="M50" s="84" t="n">
        <v>0</v>
      </c>
      <c r="N50" s="77"/>
      <c r="O50" s="77"/>
      <c r="P50" s="74" t="n">
        <v>2</v>
      </c>
      <c r="Q50" s="77"/>
      <c r="R50" s="77"/>
    </row>
    <row r="51" customFormat="false" ht="19.5" hidden="false" customHeight="true" outlineLevel="0" collapsed="false">
      <c r="A51" s="48"/>
      <c r="B51" s="115" t="s">
        <v>158</v>
      </c>
      <c r="C51" s="11" t="s">
        <v>33</v>
      </c>
      <c r="D51" s="84" t="n">
        <v>0</v>
      </c>
      <c r="E51" s="116"/>
      <c r="F51" s="116"/>
      <c r="G51" s="84" t="n">
        <v>0</v>
      </c>
      <c r="H51" s="116"/>
      <c r="I51" s="116"/>
      <c r="J51" s="74" t="n">
        <v>3</v>
      </c>
      <c r="K51" s="116"/>
      <c r="L51" s="116"/>
      <c r="M51" s="84" t="n">
        <v>0</v>
      </c>
      <c r="N51" s="116"/>
      <c r="O51" s="116"/>
      <c r="P51" s="74" t="n">
        <v>3</v>
      </c>
      <c r="Q51" s="116"/>
      <c r="R51" s="116"/>
    </row>
    <row r="52" customFormat="false" ht="19.5" hidden="false" customHeight="true" outlineLevel="0" collapsed="false">
      <c r="A52" s="48"/>
      <c r="B52" s="76" t="s">
        <v>159</v>
      </c>
      <c r="C52" s="11" t="s">
        <v>33</v>
      </c>
      <c r="D52" s="84" t="n">
        <v>0</v>
      </c>
      <c r="E52" s="77"/>
      <c r="F52" s="77"/>
      <c r="G52" s="84" t="n">
        <v>0</v>
      </c>
      <c r="H52" s="77"/>
      <c r="I52" s="77"/>
      <c r="J52" s="74" t="n">
        <v>1</v>
      </c>
      <c r="K52" s="77"/>
      <c r="L52" s="77"/>
      <c r="M52" s="84" t="n">
        <v>0</v>
      </c>
      <c r="N52" s="77"/>
      <c r="O52" s="77"/>
      <c r="P52" s="74" t="n">
        <v>1</v>
      </c>
      <c r="Q52" s="77"/>
      <c r="R52" s="77"/>
    </row>
    <row r="53" customFormat="false" ht="21.75" hidden="false" customHeight="true" outlineLevel="0" collapsed="false">
      <c r="A53" s="117" t="s">
        <v>130</v>
      </c>
      <c r="B53" s="117"/>
      <c r="C53" s="118"/>
      <c r="D53" s="119" t="n">
        <f aca="false">COUNTIF(D49:D52,"&gt;0")</f>
        <v>0</v>
      </c>
      <c r="E53" s="120" t="n">
        <f aca="false">IF(COUNTIF(D49:D52,"&gt;0")&gt;=3,3,IF(COUNTIF(D49:D52,"&gt;0")&gt;=2,2,IF(COUNTIF(D49:D52,"&gt;0")&gt;=1,1,0)))</f>
        <v>0</v>
      </c>
      <c r="F53" s="121" t="n">
        <f aca="false">IFERROR(AVERAGEIF(D49:D52,"&gt;0")/3*100,0)</f>
        <v>0</v>
      </c>
      <c r="G53" s="119" t="n">
        <f aca="false">COUNTIF(G49:G52,"&gt;0")</f>
        <v>0</v>
      </c>
      <c r="H53" s="120" t="n">
        <f aca="false">IF(COUNTIF(G49:G52,"&gt;0")&gt;=3,3,IF(COUNTIF(G49:G52,"&gt;0")&gt;=2,2,IF(COUNTIF(G49:G52,"&gt;0")&gt;=1,1,0)))</f>
        <v>0</v>
      </c>
      <c r="I53" s="121" t="n">
        <f aca="false">IFERROR(AVERAGEIF(G49:G52,"&gt;0")/3*100,0)</f>
        <v>0</v>
      </c>
      <c r="J53" s="119" t="n">
        <f aca="false">COUNTIF(J49:J52,"&gt;0")</f>
        <v>4</v>
      </c>
      <c r="K53" s="120" t="n">
        <f aca="false">IF(COUNTIF(J49:J52,"&gt;0")&gt;=3,3,IF(COUNTIF(J49:J52,"&gt;0")&gt;=2,2,IF(COUNTIF(J49:J52,"&gt;0")&gt;=1,1,0)))</f>
        <v>3</v>
      </c>
      <c r="L53" s="121" t="n">
        <f aca="false">IFERROR(AVERAGEIF(J49:J52,"&gt;0")/3*100,0)</f>
        <v>58.3333333333333</v>
      </c>
      <c r="M53" s="119" t="n">
        <f aca="false">COUNTIF(M49:M52,"&gt;0")</f>
        <v>0</v>
      </c>
      <c r="N53" s="120" t="n">
        <f aca="false">IF(COUNTIF(M49:M52,"&gt;0")&gt;=3,3,IF(COUNTIF(M49:M52,"&gt;0")&gt;=2,2,IF(COUNTIF(M49:M52,"&gt;0")&gt;=1,1,0)))</f>
        <v>0</v>
      </c>
      <c r="O53" s="121" t="n">
        <f aca="false">IFERROR(AVERAGEIF(M49:M52,"&gt;0")/3*100,0)</f>
        <v>0</v>
      </c>
      <c r="P53" s="119" t="n">
        <f aca="false">COUNTIF(P49:P52,"&gt;0")</f>
        <v>4</v>
      </c>
      <c r="Q53" s="120" t="n">
        <f aca="false">IF(COUNTIF(P49:P52,"&gt;0")&gt;=3,3,IF(COUNTIF(P49:P52,"&gt;0")&gt;=2,2,IF(COUNTIF(P49:P52,"&gt;0")&gt;=1,1,0)))</f>
        <v>3</v>
      </c>
      <c r="R53" s="121" t="n">
        <f aca="false">IFERROR(AVERAGEIF(P49:P52,"&gt;0")/3*100,0)</f>
        <v>58.3333333333333</v>
      </c>
    </row>
    <row r="55" customFormat="false" ht="25.5" hidden="false" customHeight="true" outlineLevel="0" collapsed="false">
      <c r="A55" s="122" t="s">
        <v>160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customFormat="false" ht="19.5" hidden="false" customHeight="true" outlineLevel="0" collapsed="false">
      <c r="A56" s="51" t="s">
        <v>63</v>
      </c>
      <c r="B56" s="123" t="s">
        <v>161</v>
      </c>
      <c r="C56" s="11" t="s">
        <v>33</v>
      </c>
      <c r="D56" s="84" t="n">
        <v>0</v>
      </c>
      <c r="E56" s="124"/>
      <c r="F56" s="124"/>
      <c r="G56" s="74" t="n">
        <v>1</v>
      </c>
      <c r="H56" s="124"/>
      <c r="I56" s="124"/>
      <c r="J56" s="74" t="n">
        <v>1</v>
      </c>
      <c r="K56" s="124"/>
      <c r="L56" s="124"/>
      <c r="M56" s="74" t="n">
        <v>1</v>
      </c>
      <c r="N56" s="124"/>
      <c r="O56" s="124"/>
      <c r="P56" s="74" t="n">
        <v>1</v>
      </c>
      <c r="Q56" s="124"/>
      <c r="R56" s="124"/>
    </row>
    <row r="57" customFormat="false" ht="19.5" hidden="false" customHeight="true" outlineLevel="0" collapsed="false">
      <c r="A57" s="51"/>
      <c r="B57" s="76" t="s">
        <v>162</v>
      </c>
      <c r="C57" s="11" t="s">
        <v>33</v>
      </c>
      <c r="D57" s="84" t="n">
        <v>0</v>
      </c>
      <c r="E57" s="77"/>
      <c r="F57" s="77"/>
      <c r="G57" s="74" t="n">
        <v>2</v>
      </c>
      <c r="H57" s="77"/>
      <c r="I57" s="77"/>
      <c r="J57" s="74" t="n">
        <v>2</v>
      </c>
      <c r="K57" s="77"/>
      <c r="L57" s="77"/>
      <c r="M57" s="74" t="n">
        <v>2</v>
      </c>
      <c r="N57" s="77"/>
      <c r="O57" s="77"/>
      <c r="P57" s="74" t="n">
        <v>2</v>
      </c>
      <c r="Q57" s="77"/>
      <c r="R57" s="77"/>
    </row>
    <row r="58" customFormat="false" ht="19.5" hidden="false" customHeight="true" outlineLevel="0" collapsed="false">
      <c r="A58" s="51"/>
      <c r="B58" s="123" t="s">
        <v>163</v>
      </c>
      <c r="C58" s="11" t="s">
        <v>33</v>
      </c>
      <c r="D58" s="84" t="n">
        <v>0</v>
      </c>
      <c r="E58" s="124"/>
      <c r="F58" s="124"/>
      <c r="G58" s="74" t="n">
        <v>3</v>
      </c>
      <c r="H58" s="124"/>
      <c r="I58" s="124"/>
      <c r="J58" s="74" t="n">
        <v>3</v>
      </c>
      <c r="K58" s="124"/>
      <c r="L58" s="124"/>
      <c r="M58" s="74" t="n">
        <v>3</v>
      </c>
      <c r="N58" s="124"/>
      <c r="O58" s="124"/>
      <c r="P58" s="74" t="n">
        <v>3</v>
      </c>
      <c r="Q58" s="124"/>
      <c r="R58" s="124"/>
    </row>
    <row r="59" customFormat="false" ht="19.5" hidden="false" customHeight="true" outlineLevel="0" collapsed="false">
      <c r="A59" s="51"/>
      <c r="B59" s="76" t="s">
        <v>164</v>
      </c>
      <c r="C59" s="11" t="s">
        <v>33</v>
      </c>
      <c r="D59" s="84" t="n">
        <v>0</v>
      </c>
      <c r="E59" s="77"/>
      <c r="F59" s="77"/>
      <c r="G59" s="74" t="n">
        <v>1</v>
      </c>
      <c r="H59" s="77"/>
      <c r="I59" s="77"/>
      <c r="J59" s="74" t="n">
        <v>1</v>
      </c>
      <c r="K59" s="77"/>
      <c r="L59" s="77"/>
      <c r="M59" s="74" t="n">
        <v>1</v>
      </c>
      <c r="N59" s="77"/>
      <c r="O59" s="77"/>
      <c r="P59" s="74" t="n">
        <v>1</v>
      </c>
      <c r="Q59" s="77"/>
      <c r="R59" s="77"/>
    </row>
    <row r="60" customFormat="false" ht="21.75" hidden="false" customHeight="true" outlineLevel="0" collapsed="false">
      <c r="A60" s="125" t="s">
        <v>130</v>
      </c>
      <c r="B60" s="125"/>
      <c r="C60" s="126"/>
      <c r="D60" s="127" t="n">
        <f aca="false">COUNTIF(D56:D59,"&gt;0")</f>
        <v>0</v>
      </c>
      <c r="E60" s="128" t="n">
        <f aca="false">IF(COUNTIF(D56:D59,"&gt;0")&gt;=3,3,IF(COUNTIF(D56:D59,"&gt;0")&gt;=2,2,IF(COUNTIF(D56:D59,"&gt;0")&gt;=1,1,0)))</f>
        <v>0</v>
      </c>
      <c r="F60" s="129" t="n">
        <f aca="false">IFERROR(AVERAGEIF(D56:D59,"&gt;0")/3*100,0)</f>
        <v>0</v>
      </c>
      <c r="G60" s="127" t="n">
        <f aca="false">COUNTIF(G56:G59,"&gt;0")</f>
        <v>4</v>
      </c>
      <c r="H60" s="128" t="n">
        <f aca="false">IF(COUNTIF(G56:G59,"&gt;0")&gt;=3,3,IF(COUNTIF(G56:G59,"&gt;0")&gt;=2,2,IF(COUNTIF(G56:G59,"&gt;0")&gt;=1,1,0)))</f>
        <v>3</v>
      </c>
      <c r="I60" s="129" t="n">
        <f aca="false">IFERROR(AVERAGEIF(G56:G59,"&gt;0")/3*100,0)</f>
        <v>58.3333333333333</v>
      </c>
      <c r="J60" s="127" t="n">
        <f aca="false">COUNTIF(J56:J59,"&gt;0")</f>
        <v>4</v>
      </c>
      <c r="K60" s="128" t="n">
        <f aca="false">IF(COUNTIF(J56:J59,"&gt;0")&gt;=3,3,IF(COUNTIF(J56:J59,"&gt;0")&gt;=2,2,IF(COUNTIF(J56:J59,"&gt;0")&gt;=1,1,0)))</f>
        <v>3</v>
      </c>
      <c r="L60" s="129" t="n">
        <f aca="false">IFERROR(AVERAGEIF(J56:J59,"&gt;0")/3*100,0)</f>
        <v>58.3333333333333</v>
      </c>
      <c r="M60" s="127" t="n">
        <f aca="false">COUNTIF(M56:M59,"&gt;0")</f>
        <v>4</v>
      </c>
      <c r="N60" s="128" t="n">
        <f aca="false">IF(COUNTIF(M56:M59,"&gt;0")&gt;=3,3,IF(COUNTIF(M56:M59,"&gt;0")&gt;=2,2,IF(COUNTIF(M56:M59,"&gt;0")&gt;=1,1,0)))</f>
        <v>3</v>
      </c>
      <c r="O60" s="129" t="n">
        <f aca="false">IFERROR(AVERAGEIF(M56:M59,"&gt;0")/3*100,0)</f>
        <v>58.3333333333333</v>
      </c>
      <c r="P60" s="127" t="n">
        <f aca="false">COUNTIF(P56:P59,"&gt;0")</f>
        <v>4</v>
      </c>
      <c r="Q60" s="128" t="n">
        <f aca="false">IF(COUNTIF(P56:P59,"&gt;0")&gt;=3,3,IF(COUNTIF(P56:P59,"&gt;0")&gt;=2,2,IF(COUNTIF(P56:P59,"&gt;0")&gt;=1,1,0)))</f>
        <v>3</v>
      </c>
      <c r="R60" s="129" t="n">
        <f aca="false">IFERROR(AVERAGEIF(P56:P59,"&gt;0")/3*100,0)</f>
        <v>58.3333333333333</v>
      </c>
    </row>
  </sheetData>
  <mergeCells count="28">
    <mergeCell ref="A1:U1"/>
    <mergeCell ref="A2:U2"/>
    <mergeCell ref="A4:C4"/>
    <mergeCell ref="H4:U4"/>
    <mergeCell ref="A6:U6"/>
    <mergeCell ref="A7:A10"/>
    <mergeCell ref="A11:B11"/>
    <mergeCell ref="A13:U13"/>
    <mergeCell ref="A14:A17"/>
    <mergeCell ref="A18:B18"/>
    <mergeCell ref="A20:U20"/>
    <mergeCell ref="A21:A24"/>
    <mergeCell ref="A25:B25"/>
    <mergeCell ref="A27:U27"/>
    <mergeCell ref="A28:A31"/>
    <mergeCell ref="A32:B32"/>
    <mergeCell ref="A34:U34"/>
    <mergeCell ref="A35:A38"/>
    <mergeCell ref="A39:B39"/>
    <mergeCell ref="A41:U41"/>
    <mergeCell ref="A42:A45"/>
    <mergeCell ref="A46:B46"/>
    <mergeCell ref="A48:U48"/>
    <mergeCell ref="A49:A52"/>
    <mergeCell ref="A53:B53"/>
    <mergeCell ref="A55:U55"/>
    <mergeCell ref="A56:A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18" min="4" style="1" width="9"/>
  </cols>
  <sheetData>
    <row r="1" customFormat="false" ht="36" hidden="false" customHeight="true" outlineLevel="0" collapsed="false">
      <c r="A1" s="64" t="s">
        <v>165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customFormat="false" ht="13.5" hidden="false" customHeight="true" outlineLevel="0" collapsed="false">
      <c r="A2" s="65" t="s">
        <v>101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customFormat="false" ht="4.5" hidden="false" customHeight="true" outlineLevel="0" collapsed="false"/>
    <row r="4" customFormat="false" ht="18" hidden="false" customHeight="true" outlineLevel="0" collapsed="false">
      <c r="A4" s="66" t="s">
        <v>102</v>
      </c>
      <c r="B4" s="66"/>
      <c r="C4" s="66"/>
      <c r="D4" s="11" t="s">
        <v>103</v>
      </c>
      <c r="E4" s="16" t="s">
        <v>104</v>
      </c>
      <c r="F4" s="21" t="s">
        <v>105</v>
      </c>
      <c r="G4" s="26" t="s">
        <v>106</v>
      </c>
      <c r="H4" s="67" t="s">
        <v>107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customFormat="false" ht="21.75" hidden="false" customHeight="true" outlineLevel="0" collapsed="false">
      <c r="A5" s="10" t="s">
        <v>39</v>
      </c>
      <c r="B5" s="10" t="s">
        <v>108</v>
      </c>
      <c r="C5" s="68" t="s">
        <v>109</v>
      </c>
      <c r="D5" s="69" t="s">
        <v>110</v>
      </c>
      <c r="E5" s="70" t="s">
        <v>111</v>
      </c>
      <c r="F5" s="71" t="s">
        <v>112</v>
      </c>
      <c r="G5" s="69" t="s">
        <v>113</v>
      </c>
      <c r="H5" s="70" t="s">
        <v>114</v>
      </c>
      <c r="I5" s="71" t="s">
        <v>115</v>
      </c>
      <c r="J5" s="69" t="s">
        <v>116</v>
      </c>
      <c r="K5" s="70" t="s">
        <v>117</v>
      </c>
      <c r="L5" s="71" t="s">
        <v>118</v>
      </c>
      <c r="M5" s="69" t="s">
        <v>119</v>
      </c>
      <c r="N5" s="70" t="s">
        <v>120</v>
      </c>
      <c r="O5" s="71" t="s">
        <v>121</v>
      </c>
      <c r="P5" s="69" t="s">
        <v>122</v>
      </c>
      <c r="Q5" s="70" t="s">
        <v>123</v>
      </c>
      <c r="R5" s="71" t="s">
        <v>124</v>
      </c>
    </row>
    <row r="6" customFormat="false" ht="25.5" hidden="false" customHeight="true" outlineLevel="0" collapsed="false">
      <c r="A6" s="72" t="s">
        <v>125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customFormat="false" ht="19.5" hidden="false" customHeight="true" outlineLevel="0" collapsed="false">
      <c r="A7" s="32" t="s">
        <v>42</v>
      </c>
      <c r="B7" s="73" t="s">
        <v>126</v>
      </c>
      <c r="C7" s="11" t="s">
        <v>33</v>
      </c>
      <c r="D7" s="74" t="n">
        <v>1</v>
      </c>
      <c r="E7" s="75"/>
      <c r="F7" s="75"/>
      <c r="G7" s="74" t="n">
        <v>1</v>
      </c>
      <c r="H7" s="75"/>
      <c r="I7" s="75"/>
      <c r="J7" s="74" t="n">
        <v>1</v>
      </c>
      <c r="K7" s="75"/>
      <c r="L7" s="75"/>
      <c r="M7" s="74" t="n">
        <v>1</v>
      </c>
      <c r="N7" s="75"/>
      <c r="O7" s="75"/>
      <c r="P7" s="74" t="n">
        <v>1</v>
      </c>
      <c r="Q7" s="75"/>
      <c r="R7" s="75"/>
    </row>
    <row r="8" customFormat="false" ht="19.5" hidden="false" customHeight="true" outlineLevel="0" collapsed="false">
      <c r="A8" s="32"/>
      <c r="B8" s="76" t="s">
        <v>127</v>
      </c>
      <c r="C8" s="11" t="s">
        <v>33</v>
      </c>
      <c r="D8" s="74" t="n">
        <v>2</v>
      </c>
      <c r="E8" s="77"/>
      <c r="F8" s="77"/>
      <c r="G8" s="74" t="n">
        <v>2</v>
      </c>
      <c r="H8" s="77"/>
      <c r="I8" s="77"/>
      <c r="J8" s="74" t="n">
        <v>2</v>
      </c>
      <c r="K8" s="77"/>
      <c r="L8" s="77"/>
      <c r="M8" s="74" t="n">
        <v>2</v>
      </c>
      <c r="N8" s="77"/>
      <c r="O8" s="77"/>
      <c r="P8" s="74" t="n">
        <v>2</v>
      </c>
      <c r="Q8" s="77"/>
      <c r="R8" s="77"/>
    </row>
    <row r="9" customFormat="false" ht="19.5" hidden="false" customHeight="true" outlineLevel="0" collapsed="false">
      <c r="A9" s="32"/>
      <c r="B9" s="73" t="s">
        <v>128</v>
      </c>
      <c r="C9" s="11" t="s">
        <v>33</v>
      </c>
      <c r="D9" s="74" t="n">
        <v>3</v>
      </c>
      <c r="E9" s="75"/>
      <c r="F9" s="75"/>
      <c r="G9" s="74" t="n">
        <v>3</v>
      </c>
      <c r="H9" s="75"/>
      <c r="I9" s="75"/>
      <c r="J9" s="74" t="n">
        <v>3</v>
      </c>
      <c r="K9" s="75"/>
      <c r="L9" s="75"/>
      <c r="M9" s="74" t="n">
        <v>3</v>
      </c>
      <c r="N9" s="75"/>
      <c r="O9" s="75"/>
      <c r="P9" s="74" t="n">
        <v>3</v>
      </c>
      <c r="Q9" s="75"/>
      <c r="R9" s="75"/>
    </row>
    <row r="10" customFormat="false" ht="19.5" hidden="false" customHeight="true" outlineLevel="0" collapsed="false">
      <c r="A10" s="32"/>
      <c r="B10" s="76" t="s">
        <v>129</v>
      </c>
      <c r="C10" s="11" t="s">
        <v>33</v>
      </c>
      <c r="D10" s="74" t="n">
        <v>1</v>
      </c>
      <c r="E10" s="77"/>
      <c r="F10" s="77"/>
      <c r="G10" s="74" t="n">
        <v>1</v>
      </c>
      <c r="H10" s="77"/>
      <c r="I10" s="77"/>
      <c r="J10" s="74" t="n">
        <v>1</v>
      </c>
      <c r="K10" s="77"/>
      <c r="L10" s="77"/>
      <c r="M10" s="74" t="n">
        <v>1</v>
      </c>
      <c r="N10" s="77"/>
      <c r="O10" s="77"/>
      <c r="P10" s="74" t="n">
        <v>1</v>
      </c>
      <c r="Q10" s="77"/>
      <c r="R10" s="77"/>
    </row>
    <row r="11" customFormat="false" ht="21.75" hidden="false" customHeight="true" outlineLevel="0" collapsed="false">
      <c r="A11" s="5" t="s">
        <v>130</v>
      </c>
      <c r="B11" s="5"/>
      <c r="C11" s="78"/>
      <c r="D11" s="79" t="n">
        <f aca="false">COUNTIF(D7:D10,"&gt;0")</f>
        <v>4</v>
      </c>
      <c r="E11" s="80" t="n">
        <f aca="false">IF(COUNTIF(D7:D10,"&gt;0")&gt;=3,3,IF(COUNTIF(D7:D10,"&gt;0")&gt;=2,2,IF(COUNTIF(D7:D10,"&gt;0")&gt;=1,1,0)))</f>
        <v>3</v>
      </c>
      <c r="F11" s="81" t="n">
        <f aca="false">IFERROR(AVERAGEIF(D7:D10,"&gt;0")/3*100,0)</f>
        <v>58.3333333333333</v>
      </c>
      <c r="G11" s="79" t="n">
        <f aca="false">COUNTIF(G7:G10,"&gt;0")</f>
        <v>4</v>
      </c>
      <c r="H11" s="80" t="n">
        <f aca="false">IF(COUNTIF(G7:G10,"&gt;0")&gt;=3,3,IF(COUNTIF(G7:G10,"&gt;0")&gt;=2,2,IF(COUNTIF(G7:G10,"&gt;0")&gt;=1,1,0)))</f>
        <v>3</v>
      </c>
      <c r="I11" s="81" t="n">
        <f aca="false">IFERROR(AVERAGEIF(G7:G10,"&gt;0")/3*100,0)</f>
        <v>58.3333333333333</v>
      </c>
      <c r="J11" s="79" t="n">
        <f aca="false">COUNTIF(J7:J10,"&gt;0")</f>
        <v>4</v>
      </c>
      <c r="K11" s="80" t="n">
        <f aca="false">IF(COUNTIF(J7:J10,"&gt;0")&gt;=3,3,IF(COUNTIF(J7:J10,"&gt;0")&gt;=2,2,IF(COUNTIF(J7:J10,"&gt;0")&gt;=1,1,0)))</f>
        <v>3</v>
      </c>
      <c r="L11" s="81" t="n">
        <f aca="false">IFERROR(AVERAGEIF(J7:J10,"&gt;0")/3*100,0)</f>
        <v>58.3333333333333</v>
      </c>
      <c r="M11" s="79" t="n">
        <f aca="false">COUNTIF(M7:M10,"&gt;0")</f>
        <v>4</v>
      </c>
      <c r="N11" s="80" t="n">
        <f aca="false">IF(COUNTIF(M7:M10,"&gt;0")&gt;=3,3,IF(COUNTIF(M7:M10,"&gt;0")&gt;=2,2,IF(COUNTIF(M7:M10,"&gt;0")&gt;=1,1,0)))</f>
        <v>3</v>
      </c>
      <c r="O11" s="81" t="n">
        <f aca="false">IFERROR(AVERAGEIF(M7:M10,"&gt;0")/3*100,0)</f>
        <v>58.3333333333333</v>
      </c>
      <c r="P11" s="79" t="n">
        <f aca="false">COUNTIF(P7:P10,"&gt;0")</f>
        <v>4</v>
      </c>
      <c r="Q11" s="80" t="n">
        <f aca="false">IF(COUNTIF(P7:P10,"&gt;0")&gt;=3,3,IF(COUNTIF(P7:P10,"&gt;0")&gt;=2,2,IF(COUNTIF(P7:P10,"&gt;0")&gt;=1,1,0)))</f>
        <v>3</v>
      </c>
      <c r="R11" s="81" t="n">
        <f aca="false">IFERROR(AVERAGEIF(P7:P10,"&gt;0")/3*100,0)</f>
        <v>58.3333333333333</v>
      </c>
    </row>
    <row r="13" customFormat="false" ht="25.5" hidden="false" customHeight="true" outlineLevel="0" collapsed="false">
      <c r="A13" s="9" t="s">
        <v>131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A14" s="35" t="s">
        <v>45</v>
      </c>
      <c r="B14" s="82" t="s">
        <v>132</v>
      </c>
      <c r="C14" s="11" t="s">
        <v>33</v>
      </c>
      <c r="D14" s="84" t="n">
        <v>0</v>
      </c>
      <c r="E14" s="83"/>
      <c r="F14" s="83"/>
      <c r="G14" s="84" t="n">
        <v>0</v>
      </c>
      <c r="H14" s="83"/>
      <c r="I14" s="83"/>
      <c r="J14" s="74" t="n">
        <v>1</v>
      </c>
      <c r="K14" s="83"/>
      <c r="L14" s="83"/>
      <c r="M14" s="74" t="n">
        <v>1</v>
      </c>
      <c r="N14" s="83"/>
      <c r="O14" s="83"/>
      <c r="P14" s="84" t="n">
        <v>0</v>
      </c>
      <c r="Q14" s="83"/>
      <c r="R14" s="83"/>
    </row>
    <row r="15" customFormat="false" ht="19.5" hidden="false" customHeight="true" outlineLevel="0" collapsed="false">
      <c r="A15" s="35"/>
      <c r="B15" s="76" t="s">
        <v>133</v>
      </c>
      <c r="C15" s="11" t="s">
        <v>33</v>
      </c>
      <c r="D15" s="84" t="n">
        <v>0</v>
      </c>
      <c r="E15" s="77"/>
      <c r="F15" s="77"/>
      <c r="G15" s="84" t="n">
        <v>0</v>
      </c>
      <c r="H15" s="77"/>
      <c r="I15" s="77"/>
      <c r="J15" s="74" t="n">
        <v>2</v>
      </c>
      <c r="K15" s="77"/>
      <c r="L15" s="77"/>
      <c r="M15" s="74" t="n">
        <v>2</v>
      </c>
      <c r="N15" s="77"/>
      <c r="O15" s="77"/>
      <c r="P15" s="84" t="n">
        <v>0</v>
      </c>
      <c r="Q15" s="77"/>
      <c r="R15" s="77"/>
    </row>
    <row r="16" customFormat="false" ht="19.5" hidden="false" customHeight="true" outlineLevel="0" collapsed="false">
      <c r="A16" s="35"/>
      <c r="B16" s="82" t="s">
        <v>134</v>
      </c>
      <c r="C16" s="11" t="s">
        <v>33</v>
      </c>
      <c r="D16" s="84" t="n">
        <v>0</v>
      </c>
      <c r="E16" s="83"/>
      <c r="F16" s="83"/>
      <c r="G16" s="84" t="n">
        <v>0</v>
      </c>
      <c r="H16" s="83"/>
      <c r="I16" s="83"/>
      <c r="J16" s="74" t="n">
        <v>3</v>
      </c>
      <c r="K16" s="83"/>
      <c r="L16" s="83"/>
      <c r="M16" s="74" t="n">
        <v>3</v>
      </c>
      <c r="N16" s="83"/>
      <c r="O16" s="83"/>
      <c r="P16" s="84" t="n">
        <v>0</v>
      </c>
      <c r="Q16" s="83"/>
      <c r="R16" s="83"/>
    </row>
    <row r="17" customFormat="false" ht="19.5" hidden="false" customHeight="true" outlineLevel="0" collapsed="false">
      <c r="A17" s="35"/>
      <c r="B17" s="76" t="s">
        <v>135</v>
      </c>
      <c r="C17" s="11" t="s">
        <v>33</v>
      </c>
      <c r="D17" s="84" t="n">
        <v>0</v>
      </c>
      <c r="E17" s="77"/>
      <c r="F17" s="77"/>
      <c r="G17" s="84" t="n">
        <v>0</v>
      </c>
      <c r="H17" s="77"/>
      <c r="I17" s="77"/>
      <c r="J17" s="74" t="n">
        <v>1</v>
      </c>
      <c r="K17" s="77"/>
      <c r="L17" s="77"/>
      <c r="M17" s="74" t="n">
        <v>1</v>
      </c>
      <c r="N17" s="77"/>
      <c r="O17" s="77"/>
      <c r="P17" s="84" t="n">
        <v>0</v>
      </c>
      <c r="Q17" s="77"/>
      <c r="R17" s="77"/>
    </row>
    <row r="18" customFormat="false" ht="21.75" hidden="false" customHeight="true" outlineLevel="0" collapsed="false">
      <c r="A18" s="85" t="s">
        <v>130</v>
      </c>
      <c r="B18" s="85"/>
      <c r="C18" s="86"/>
      <c r="D18" s="87" t="n">
        <f aca="false">COUNTIF(D14:D17,"&gt;0")</f>
        <v>0</v>
      </c>
      <c r="E18" s="88" t="n">
        <f aca="false">IF(COUNTIF(D14:D17,"&gt;0")&gt;=3,3,IF(COUNTIF(D14:D17,"&gt;0")&gt;=2,2,IF(COUNTIF(D14:D17,"&gt;0")&gt;=1,1,0)))</f>
        <v>0</v>
      </c>
      <c r="F18" s="89" t="n">
        <f aca="false">IFERROR(AVERAGEIF(D14:D17,"&gt;0")/3*100,0)</f>
        <v>0</v>
      </c>
      <c r="G18" s="87" t="n">
        <f aca="false">COUNTIF(G14:G17,"&gt;0")</f>
        <v>0</v>
      </c>
      <c r="H18" s="88" t="n">
        <f aca="false">IF(COUNTIF(G14:G17,"&gt;0")&gt;=3,3,IF(COUNTIF(G14:G17,"&gt;0")&gt;=2,2,IF(COUNTIF(G14:G17,"&gt;0")&gt;=1,1,0)))</f>
        <v>0</v>
      </c>
      <c r="I18" s="89" t="n">
        <f aca="false">IFERROR(AVERAGEIF(G14:G17,"&gt;0")/3*100,0)</f>
        <v>0</v>
      </c>
      <c r="J18" s="87" t="n">
        <f aca="false">COUNTIF(J14:J17,"&gt;0")</f>
        <v>4</v>
      </c>
      <c r="K18" s="88" t="n">
        <f aca="false">IF(COUNTIF(J14:J17,"&gt;0")&gt;=3,3,IF(COUNTIF(J14:J17,"&gt;0")&gt;=2,2,IF(COUNTIF(J14:J17,"&gt;0")&gt;=1,1,0)))</f>
        <v>3</v>
      </c>
      <c r="L18" s="89" t="n">
        <f aca="false">IFERROR(AVERAGEIF(J14:J17,"&gt;0")/3*100,0)</f>
        <v>58.3333333333333</v>
      </c>
      <c r="M18" s="87" t="n">
        <f aca="false">COUNTIF(M14:M17,"&gt;0")</f>
        <v>4</v>
      </c>
      <c r="N18" s="88" t="n">
        <f aca="false">IF(COUNTIF(M14:M17,"&gt;0")&gt;=3,3,IF(COUNTIF(M14:M17,"&gt;0")&gt;=2,2,IF(COUNTIF(M14:M17,"&gt;0")&gt;=1,1,0)))</f>
        <v>3</v>
      </c>
      <c r="O18" s="89" t="n">
        <f aca="false">IFERROR(AVERAGEIF(M14:M17,"&gt;0")/3*100,0)</f>
        <v>58.3333333333333</v>
      </c>
      <c r="P18" s="87" t="n">
        <f aca="false">COUNTIF(P14:P17,"&gt;0")</f>
        <v>0</v>
      </c>
      <c r="Q18" s="88" t="n">
        <f aca="false">IF(COUNTIF(P14:P17,"&gt;0")&gt;=3,3,IF(COUNTIF(P14:P17,"&gt;0")&gt;=2,2,IF(COUNTIF(P14:P17,"&gt;0")&gt;=1,1,0)))</f>
        <v>0</v>
      </c>
      <c r="R18" s="89" t="n">
        <f aca="false">IFERROR(AVERAGEIF(P14:P17,"&gt;0")/3*100,0)</f>
        <v>0</v>
      </c>
    </row>
    <row r="20" customFormat="false" ht="25.5" hidden="false" customHeight="true" outlineLevel="0" collapsed="false">
      <c r="A20" s="54" t="s">
        <v>136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customFormat="false" ht="19.5" hidden="false" customHeight="true" outlineLevel="0" collapsed="false">
      <c r="A21" s="38" t="s">
        <v>48</v>
      </c>
      <c r="B21" s="29" t="s">
        <v>137</v>
      </c>
      <c r="C21" s="11" t="s">
        <v>33</v>
      </c>
      <c r="D21" s="84" t="n">
        <v>0</v>
      </c>
      <c r="E21" s="28"/>
      <c r="F21" s="28"/>
      <c r="G21" s="84" t="n">
        <v>0</v>
      </c>
      <c r="H21" s="28"/>
      <c r="I21" s="28"/>
      <c r="J21" s="84" t="n">
        <v>0</v>
      </c>
      <c r="K21" s="28"/>
      <c r="L21" s="28"/>
      <c r="M21" s="84" t="n">
        <v>0</v>
      </c>
      <c r="N21" s="28"/>
      <c r="O21" s="28"/>
      <c r="P21" s="84" t="n">
        <v>0</v>
      </c>
      <c r="Q21" s="28"/>
      <c r="R21" s="28"/>
    </row>
    <row r="22" customFormat="false" ht="19.5" hidden="false" customHeight="true" outlineLevel="0" collapsed="false">
      <c r="A22" s="38"/>
      <c r="B22" s="76" t="s">
        <v>138</v>
      </c>
      <c r="C22" s="11" t="s">
        <v>33</v>
      </c>
      <c r="D22" s="84" t="n">
        <v>0</v>
      </c>
      <c r="E22" s="77"/>
      <c r="F22" s="77"/>
      <c r="G22" s="84" t="n">
        <v>0</v>
      </c>
      <c r="H22" s="77"/>
      <c r="I22" s="77"/>
      <c r="J22" s="84" t="n">
        <v>0</v>
      </c>
      <c r="K22" s="77"/>
      <c r="L22" s="77"/>
      <c r="M22" s="84" t="n">
        <v>0</v>
      </c>
      <c r="N22" s="77"/>
      <c r="O22" s="77"/>
      <c r="P22" s="84" t="n">
        <v>0</v>
      </c>
      <c r="Q22" s="77"/>
      <c r="R22" s="77"/>
    </row>
    <row r="23" customFormat="false" ht="19.5" hidden="false" customHeight="true" outlineLevel="0" collapsed="false">
      <c r="A23" s="38"/>
      <c r="B23" s="29" t="s">
        <v>139</v>
      </c>
      <c r="C23" s="11" t="s">
        <v>33</v>
      </c>
      <c r="D23" s="84" t="n">
        <v>0</v>
      </c>
      <c r="E23" s="28"/>
      <c r="F23" s="28"/>
      <c r="G23" s="84" t="n">
        <v>0</v>
      </c>
      <c r="H23" s="28"/>
      <c r="I23" s="28"/>
      <c r="J23" s="84" t="n">
        <v>0</v>
      </c>
      <c r="K23" s="28"/>
      <c r="L23" s="28"/>
      <c r="M23" s="84" t="n">
        <v>0</v>
      </c>
      <c r="N23" s="28"/>
      <c r="O23" s="28"/>
      <c r="P23" s="84" t="n">
        <v>0</v>
      </c>
      <c r="Q23" s="28"/>
      <c r="R23" s="28"/>
    </row>
    <row r="24" customFormat="false" ht="19.5" hidden="false" customHeight="true" outlineLevel="0" collapsed="false">
      <c r="A24" s="38"/>
      <c r="B24" s="76" t="s">
        <v>140</v>
      </c>
      <c r="C24" s="11" t="s">
        <v>33</v>
      </c>
      <c r="D24" s="84" t="n">
        <v>0</v>
      </c>
      <c r="E24" s="77"/>
      <c r="F24" s="77"/>
      <c r="G24" s="84" t="n">
        <v>0</v>
      </c>
      <c r="H24" s="77"/>
      <c r="I24" s="77"/>
      <c r="J24" s="84" t="n">
        <v>0</v>
      </c>
      <c r="K24" s="77"/>
      <c r="L24" s="77"/>
      <c r="M24" s="84" t="n">
        <v>0</v>
      </c>
      <c r="N24" s="77"/>
      <c r="O24" s="77"/>
      <c r="P24" s="84" t="n">
        <v>0</v>
      </c>
      <c r="Q24" s="77"/>
      <c r="R24" s="77"/>
    </row>
    <row r="25" customFormat="false" ht="21.75" hidden="false" customHeight="true" outlineLevel="0" collapsed="false">
      <c r="A25" s="90" t="s">
        <v>130</v>
      </c>
      <c r="B25" s="90"/>
      <c r="C25" s="91"/>
      <c r="D25" s="92" t="n">
        <f aca="false">COUNTIF(D21:D24,"&gt;0")</f>
        <v>0</v>
      </c>
      <c r="E25" s="93" t="n">
        <f aca="false">IF(COUNTIF(D21:D24,"&gt;0")&gt;=3,3,IF(COUNTIF(D21:D24,"&gt;0")&gt;=2,2,IF(COUNTIF(D21:D24,"&gt;0")&gt;=1,1,0)))</f>
        <v>0</v>
      </c>
      <c r="F25" s="94" t="n">
        <f aca="false">IFERROR(AVERAGEIF(D21:D24,"&gt;0")/3*100,0)</f>
        <v>0</v>
      </c>
      <c r="G25" s="92" t="n">
        <f aca="false">COUNTIF(G21:G24,"&gt;0")</f>
        <v>0</v>
      </c>
      <c r="H25" s="93" t="n">
        <f aca="false">IF(COUNTIF(G21:G24,"&gt;0")&gt;=3,3,IF(COUNTIF(G21:G24,"&gt;0")&gt;=2,2,IF(COUNTIF(G21:G24,"&gt;0")&gt;=1,1,0)))</f>
        <v>0</v>
      </c>
      <c r="I25" s="94" t="n">
        <f aca="false">IFERROR(AVERAGEIF(G21:G24,"&gt;0")/3*100,0)</f>
        <v>0</v>
      </c>
      <c r="J25" s="92" t="n">
        <f aca="false">COUNTIF(J21:J24,"&gt;0")</f>
        <v>0</v>
      </c>
      <c r="K25" s="93" t="n">
        <f aca="false">IF(COUNTIF(J21:J24,"&gt;0")&gt;=3,3,IF(COUNTIF(J21:J24,"&gt;0")&gt;=2,2,IF(COUNTIF(J21:J24,"&gt;0")&gt;=1,1,0)))</f>
        <v>0</v>
      </c>
      <c r="L25" s="94" t="n">
        <f aca="false">IFERROR(AVERAGEIF(J21:J24,"&gt;0")/3*100,0)</f>
        <v>0</v>
      </c>
      <c r="M25" s="92" t="n">
        <f aca="false">COUNTIF(M21:M24,"&gt;0")</f>
        <v>0</v>
      </c>
      <c r="N25" s="93" t="n">
        <f aca="false">IF(COUNTIF(M21:M24,"&gt;0")&gt;=3,3,IF(COUNTIF(M21:M24,"&gt;0")&gt;=2,2,IF(COUNTIF(M21:M24,"&gt;0")&gt;=1,1,0)))</f>
        <v>0</v>
      </c>
      <c r="O25" s="94" t="n">
        <f aca="false">IFERROR(AVERAGEIF(M21:M24,"&gt;0")/3*100,0)</f>
        <v>0</v>
      </c>
      <c r="P25" s="92" t="n">
        <f aca="false">COUNTIF(P21:P24,"&gt;0")</f>
        <v>0</v>
      </c>
      <c r="Q25" s="93" t="n">
        <f aca="false">IF(COUNTIF(P21:P24,"&gt;0")&gt;=3,3,IF(COUNTIF(P21:P24,"&gt;0")&gt;=2,2,IF(COUNTIF(P21:P24,"&gt;0")&gt;=1,1,0)))</f>
        <v>0</v>
      </c>
      <c r="R25" s="94" t="n">
        <f aca="false">IFERROR(AVERAGEIF(P21:P24,"&gt;0")/3*100,0)</f>
        <v>0</v>
      </c>
    </row>
    <row r="27" customFormat="false" ht="25.5" hidden="false" customHeight="true" outlineLevel="0" collapsed="false">
      <c r="A27" s="61" t="s">
        <v>141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customFormat="false" ht="19.5" hidden="false" customHeight="true" outlineLevel="0" collapsed="false">
      <c r="A28" s="40" t="s">
        <v>51</v>
      </c>
      <c r="B28" s="19" t="s">
        <v>142</v>
      </c>
      <c r="C28" s="11" t="s">
        <v>33</v>
      </c>
      <c r="D28" s="74" t="n">
        <v>1</v>
      </c>
      <c r="E28" s="18"/>
      <c r="F28" s="18"/>
      <c r="G28" s="74" t="n">
        <v>1</v>
      </c>
      <c r="H28" s="18"/>
      <c r="I28" s="18"/>
      <c r="J28" s="74" t="n">
        <v>1</v>
      </c>
      <c r="K28" s="18"/>
      <c r="L28" s="18"/>
      <c r="M28" s="74" t="n">
        <v>1</v>
      </c>
      <c r="N28" s="18"/>
      <c r="O28" s="18"/>
      <c r="P28" s="74" t="n">
        <v>1</v>
      </c>
      <c r="Q28" s="18"/>
      <c r="R28" s="18"/>
    </row>
    <row r="29" customFormat="false" ht="19.5" hidden="false" customHeight="true" outlineLevel="0" collapsed="false">
      <c r="A29" s="40"/>
      <c r="B29" s="76" t="s">
        <v>143</v>
      </c>
      <c r="C29" s="11" t="s">
        <v>33</v>
      </c>
      <c r="D29" s="74" t="n">
        <v>2</v>
      </c>
      <c r="E29" s="77"/>
      <c r="F29" s="77"/>
      <c r="G29" s="74" t="n">
        <v>2</v>
      </c>
      <c r="H29" s="77"/>
      <c r="I29" s="77"/>
      <c r="J29" s="74" t="n">
        <v>2</v>
      </c>
      <c r="K29" s="77"/>
      <c r="L29" s="77"/>
      <c r="M29" s="74" t="n">
        <v>2</v>
      </c>
      <c r="N29" s="77"/>
      <c r="O29" s="77"/>
      <c r="P29" s="74" t="n">
        <v>2</v>
      </c>
      <c r="Q29" s="77"/>
      <c r="R29" s="77"/>
    </row>
    <row r="30" customFormat="false" ht="19.5" hidden="false" customHeight="true" outlineLevel="0" collapsed="false">
      <c r="A30" s="40"/>
      <c r="B30" s="19" t="s">
        <v>144</v>
      </c>
      <c r="C30" s="11" t="s">
        <v>33</v>
      </c>
      <c r="D30" s="74" t="n">
        <v>3</v>
      </c>
      <c r="E30" s="18"/>
      <c r="F30" s="18"/>
      <c r="G30" s="74" t="n">
        <v>3</v>
      </c>
      <c r="H30" s="18"/>
      <c r="I30" s="18"/>
      <c r="J30" s="74" t="n">
        <v>3</v>
      </c>
      <c r="K30" s="18"/>
      <c r="L30" s="18"/>
      <c r="M30" s="74" t="n">
        <v>3</v>
      </c>
      <c r="N30" s="18"/>
      <c r="O30" s="18"/>
      <c r="P30" s="74" t="n">
        <v>3</v>
      </c>
      <c r="Q30" s="18"/>
      <c r="R30" s="18"/>
    </row>
    <row r="31" customFormat="false" ht="19.5" hidden="false" customHeight="true" outlineLevel="0" collapsed="false">
      <c r="A31" s="40"/>
      <c r="B31" s="76" t="s">
        <v>145</v>
      </c>
      <c r="C31" s="11" t="s">
        <v>33</v>
      </c>
      <c r="D31" s="74" t="n">
        <v>1</v>
      </c>
      <c r="E31" s="77"/>
      <c r="F31" s="77"/>
      <c r="G31" s="74" t="n">
        <v>1</v>
      </c>
      <c r="H31" s="77"/>
      <c r="I31" s="77"/>
      <c r="J31" s="74" t="n">
        <v>1</v>
      </c>
      <c r="K31" s="77"/>
      <c r="L31" s="77"/>
      <c r="M31" s="74" t="n">
        <v>1</v>
      </c>
      <c r="N31" s="77"/>
      <c r="O31" s="77"/>
      <c r="P31" s="74" t="n">
        <v>1</v>
      </c>
      <c r="Q31" s="77"/>
      <c r="R31" s="77"/>
    </row>
    <row r="32" customFormat="false" ht="21.75" hidden="false" customHeight="true" outlineLevel="0" collapsed="false">
      <c r="A32" s="6" t="s">
        <v>130</v>
      </c>
      <c r="B32" s="6"/>
      <c r="C32" s="95"/>
      <c r="D32" s="96" t="n">
        <f aca="false">COUNTIF(D28:D31,"&gt;0")</f>
        <v>4</v>
      </c>
      <c r="E32" s="97" t="n">
        <f aca="false">IF(COUNTIF(D28:D31,"&gt;0")&gt;=3,3,IF(COUNTIF(D28:D31,"&gt;0")&gt;=2,2,IF(COUNTIF(D28:D31,"&gt;0")&gt;=1,1,0)))</f>
        <v>3</v>
      </c>
      <c r="F32" s="98" t="n">
        <f aca="false">IFERROR(AVERAGEIF(D28:D31,"&gt;0")/3*100,0)</f>
        <v>58.3333333333333</v>
      </c>
      <c r="G32" s="96" t="n">
        <f aca="false">COUNTIF(G28:G31,"&gt;0")</f>
        <v>4</v>
      </c>
      <c r="H32" s="97" t="n">
        <f aca="false">IF(COUNTIF(G28:G31,"&gt;0")&gt;=3,3,IF(COUNTIF(G28:G31,"&gt;0")&gt;=2,2,IF(COUNTIF(G28:G31,"&gt;0")&gt;=1,1,0)))</f>
        <v>3</v>
      </c>
      <c r="I32" s="98" t="n">
        <f aca="false">IFERROR(AVERAGEIF(G28:G31,"&gt;0")/3*100,0)</f>
        <v>58.3333333333333</v>
      </c>
      <c r="J32" s="96" t="n">
        <f aca="false">COUNTIF(J28:J31,"&gt;0")</f>
        <v>4</v>
      </c>
      <c r="K32" s="97" t="n">
        <f aca="false">IF(COUNTIF(J28:J31,"&gt;0")&gt;=3,3,IF(COUNTIF(J28:J31,"&gt;0")&gt;=2,2,IF(COUNTIF(J28:J31,"&gt;0")&gt;=1,1,0)))</f>
        <v>3</v>
      </c>
      <c r="L32" s="98" t="n">
        <f aca="false">IFERROR(AVERAGEIF(J28:J31,"&gt;0")/3*100,0)</f>
        <v>58.3333333333333</v>
      </c>
      <c r="M32" s="96" t="n">
        <f aca="false">COUNTIF(M28:M31,"&gt;0")</f>
        <v>4</v>
      </c>
      <c r="N32" s="97" t="n">
        <f aca="false">IF(COUNTIF(M28:M31,"&gt;0")&gt;=3,3,IF(COUNTIF(M28:M31,"&gt;0")&gt;=2,2,IF(COUNTIF(M28:M31,"&gt;0")&gt;=1,1,0)))</f>
        <v>3</v>
      </c>
      <c r="O32" s="98" t="n">
        <f aca="false">IFERROR(AVERAGEIF(M28:M31,"&gt;0")/3*100,0)</f>
        <v>58.3333333333333</v>
      </c>
      <c r="P32" s="96" t="n">
        <f aca="false">COUNTIF(P28:P31,"&gt;0")</f>
        <v>4</v>
      </c>
      <c r="Q32" s="97" t="n">
        <f aca="false">IF(COUNTIF(P28:P31,"&gt;0")&gt;=3,3,IF(COUNTIF(P28:P31,"&gt;0")&gt;=2,2,IF(COUNTIF(P28:P31,"&gt;0")&gt;=1,1,0)))</f>
        <v>3</v>
      </c>
      <c r="R32" s="98" t="n">
        <f aca="false">IFERROR(AVERAGEIF(P28:P31,"&gt;0")/3*100,0)</f>
        <v>58.3333333333333</v>
      </c>
    </row>
    <row r="34" customFormat="false" ht="25.5" hidden="false" customHeight="true" outlineLevel="0" collapsed="false">
      <c r="A34" s="4" t="s">
        <v>146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customFormat="false" ht="19.5" hidden="false" customHeight="true" outlineLevel="0" collapsed="false">
      <c r="A35" s="42" t="s">
        <v>54</v>
      </c>
      <c r="B35" s="99" t="s">
        <v>147</v>
      </c>
      <c r="C35" s="11" t="s">
        <v>33</v>
      </c>
      <c r="D35" s="74" t="n">
        <v>1</v>
      </c>
      <c r="E35" s="100"/>
      <c r="F35" s="100"/>
      <c r="G35" s="74" t="n">
        <v>1</v>
      </c>
      <c r="H35" s="100"/>
      <c r="I35" s="100"/>
      <c r="J35" s="74" t="n">
        <v>1</v>
      </c>
      <c r="K35" s="100"/>
      <c r="L35" s="100"/>
      <c r="M35" s="74" t="n">
        <v>1</v>
      </c>
      <c r="N35" s="100"/>
      <c r="O35" s="100"/>
      <c r="P35" s="74" t="n">
        <v>1</v>
      </c>
      <c r="Q35" s="100"/>
      <c r="R35" s="100"/>
    </row>
    <row r="36" customFormat="false" ht="19.5" hidden="false" customHeight="true" outlineLevel="0" collapsed="false">
      <c r="A36" s="42"/>
      <c r="B36" s="76" t="s">
        <v>148</v>
      </c>
      <c r="C36" s="11" t="s">
        <v>33</v>
      </c>
      <c r="D36" s="74" t="n">
        <v>2</v>
      </c>
      <c r="E36" s="77"/>
      <c r="F36" s="77"/>
      <c r="G36" s="74" t="n">
        <v>2</v>
      </c>
      <c r="H36" s="77"/>
      <c r="I36" s="77"/>
      <c r="J36" s="74" t="n">
        <v>2</v>
      </c>
      <c r="K36" s="77"/>
      <c r="L36" s="77"/>
      <c r="M36" s="74" t="n">
        <v>2</v>
      </c>
      <c r="N36" s="77"/>
      <c r="O36" s="77"/>
      <c r="P36" s="74" t="n">
        <v>2</v>
      </c>
      <c r="Q36" s="77"/>
      <c r="R36" s="77"/>
    </row>
    <row r="37" customFormat="false" ht="19.5" hidden="false" customHeight="true" outlineLevel="0" collapsed="false">
      <c r="A37" s="42"/>
      <c r="B37" s="99" t="s">
        <v>149</v>
      </c>
      <c r="C37" s="11" t="s">
        <v>33</v>
      </c>
      <c r="D37" s="74" t="n">
        <v>3</v>
      </c>
      <c r="E37" s="100"/>
      <c r="F37" s="100"/>
      <c r="G37" s="74" t="n">
        <v>3</v>
      </c>
      <c r="H37" s="100"/>
      <c r="I37" s="100"/>
      <c r="J37" s="74" t="n">
        <v>3</v>
      </c>
      <c r="K37" s="100"/>
      <c r="L37" s="100"/>
      <c r="M37" s="74" t="n">
        <v>3</v>
      </c>
      <c r="N37" s="100"/>
      <c r="O37" s="100"/>
      <c r="P37" s="74" t="n">
        <v>3</v>
      </c>
      <c r="Q37" s="100"/>
      <c r="R37" s="100"/>
    </row>
    <row r="38" customFormat="false" ht="19.5" hidden="false" customHeight="true" outlineLevel="0" collapsed="false">
      <c r="A38" s="42"/>
      <c r="B38" s="76" t="s">
        <v>145</v>
      </c>
      <c r="C38" s="11" t="s">
        <v>33</v>
      </c>
      <c r="D38" s="74" t="n">
        <v>1</v>
      </c>
      <c r="E38" s="77"/>
      <c r="F38" s="77"/>
      <c r="G38" s="74" t="n">
        <v>1</v>
      </c>
      <c r="H38" s="77"/>
      <c r="I38" s="77"/>
      <c r="J38" s="74" t="n">
        <v>1</v>
      </c>
      <c r="K38" s="77"/>
      <c r="L38" s="77"/>
      <c r="M38" s="74" t="n">
        <v>1</v>
      </c>
      <c r="N38" s="77"/>
      <c r="O38" s="77"/>
      <c r="P38" s="74" t="n">
        <v>1</v>
      </c>
      <c r="Q38" s="77"/>
      <c r="R38" s="77"/>
    </row>
    <row r="39" customFormat="false" ht="21.75" hidden="false" customHeight="true" outlineLevel="0" collapsed="false">
      <c r="A39" s="101" t="s">
        <v>130</v>
      </c>
      <c r="B39" s="101"/>
      <c r="C39" s="102"/>
      <c r="D39" s="103" t="n">
        <f aca="false">COUNTIF(D35:D38,"&gt;0")</f>
        <v>4</v>
      </c>
      <c r="E39" s="104" t="n">
        <f aca="false">IF(COUNTIF(D35:D38,"&gt;0")&gt;=3,3,IF(COUNTIF(D35:D38,"&gt;0")&gt;=2,2,IF(COUNTIF(D35:D38,"&gt;0")&gt;=1,1,0)))</f>
        <v>3</v>
      </c>
      <c r="F39" s="105" t="n">
        <f aca="false">IFERROR(AVERAGEIF(D35:D38,"&gt;0")/3*100,0)</f>
        <v>58.3333333333333</v>
      </c>
      <c r="G39" s="103" t="n">
        <f aca="false">COUNTIF(G35:G38,"&gt;0")</f>
        <v>4</v>
      </c>
      <c r="H39" s="104" t="n">
        <f aca="false">IF(COUNTIF(G35:G38,"&gt;0")&gt;=3,3,IF(COUNTIF(G35:G38,"&gt;0")&gt;=2,2,IF(COUNTIF(G35:G38,"&gt;0")&gt;=1,1,0)))</f>
        <v>3</v>
      </c>
      <c r="I39" s="105" t="n">
        <f aca="false">IFERROR(AVERAGEIF(G35:G38,"&gt;0")/3*100,0)</f>
        <v>58.3333333333333</v>
      </c>
      <c r="J39" s="103" t="n">
        <f aca="false">COUNTIF(J35:J38,"&gt;0")</f>
        <v>4</v>
      </c>
      <c r="K39" s="104" t="n">
        <f aca="false">IF(COUNTIF(J35:J38,"&gt;0")&gt;=3,3,IF(COUNTIF(J35:J38,"&gt;0")&gt;=2,2,IF(COUNTIF(J35:J38,"&gt;0")&gt;=1,1,0)))</f>
        <v>3</v>
      </c>
      <c r="L39" s="105" t="n">
        <f aca="false">IFERROR(AVERAGEIF(J35:J38,"&gt;0")/3*100,0)</f>
        <v>58.3333333333333</v>
      </c>
      <c r="M39" s="103" t="n">
        <f aca="false">COUNTIF(M35:M38,"&gt;0")</f>
        <v>4</v>
      </c>
      <c r="N39" s="104" t="n">
        <f aca="false">IF(COUNTIF(M35:M38,"&gt;0")&gt;=3,3,IF(COUNTIF(M35:M38,"&gt;0")&gt;=2,2,IF(COUNTIF(M35:M38,"&gt;0")&gt;=1,1,0)))</f>
        <v>3</v>
      </c>
      <c r="O39" s="105" t="n">
        <f aca="false">IFERROR(AVERAGEIF(M35:M38,"&gt;0")/3*100,0)</f>
        <v>58.3333333333333</v>
      </c>
      <c r="P39" s="103" t="n">
        <f aca="false">COUNTIF(P35:P38,"&gt;0")</f>
        <v>4</v>
      </c>
      <c r="Q39" s="104" t="n">
        <f aca="false">IF(COUNTIF(P35:P38,"&gt;0")&gt;=3,3,IF(COUNTIF(P35:P38,"&gt;0")&gt;=2,2,IF(COUNTIF(P35:P38,"&gt;0")&gt;=1,1,0)))</f>
        <v>3</v>
      </c>
      <c r="R39" s="105" t="n">
        <f aca="false">IFERROR(AVERAGEIF(P35:P38,"&gt;0")/3*100,0)</f>
        <v>58.3333333333333</v>
      </c>
    </row>
    <row r="41" customFormat="false" ht="25.5" hidden="false" customHeight="true" outlineLevel="0" collapsed="false">
      <c r="A41" s="106" t="s">
        <v>150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 customFormat="false" ht="19.5" hidden="false" customHeight="true" outlineLevel="0" collapsed="false">
      <c r="A42" s="45" t="s">
        <v>57</v>
      </c>
      <c r="B42" s="107" t="s">
        <v>151</v>
      </c>
      <c r="C42" s="11" t="s">
        <v>33</v>
      </c>
      <c r="D42" s="74" t="n">
        <v>1</v>
      </c>
      <c r="E42" s="108"/>
      <c r="F42" s="108"/>
      <c r="G42" s="74" t="n">
        <v>1</v>
      </c>
      <c r="H42" s="108"/>
      <c r="I42" s="108"/>
      <c r="J42" s="74" t="n">
        <v>1</v>
      </c>
      <c r="K42" s="108"/>
      <c r="L42" s="108"/>
      <c r="M42" s="74" t="n">
        <v>1</v>
      </c>
      <c r="N42" s="108"/>
      <c r="O42" s="108"/>
      <c r="P42" s="74" t="n">
        <v>1</v>
      </c>
      <c r="Q42" s="108"/>
      <c r="R42" s="108"/>
    </row>
    <row r="43" customFormat="false" ht="19.5" hidden="false" customHeight="true" outlineLevel="0" collapsed="false">
      <c r="A43" s="45"/>
      <c r="B43" s="76" t="s">
        <v>152</v>
      </c>
      <c r="C43" s="11" t="s">
        <v>33</v>
      </c>
      <c r="D43" s="74" t="n">
        <v>2</v>
      </c>
      <c r="E43" s="77"/>
      <c r="F43" s="77"/>
      <c r="G43" s="74" t="n">
        <v>2</v>
      </c>
      <c r="H43" s="77"/>
      <c r="I43" s="77"/>
      <c r="J43" s="74" t="n">
        <v>2</v>
      </c>
      <c r="K43" s="77"/>
      <c r="L43" s="77"/>
      <c r="M43" s="74" t="n">
        <v>2</v>
      </c>
      <c r="N43" s="77"/>
      <c r="O43" s="77"/>
      <c r="P43" s="74" t="n">
        <v>2</v>
      </c>
      <c r="Q43" s="77"/>
      <c r="R43" s="77"/>
    </row>
    <row r="44" customFormat="false" ht="19.5" hidden="false" customHeight="true" outlineLevel="0" collapsed="false">
      <c r="A44" s="45"/>
      <c r="B44" s="107" t="s">
        <v>153</v>
      </c>
      <c r="C44" s="11" t="s">
        <v>33</v>
      </c>
      <c r="D44" s="74" t="n">
        <v>3</v>
      </c>
      <c r="E44" s="108"/>
      <c r="F44" s="108"/>
      <c r="G44" s="74" t="n">
        <v>3</v>
      </c>
      <c r="H44" s="108"/>
      <c r="I44" s="108"/>
      <c r="J44" s="74" t="n">
        <v>3</v>
      </c>
      <c r="K44" s="108"/>
      <c r="L44" s="108"/>
      <c r="M44" s="74" t="n">
        <v>3</v>
      </c>
      <c r="N44" s="108"/>
      <c r="O44" s="108"/>
      <c r="P44" s="74" t="n">
        <v>3</v>
      </c>
      <c r="Q44" s="108"/>
      <c r="R44" s="108"/>
    </row>
    <row r="45" customFormat="false" ht="19.5" hidden="false" customHeight="true" outlineLevel="0" collapsed="false">
      <c r="A45" s="45"/>
      <c r="B45" s="76" t="s">
        <v>154</v>
      </c>
      <c r="C45" s="11" t="s">
        <v>33</v>
      </c>
      <c r="D45" s="74" t="n">
        <v>1</v>
      </c>
      <c r="E45" s="77"/>
      <c r="F45" s="77"/>
      <c r="G45" s="74" t="n">
        <v>1</v>
      </c>
      <c r="H45" s="77"/>
      <c r="I45" s="77"/>
      <c r="J45" s="74" t="n">
        <v>1</v>
      </c>
      <c r="K45" s="77"/>
      <c r="L45" s="77"/>
      <c r="M45" s="74" t="n">
        <v>1</v>
      </c>
      <c r="N45" s="77"/>
      <c r="O45" s="77"/>
      <c r="P45" s="74" t="n">
        <v>1</v>
      </c>
      <c r="Q45" s="77"/>
      <c r="R45" s="77"/>
    </row>
    <row r="46" customFormat="false" ht="21.75" hidden="false" customHeight="true" outlineLevel="0" collapsed="false">
      <c r="A46" s="109" t="s">
        <v>130</v>
      </c>
      <c r="B46" s="109"/>
      <c r="C46" s="110"/>
      <c r="D46" s="111" t="n">
        <f aca="false">COUNTIF(D42:D45,"&gt;0")</f>
        <v>4</v>
      </c>
      <c r="E46" s="112" t="n">
        <f aca="false">IF(COUNTIF(D42:D45,"&gt;0")&gt;=3,3,IF(COUNTIF(D42:D45,"&gt;0")&gt;=2,2,IF(COUNTIF(D42:D45,"&gt;0")&gt;=1,1,0)))</f>
        <v>3</v>
      </c>
      <c r="F46" s="113" t="n">
        <f aca="false">IFERROR(AVERAGEIF(D42:D45,"&gt;0")/3*100,0)</f>
        <v>58.3333333333333</v>
      </c>
      <c r="G46" s="111" t="n">
        <f aca="false">COUNTIF(G42:G45,"&gt;0")</f>
        <v>4</v>
      </c>
      <c r="H46" s="112" t="n">
        <f aca="false">IF(COUNTIF(G42:G45,"&gt;0")&gt;=3,3,IF(COUNTIF(G42:G45,"&gt;0")&gt;=2,2,IF(COUNTIF(G42:G45,"&gt;0")&gt;=1,1,0)))</f>
        <v>3</v>
      </c>
      <c r="I46" s="113" t="n">
        <f aca="false">IFERROR(AVERAGEIF(G42:G45,"&gt;0")/3*100,0)</f>
        <v>58.3333333333333</v>
      </c>
      <c r="J46" s="111" t="n">
        <f aca="false">COUNTIF(J42:J45,"&gt;0")</f>
        <v>4</v>
      </c>
      <c r="K46" s="112" t="n">
        <f aca="false">IF(COUNTIF(J42:J45,"&gt;0")&gt;=3,3,IF(COUNTIF(J42:J45,"&gt;0")&gt;=2,2,IF(COUNTIF(J42:J45,"&gt;0")&gt;=1,1,0)))</f>
        <v>3</v>
      </c>
      <c r="L46" s="113" t="n">
        <f aca="false">IFERROR(AVERAGEIF(J42:J45,"&gt;0")/3*100,0)</f>
        <v>58.3333333333333</v>
      </c>
      <c r="M46" s="111" t="n">
        <f aca="false">COUNTIF(M42:M45,"&gt;0")</f>
        <v>4</v>
      </c>
      <c r="N46" s="112" t="n">
        <f aca="false">IF(COUNTIF(M42:M45,"&gt;0")&gt;=3,3,IF(COUNTIF(M42:M45,"&gt;0")&gt;=2,2,IF(COUNTIF(M42:M45,"&gt;0")&gt;=1,1,0)))</f>
        <v>3</v>
      </c>
      <c r="O46" s="113" t="n">
        <f aca="false">IFERROR(AVERAGEIF(M42:M45,"&gt;0")/3*100,0)</f>
        <v>58.3333333333333</v>
      </c>
      <c r="P46" s="111" t="n">
        <f aca="false">COUNTIF(P42:P45,"&gt;0")</f>
        <v>4</v>
      </c>
      <c r="Q46" s="112" t="n">
        <f aca="false">IF(COUNTIF(P42:P45,"&gt;0")&gt;=3,3,IF(COUNTIF(P42:P45,"&gt;0")&gt;=2,2,IF(COUNTIF(P42:P45,"&gt;0")&gt;=1,1,0)))</f>
        <v>3</v>
      </c>
      <c r="R46" s="113" t="n">
        <f aca="false">IFERROR(AVERAGEIF(P42:P45,"&gt;0")/3*100,0)</f>
        <v>58.3333333333333</v>
      </c>
    </row>
    <row r="48" customFormat="false" ht="25.5" hidden="false" customHeight="true" outlineLevel="0" collapsed="false">
      <c r="A48" s="114" t="s">
        <v>155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 customFormat="false" ht="19.5" hidden="false" customHeight="true" outlineLevel="0" collapsed="false">
      <c r="A49" s="48" t="s">
        <v>60</v>
      </c>
      <c r="B49" s="115" t="s">
        <v>156</v>
      </c>
      <c r="C49" s="11" t="s">
        <v>33</v>
      </c>
      <c r="D49" s="84" t="n">
        <v>0</v>
      </c>
      <c r="E49" s="116"/>
      <c r="F49" s="116"/>
      <c r="G49" s="74" t="n">
        <v>1</v>
      </c>
      <c r="H49" s="116"/>
      <c r="I49" s="116"/>
      <c r="J49" s="74" t="n">
        <v>1</v>
      </c>
      <c r="K49" s="116"/>
      <c r="L49" s="116"/>
      <c r="M49" s="74" t="n">
        <v>1</v>
      </c>
      <c r="N49" s="116"/>
      <c r="O49" s="116"/>
      <c r="P49" s="74" t="n">
        <v>1</v>
      </c>
      <c r="Q49" s="116"/>
      <c r="R49" s="116"/>
    </row>
    <row r="50" customFormat="false" ht="19.5" hidden="false" customHeight="true" outlineLevel="0" collapsed="false">
      <c r="A50" s="48"/>
      <c r="B50" s="76" t="s">
        <v>157</v>
      </c>
      <c r="C50" s="11" t="s">
        <v>33</v>
      </c>
      <c r="D50" s="84" t="n">
        <v>0</v>
      </c>
      <c r="E50" s="77"/>
      <c r="F50" s="77"/>
      <c r="G50" s="74" t="n">
        <v>2</v>
      </c>
      <c r="H50" s="77"/>
      <c r="I50" s="77"/>
      <c r="J50" s="74" t="n">
        <v>2</v>
      </c>
      <c r="K50" s="77"/>
      <c r="L50" s="77"/>
      <c r="M50" s="74" t="n">
        <v>2</v>
      </c>
      <c r="N50" s="77"/>
      <c r="O50" s="77"/>
      <c r="P50" s="74" t="n">
        <v>2</v>
      </c>
      <c r="Q50" s="77"/>
      <c r="R50" s="77"/>
    </row>
    <row r="51" customFormat="false" ht="19.5" hidden="false" customHeight="true" outlineLevel="0" collapsed="false">
      <c r="A51" s="48"/>
      <c r="B51" s="115" t="s">
        <v>158</v>
      </c>
      <c r="C51" s="11" t="s">
        <v>33</v>
      </c>
      <c r="D51" s="84" t="n">
        <v>0</v>
      </c>
      <c r="E51" s="116"/>
      <c r="F51" s="116"/>
      <c r="G51" s="74" t="n">
        <v>3</v>
      </c>
      <c r="H51" s="116"/>
      <c r="I51" s="116"/>
      <c r="J51" s="74" t="n">
        <v>3</v>
      </c>
      <c r="K51" s="116"/>
      <c r="L51" s="116"/>
      <c r="M51" s="74" t="n">
        <v>3</v>
      </c>
      <c r="N51" s="116"/>
      <c r="O51" s="116"/>
      <c r="P51" s="74" t="n">
        <v>3</v>
      </c>
      <c r="Q51" s="116"/>
      <c r="R51" s="116"/>
    </row>
    <row r="52" customFormat="false" ht="19.5" hidden="false" customHeight="true" outlineLevel="0" collapsed="false">
      <c r="A52" s="48"/>
      <c r="B52" s="76" t="s">
        <v>159</v>
      </c>
      <c r="C52" s="11" t="s">
        <v>33</v>
      </c>
      <c r="D52" s="84" t="n">
        <v>0</v>
      </c>
      <c r="E52" s="77"/>
      <c r="F52" s="77"/>
      <c r="G52" s="74" t="n">
        <v>1</v>
      </c>
      <c r="H52" s="77"/>
      <c r="I52" s="77"/>
      <c r="J52" s="74" t="n">
        <v>1</v>
      </c>
      <c r="K52" s="77"/>
      <c r="L52" s="77"/>
      <c r="M52" s="74" t="n">
        <v>1</v>
      </c>
      <c r="N52" s="77"/>
      <c r="O52" s="77"/>
      <c r="P52" s="74" t="n">
        <v>1</v>
      </c>
      <c r="Q52" s="77"/>
      <c r="R52" s="77"/>
    </row>
    <row r="53" customFormat="false" ht="21.75" hidden="false" customHeight="true" outlineLevel="0" collapsed="false">
      <c r="A53" s="117" t="s">
        <v>130</v>
      </c>
      <c r="B53" s="117"/>
      <c r="C53" s="118"/>
      <c r="D53" s="119" t="n">
        <f aca="false">COUNTIF(D49:D52,"&gt;0")</f>
        <v>0</v>
      </c>
      <c r="E53" s="120" t="n">
        <f aca="false">IF(COUNTIF(D49:D52,"&gt;0")&gt;=3,3,IF(COUNTIF(D49:D52,"&gt;0")&gt;=2,2,IF(COUNTIF(D49:D52,"&gt;0")&gt;=1,1,0)))</f>
        <v>0</v>
      </c>
      <c r="F53" s="121" t="n">
        <f aca="false">IFERROR(AVERAGEIF(D49:D52,"&gt;0")/3*100,0)</f>
        <v>0</v>
      </c>
      <c r="G53" s="119" t="n">
        <f aca="false">COUNTIF(G49:G52,"&gt;0")</f>
        <v>4</v>
      </c>
      <c r="H53" s="120" t="n">
        <f aca="false">IF(COUNTIF(G49:G52,"&gt;0")&gt;=3,3,IF(COUNTIF(G49:G52,"&gt;0")&gt;=2,2,IF(COUNTIF(G49:G52,"&gt;0")&gt;=1,1,0)))</f>
        <v>3</v>
      </c>
      <c r="I53" s="121" t="n">
        <f aca="false">IFERROR(AVERAGEIF(G49:G52,"&gt;0")/3*100,0)</f>
        <v>58.3333333333333</v>
      </c>
      <c r="J53" s="119" t="n">
        <f aca="false">COUNTIF(J49:J52,"&gt;0")</f>
        <v>4</v>
      </c>
      <c r="K53" s="120" t="n">
        <f aca="false">IF(COUNTIF(J49:J52,"&gt;0")&gt;=3,3,IF(COUNTIF(J49:J52,"&gt;0")&gt;=2,2,IF(COUNTIF(J49:J52,"&gt;0")&gt;=1,1,0)))</f>
        <v>3</v>
      </c>
      <c r="L53" s="121" t="n">
        <f aca="false">IFERROR(AVERAGEIF(J49:J52,"&gt;0")/3*100,0)</f>
        <v>58.3333333333333</v>
      </c>
      <c r="M53" s="119" t="n">
        <f aca="false">COUNTIF(M49:M52,"&gt;0")</f>
        <v>4</v>
      </c>
      <c r="N53" s="120" t="n">
        <f aca="false">IF(COUNTIF(M49:M52,"&gt;0")&gt;=3,3,IF(COUNTIF(M49:M52,"&gt;0")&gt;=2,2,IF(COUNTIF(M49:M52,"&gt;0")&gt;=1,1,0)))</f>
        <v>3</v>
      </c>
      <c r="O53" s="121" t="n">
        <f aca="false">IFERROR(AVERAGEIF(M49:M52,"&gt;0")/3*100,0)</f>
        <v>58.3333333333333</v>
      </c>
      <c r="P53" s="119" t="n">
        <f aca="false">COUNTIF(P49:P52,"&gt;0")</f>
        <v>4</v>
      </c>
      <c r="Q53" s="120" t="n">
        <f aca="false">IF(COUNTIF(P49:P52,"&gt;0")&gt;=3,3,IF(COUNTIF(P49:P52,"&gt;0")&gt;=2,2,IF(COUNTIF(P49:P52,"&gt;0")&gt;=1,1,0)))</f>
        <v>3</v>
      </c>
      <c r="R53" s="121" t="n">
        <f aca="false">IFERROR(AVERAGEIF(P49:P52,"&gt;0")/3*100,0)</f>
        <v>58.3333333333333</v>
      </c>
    </row>
    <row r="55" customFormat="false" ht="25.5" hidden="false" customHeight="true" outlineLevel="0" collapsed="false">
      <c r="A55" s="122" t="s">
        <v>160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customFormat="false" ht="19.5" hidden="false" customHeight="true" outlineLevel="0" collapsed="false">
      <c r="A56" s="51" t="s">
        <v>63</v>
      </c>
      <c r="B56" s="123" t="s">
        <v>161</v>
      </c>
      <c r="C56" s="11" t="s">
        <v>33</v>
      </c>
      <c r="D56" s="84" t="n">
        <v>0</v>
      </c>
      <c r="E56" s="124"/>
      <c r="F56" s="124"/>
      <c r="G56" s="74" t="n">
        <v>1</v>
      </c>
      <c r="H56" s="124"/>
      <c r="I56" s="124"/>
      <c r="J56" s="74" t="n">
        <v>1</v>
      </c>
      <c r="K56" s="124"/>
      <c r="L56" s="124"/>
      <c r="M56" s="74" t="n">
        <v>1</v>
      </c>
      <c r="N56" s="124"/>
      <c r="O56" s="124"/>
      <c r="P56" s="74" t="n">
        <v>1</v>
      </c>
      <c r="Q56" s="124"/>
      <c r="R56" s="124"/>
    </row>
    <row r="57" customFormat="false" ht="19.5" hidden="false" customHeight="true" outlineLevel="0" collapsed="false">
      <c r="A57" s="51"/>
      <c r="B57" s="76" t="s">
        <v>162</v>
      </c>
      <c r="C57" s="11" t="s">
        <v>33</v>
      </c>
      <c r="D57" s="84" t="n">
        <v>0</v>
      </c>
      <c r="E57" s="77"/>
      <c r="F57" s="77"/>
      <c r="G57" s="74" t="n">
        <v>2</v>
      </c>
      <c r="H57" s="77"/>
      <c r="I57" s="77"/>
      <c r="J57" s="74" t="n">
        <v>2</v>
      </c>
      <c r="K57" s="77"/>
      <c r="L57" s="77"/>
      <c r="M57" s="74" t="n">
        <v>2</v>
      </c>
      <c r="N57" s="77"/>
      <c r="O57" s="77"/>
      <c r="P57" s="74" t="n">
        <v>2</v>
      </c>
      <c r="Q57" s="77"/>
      <c r="R57" s="77"/>
    </row>
    <row r="58" customFormat="false" ht="19.5" hidden="false" customHeight="true" outlineLevel="0" collapsed="false">
      <c r="A58" s="51"/>
      <c r="B58" s="123" t="s">
        <v>163</v>
      </c>
      <c r="C58" s="11" t="s">
        <v>33</v>
      </c>
      <c r="D58" s="84" t="n">
        <v>0</v>
      </c>
      <c r="E58" s="124"/>
      <c r="F58" s="124"/>
      <c r="G58" s="74" t="n">
        <v>3</v>
      </c>
      <c r="H58" s="124"/>
      <c r="I58" s="124"/>
      <c r="J58" s="74" t="n">
        <v>3</v>
      </c>
      <c r="K58" s="124"/>
      <c r="L58" s="124"/>
      <c r="M58" s="74" t="n">
        <v>3</v>
      </c>
      <c r="N58" s="124"/>
      <c r="O58" s="124"/>
      <c r="P58" s="74" t="n">
        <v>3</v>
      </c>
      <c r="Q58" s="124"/>
      <c r="R58" s="124"/>
    </row>
    <row r="59" customFormat="false" ht="19.5" hidden="false" customHeight="true" outlineLevel="0" collapsed="false">
      <c r="A59" s="51"/>
      <c r="B59" s="76" t="s">
        <v>164</v>
      </c>
      <c r="C59" s="11" t="s">
        <v>33</v>
      </c>
      <c r="D59" s="84" t="n">
        <v>0</v>
      </c>
      <c r="E59" s="77"/>
      <c r="F59" s="77"/>
      <c r="G59" s="74" t="n">
        <v>1</v>
      </c>
      <c r="H59" s="77"/>
      <c r="I59" s="77"/>
      <c r="J59" s="74" t="n">
        <v>1</v>
      </c>
      <c r="K59" s="77"/>
      <c r="L59" s="77"/>
      <c r="M59" s="74" t="n">
        <v>1</v>
      </c>
      <c r="N59" s="77"/>
      <c r="O59" s="77"/>
      <c r="P59" s="74" t="n">
        <v>1</v>
      </c>
      <c r="Q59" s="77"/>
      <c r="R59" s="77"/>
    </row>
    <row r="60" customFormat="false" ht="21.75" hidden="false" customHeight="true" outlineLevel="0" collapsed="false">
      <c r="A60" s="125" t="s">
        <v>130</v>
      </c>
      <c r="B60" s="125"/>
      <c r="C60" s="126"/>
      <c r="D60" s="127" t="n">
        <f aca="false">COUNTIF(D56:D59,"&gt;0")</f>
        <v>0</v>
      </c>
      <c r="E60" s="128" t="n">
        <f aca="false">IF(COUNTIF(D56:D59,"&gt;0")&gt;=3,3,IF(COUNTIF(D56:D59,"&gt;0")&gt;=2,2,IF(COUNTIF(D56:D59,"&gt;0")&gt;=1,1,0)))</f>
        <v>0</v>
      </c>
      <c r="F60" s="129" t="n">
        <f aca="false">IFERROR(AVERAGEIF(D56:D59,"&gt;0")/3*100,0)</f>
        <v>0</v>
      </c>
      <c r="G60" s="127" t="n">
        <f aca="false">COUNTIF(G56:G59,"&gt;0")</f>
        <v>4</v>
      </c>
      <c r="H60" s="128" t="n">
        <f aca="false">IF(COUNTIF(G56:G59,"&gt;0")&gt;=3,3,IF(COUNTIF(G56:G59,"&gt;0")&gt;=2,2,IF(COUNTIF(G56:G59,"&gt;0")&gt;=1,1,0)))</f>
        <v>3</v>
      </c>
      <c r="I60" s="129" t="n">
        <f aca="false">IFERROR(AVERAGEIF(G56:G59,"&gt;0")/3*100,0)</f>
        <v>58.3333333333333</v>
      </c>
      <c r="J60" s="127" t="n">
        <f aca="false">COUNTIF(J56:J59,"&gt;0")</f>
        <v>4</v>
      </c>
      <c r="K60" s="128" t="n">
        <f aca="false">IF(COUNTIF(J56:J59,"&gt;0")&gt;=3,3,IF(COUNTIF(J56:J59,"&gt;0")&gt;=2,2,IF(COUNTIF(J56:J59,"&gt;0")&gt;=1,1,0)))</f>
        <v>3</v>
      </c>
      <c r="L60" s="129" t="n">
        <f aca="false">IFERROR(AVERAGEIF(J56:J59,"&gt;0")/3*100,0)</f>
        <v>58.3333333333333</v>
      </c>
      <c r="M60" s="127" t="n">
        <f aca="false">COUNTIF(M56:M59,"&gt;0")</f>
        <v>4</v>
      </c>
      <c r="N60" s="128" t="n">
        <f aca="false">IF(COUNTIF(M56:M59,"&gt;0")&gt;=3,3,IF(COUNTIF(M56:M59,"&gt;0")&gt;=2,2,IF(COUNTIF(M56:M59,"&gt;0")&gt;=1,1,0)))</f>
        <v>3</v>
      </c>
      <c r="O60" s="129" t="n">
        <f aca="false">IFERROR(AVERAGEIF(M56:M59,"&gt;0")/3*100,0)</f>
        <v>58.3333333333333</v>
      </c>
      <c r="P60" s="127" t="n">
        <f aca="false">COUNTIF(P56:P59,"&gt;0")</f>
        <v>4</v>
      </c>
      <c r="Q60" s="128" t="n">
        <f aca="false">IF(COUNTIF(P56:P59,"&gt;0")&gt;=3,3,IF(COUNTIF(P56:P59,"&gt;0")&gt;=2,2,IF(COUNTIF(P56:P59,"&gt;0")&gt;=1,1,0)))</f>
        <v>3</v>
      </c>
      <c r="R60" s="129" t="n">
        <f aca="false">IFERROR(AVERAGEIF(P56:P59,"&gt;0")/3*100,0)</f>
        <v>58.3333333333333</v>
      </c>
    </row>
  </sheetData>
  <mergeCells count="28">
    <mergeCell ref="A1:U1"/>
    <mergeCell ref="A2:U2"/>
    <mergeCell ref="A4:C4"/>
    <mergeCell ref="H4:U4"/>
    <mergeCell ref="A6:U6"/>
    <mergeCell ref="A7:A10"/>
    <mergeCell ref="A11:B11"/>
    <mergeCell ref="A13:U13"/>
    <mergeCell ref="A14:A17"/>
    <mergeCell ref="A18:B18"/>
    <mergeCell ref="A20:U20"/>
    <mergeCell ref="A21:A24"/>
    <mergeCell ref="A25:B25"/>
    <mergeCell ref="A27:U27"/>
    <mergeCell ref="A28:A31"/>
    <mergeCell ref="A32:B32"/>
    <mergeCell ref="A34:U34"/>
    <mergeCell ref="A35:A38"/>
    <mergeCell ref="A39:B39"/>
    <mergeCell ref="A41:U41"/>
    <mergeCell ref="A42:A45"/>
    <mergeCell ref="A46:B46"/>
    <mergeCell ref="A48:U48"/>
    <mergeCell ref="A49:A52"/>
    <mergeCell ref="A53:B53"/>
    <mergeCell ref="A55:U55"/>
    <mergeCell ref="A56:A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25"/>
    <col collapsed="false" customWidth="true" hidden="false" outlineLevel="0" max="16" min="6" style="1" width="9"/>
  </cols>
  <sheetData>
    <row r="1" customFormat="false" ht="39.75" hidden="false" customHeight="true" outlineLevel="0" collapsed="false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3.5" hidden="false" customHeight="true" outlineLevel="0" collapsed="false">
      <c r="A2" s="65" t="s">
        <v>167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customFormat="false" ht="7.5" hidden="false" customHeight="true" outlineLevel="0" collapsed="false"/>
    <row r="4" customFormat="false" ht="19.5" hidden="false" customHeight="true" outlineLevel="0" collapsed="false">
      <c r="A4" s="66" t="s">
        <v>168</v>
      </c>
      <c r="B4" s="66"/>
      <c r="C4" s="66"/>
      <c r="D4" s="66"/>
      <c r="E4" s="66"/>
      <c r="F4" s="11" t="s">
        <v>169</v>
      </c>
      <c r="G4" s="16" t="s">
        <v>170</v>
      </c>
      <c r="H4" s="21" t="s">
        <v>171</v>
      </c>
      <c r="I4" s="26" t="s">
        <v>172</v>
      </c>
    </row>
    <row r="5" customFormat="false" ht="25.5" hidden="false" customHeight="true" outlineLevel="0" collapsed="false">
      <c r="A5" s="130" t="s">
        <v>173</v>
      </c>
      <c r="B5" s="130" t="s">
        <v>174</v>
      </c>
      <c r="C5" s="130" t="s">
        <v>175</v>
      </c>
      <c r="D5" s="130" t="s">
        <v>176</v>
      </c>
      <c r="E5" s="130" t="s">
        <v>177</v>
      </c>
      <c r="F5" s="72" t="s">
        <v>178</v>
      </c>
      <c r="G5" s="72"/>
      <c r="H5" s="72"/>
      <c r="I5" s="72"/>
      <c r="J5" s="72"/>
      <c r="K5" s="72"/>
      <c r="L5" s="72"/>
      <c r="M5" s="72"/>
      <c r="N5" s="4" t="s">
        <v>179</v>
      </c>
      <c r="O5" s="4"/>
      <c r="P5" s="4"/>
    </row>
    <row r="6" customFormat="false" ht="19.5" hidden="false" customHeight="true" outlineLevel="0" collapsed="false">
      <c r="A6" s="130"/>
      <c r="B6" s="130"/>
      <c r="C6" s="130"/>
      <c r="D6" s="130"/>
      <c r="E6" s="130"/>
      <c r="F6" s="32" t="s">
        <v>42</v>
      </c>
      <c r="G6" s="35" t="s">
        <v>45</v>
      </c>
      <c r="H6" s="38" t="s">
        <v>48</v>
      </c>
      <c r="I6" s="40" t="s">
        <v>51</v>
      </c>
      <c r="J6" s="42" t="s">
        <v>54</v>
      </c>
      <c r="K6" s="45" t="s">
        <v>57</v>
      </c>
      <c r="L6" s="48" t="s">
        <v>60</v>
      </c>
      <c r="M6" s="51" t="s">
        <v>63</v>
      </c>
      <c r="N6" s="42" t="s">
        <v>180</v>
      </c>
      <c r="O6" s="42" t="s">
        <v>181</v>
      </c>
      <c r="P6" s="42" t="s">
        <v>182</v>
      </c>
    </row>
    <row r="7" customFormat="false" ht="18" hidden="false" customHeight="true" outlineLevel="0" collapsed="false">
      <c r="A7" s="131" t="n">
        <v>1</v>
      </c>
      <c r="B7" s="132" t="s">
        <v>183</v>
      </c>
      <c r="C7" s="133" t="s">
        <v>184</v>
      </c>
      <c r="D7" s="32" t="s">
        <v>185</v>
      </c>
      <c r="E7" s="134" t="s">
        <v>186</v>
      </c>
      <c r="F7" s="135" t="str">
        <f aca="false">IF(CS301!E11=0,"—",TEXT(CS301!E11,"0"))</f>
        <v>3</v>
      </c>
      <c r="G7" s="136" t="str">
        <f aca="false">IF(CS301!E18=0,"—",TEXT(CS301!E18,"0"))</f>
        <v>3</v>
      </c>
      <c r="H7" s="137" t="str">
        <f aca="false">IF(CS301!E25=0,"—",TEXT(CS301!E25,"0"))</f>
        <v>—</v>
      </c>
      <c r="I7" s="138" t="str">
        <f aca="false">IF(CS301!E32=0,"—",TEXT(CS301!E32,"0"))</f>
        <v>3</v>
      </c>
      <c r="J7" s="139" t="str">
        <f aca="false">IF(CS301!E39=0,"—",TEXT(CS301!E39,"0"))</f>
        <v>3</v>
      </c>
      <c r="K7" s="140" t="str">
        <f aca="false">IF(CS301!E46=0,"—",TEXT(CS301!E46,"0"))</f>
        <v>3</v>
      </c>
      <c r="L7" s="141" t="str">
        <f aca="false">IF(CS301!E53=0,"—",TEXT(CS301!E53,"0"))</f>
        <v>—</v>
      </c>
      <c r="M7" s="142" t="str">
        <f aca="false">IF(CS301!E60=0,"—",TEXT(CS301!E60,"0"))</f>
        <v>—</v>
      </c>
      <c r="N7" s="143" t="s">
        <v>15</v>
      </c>
      <c r="O7" s="143" t="s">
        <v>15</v>
      </c>
      <c r="P7" s="143" t="s">
        <v>15</v>
      </c>
    </row>
    <row r="8" customFormat="false" ht="18" hidden="false" customHeight="true" outlineLevel="0" collapsed="false">
      <c r="A8" s="131"/>
      <c r="B8" s="131"/>
      <c r="C8" s="131"/>
      <c r="D8" s="32" t="s">
        <v>187</v>
      </c>
      <c r="E8" s="144" t="s">
        <v>188</v>
      </c>
      <c r="F8" s="135" t="str">
        <f aca="false">IF(CS301!H11=0,"—",TEXT(CS301!H11,"0"))</f>
        <v>3</v>
      </c>
      <c r="G8" s="136" t="str">
        <f aca="false">IF(CS301!H18=0,"—",TEXT(CS301!H18,"0"))</f>
        <v>—</v>
      </c>
      <c r="H8" s="137" t="str">
        <f aca="false">IF(CS301!H25=0,"—",TEXT(CS301!H25,"0"))</f>
        <v>—</v>
      </c>
      <c r="I8" s="138" t="str">
        <f aca="false">IF(CS301!H32=0,"—",TEXT(CS301!H32,"0"))</f>
        <v>3</v>
      </c>
      <c r="J8" s="139" t="str">
        <f aca="false">IF(CS301!H39=0,"—",TEXT(CS301!H39,"0"))</f>
        <v>3</v>
      </c>
      <c r="K8" s="140" t="str">
        <f aca="false">IF(CS301!H46=0,"—",TEXT(CS301!H46,"0"))</f>
        <v>3</v>
      </c>
      <c r="L8" s="141" t="str">
        <f aca="false">IF(CS301!H53=0,"—",TEXT(CS301!H53,"0"))</f>
        <v>—</v>
      </c>
      <c r="M8" s="142" t="str">
        <f aca="false">IF(CS301!H60=0,"—",TEXT(CS301!H60,"0"))</f>
        <v>3</v>
      </c>
      <c r="N8" s="145" t="s">
        <v>15</v>
      </c>
      <c r="O8" s="145" t="s">
        <v>15</v>
      </c>
      <c r="P8" s="145" t="s">
        <v>15</v>
      </c>
    </row>
    <row r="9" customFormat="false" ht="18" hidden="false" customHeight="true" outlineLevel="0" collapsed="false">
      <c r="A9" s="131"/>
      <c r="B9" s="131"/>
      <c r="C9" s="131"/>
      <c r="D9" s="32" t="s">
        <v>189</v>
      </c>
      <c r="E9" s="134" t="s">
        <v>190</v>
      </c>
      <c r="F9" s="135" t="str">
        <f aca="false">IF(CS301!K11=0,"—",TEXT(CS301!K11,"0"))</f>
        <v>3</v>
      </c>
      <c r="G9" s="136" t="str">
        <f aca="false">IF(CS301!K18=0,"—",TEXT(CS301!K18,"0"))</f>
        <v>—</v>
      </c>
      <c r="H9" s="137" t="str">
        <f aca="false">IF(CS301!K25=0,"—",TEXT(CS301!K25,"0"))</f>
        <v>—</v>
      </c>
      <c r="I9" s="138" t="str">
        <f aca="false">IF(CS301!K32=0,"—",TEXT(CS301!K32,"0"))</f>
        <v>3</v>
      </c>
      <c r="J9" s="139" t="str">
        <f aca="false">IF(CS301!K39=0,"—",TEXT(CS301!K39,"0"))</f>
        <v>3</v>
      </c>
      <c r="K9" s="140" t="str">
        <f aca="false">IF(CS301!K46=0,"—",TEXT(CS301!K46,"0"))</f>
        <v>3</v>
      </c>
      <c r="L9" s="141" t="str">
        <f aca="false">IF(CS301!K53=0,"—",TEXT(CS301!K53,"0"))</f>
        <v>3</v>
      </c>
      <c r="M9" s="142" t="str">
        <f aca="false">IF(CS301!K60=0,"—",TEXT(CS301!K60,"0"))</f>
        <v>3</v>
      </c>
      <c r="N9" s="143" t="s">
        <v>15</v>
      </c>
      <c r="O9" s="143" t="s">
        <v>15</v>
      </c>
      <c r="P9" s="143" t="s">
        <v>15</v>
      </c>
    </row>
    <row r="10" customFormat="false" ht="18" hidden="false" customHeight="true" outlineLevel="0" collapsed="false">
      <c r="A10" s="131"/>
      <c r="B10" s="131"/>
      <c r="C10" s="131"/>
      <c r="D10" s="32" t="s">
        <v>191</v>
      </c>
      <c r="E10" s="144" t="s">
        <v>192</v>
      </c>
      <c r="F10" s="135" t="str">
        <f aca="false">IF(CS301!N11=0,"—",TEXT(CS301!N11,"0"))</f>
        <v>3</v>
      </c>
      <c r="G10" s="136" t="str">
        <f aca="false">IF(CS301!N18=0,"—",TEXT(CS301!N18,"0"))</f>
        <v>—</v>
      </c>
      <c r="H10" s="137" t="str">
        <f aca="false">IF(CS301!N25=0,"—",TEXT(CS301!N25,"0"))</f>
        <v>—</v>
      </c>
      <c r="I10" s="138" t="str">
        <f aca="false">IF(CS301!N32=0,"—",TEXT(CS301!N32,"0"))</f>
        <v>—</v>
      </c>
      <c r="J10" s="139" t="str">
        <f aca="false">IF(CS301!N39=0,"—",TEXT(CS301!N39,"0"))</f>
        <v>3</v>
      </c>
      <c r="K10" s="140" t="str">
        <f aca="false">IF(CS301!N46=0,"—",TEXT(CS301!N46,"0"))</f>
        <v>3</v>
      </c>
      <c r="L10" s="141" t="str">
        <f aca="false">IF(CS301!N53=0,"—",TEXT(CS301!N53,"0"))</f>
        <v>—</v>
      </c>
      <c r="M10" s="142" t="str">
        <f aca="false">IF(CS301!N60=0,"—",TEXT(CS301!N60,"0"))</f>
        <v>3</v>
      </c>
      <c r="N10" s="145" t="s">
        <v>15</v>
      </c>
      <c r="O10" s="145" t="s">
        <v>15</v>
      </c>
      <c r="P10" s="145" t="s">
        <v>15</v>
      </c>
    </row>
    <row r="11" customFormat="false" ht="18" hidden="false" customHeight="true" outlineLevel="0" collapsed="false">
      <c r="A11" s="131"/>
      <c r="B11" s="131"/>
      <c r="C11" s="131"/>
      <c r="D11" s="32" t="s">
        <v>193</v>
      </c>
      <c r="E11" s="134" t="s">
        <v>194</v>
      </c>
      <c r="F11" s="135" t="str">
        <f aca="false">IF(CS301!Q11=0,"—",TEXT(CS301!Q11,"0"))</f>
        <v>3</v>
      </c>
      <c r="G11" s="136" t="str">
        <f aca="false">IF(CS301!Q18=0,"—",TEXT(CS301!Q18,"0"))</f>
        <v>—</v>
      </c>
      <c r="H11" s="137" t="str">
        <f aca="false">IF(CS301!Q25=0,"—",TEXT(CS301!Q25,"0"))</f>
        <v>—</v>
      </c>
      <c r="I11" s="138" t="str">
        <f aca="false">IF(CS301!Q32=0,"—",TEXT(CS301!Q32,"0"))</f>
        <v>3</v>
      </c>
      <c r="J11" s="139" t="str">
        <f aca="false">IF(CS301!Q39=0,"—",TEXT(CS301!Q39,"0"))</f>
        <v>3</v>
      </c>
      <c r="K11" s="140" t="str">
        <f aca="false">IF(CS301!Q46=0,"—",TEXT(CS301!Q46,"0"))</f>
        <v>3</v>
      </c>
      <c r="L11" s="141" t="str">
        <f aca="false">IF(CS301!Q53=0,"—",TEXT(CS301!Q53,"0"))</f>
        <v>3</v>
      </c>
      <c r="M11" s="142" t="str">
        <f aca="false">IF(CS301!Q60=0,"—",TEXT(CS301!Q60,"0"))</f>
        <v>3</v>
      </c>
      <c r="N11" s="143" t="s">
        <v>15</v>
      </c>
      <c r="O11" s="143" t="s">
        <v>15</v>
      </c>
      <c r="P11" s="143" t="s">
        <v>15</v>
      </c>
    </row>
    <row r="12" customFormat="false" ht="18" hidden="false" customHeight="true" outlineLevel="0" collapsed="false">
      <c r="A12" s="131" t="n">
        <v>2</v>
      </c>
      <c r="B12" s="132" t="s">
        <v>195</v>
      </c>
      <c r="C12" s="133" t="s">
        <v>196</v>
      </c>
      <c r="D12" s="32" t="s">
        <v>185</v>
      </c>
      <c r="E12" s="144" t="s">
        <v>197</v>
      </c>
      <c r="F12" s="135" t="str">
        <f aca="false">IF(CS302!E11=0,"—",TEXT(CS302!E11,"0"))</f>
        <v>3</v>
      </c>
      <c r="G12" s="136" t="str">
        <f aca="false">IF(CS302!E18=0,"—",TEXT(CS302!E18,"0"))</f>
        <v>—</v>
      </c>
      <c r="H12" s="137" t="str">
        <f aca="false">IF(CS302!E25=0,"—",TEXT(CS302!E25,"0"))</f>
        <v>—</v>
      </c>
      <c r="I12" s="138" t="str">
        <f aca="false">IF(CS302!E32=0,"—",TEXT(CS302!E32,"0"))</f>
        <v>3</v>
      </c>
      <c r="J12" s="139" t="str">
        <f aca="false">IF(CS302!E39=0,"—",TEXT(CS302!E39,"0"))</f>
        <v>3</v>
      </c>
      <c r="K12" s="140" t="str">
        <f aca="false">IF(CS302!E46=0,"—",TEXT(CS302!E46,"0"))</f>
        <v>3</v>
      </c>
      <c r="L12" s="141" t="str">
        <f aca="false">IF(CS302!E53=0,"—",TEXT(CS302!E53,"0"))</f>
        <v>—</v>
      </c>
      <c r="M12" s="142" t="str">
        <f aca="false">IF(CS302!E60=0,"—",TEXT(CS302!E60,"0"))</f>
        <v>—</v>
      </c>
      <c r="N12" s="145" t="s">
        <v>15</v>
      </c>
      <c r="O12" s="145" t="s">
        <v>15</v>
      </c>
      <c r="P12" s="145" t="s">
        <v>15</v>
      </c>
    </row>
    <row r="13" customFormat="false" ht="18" hidden="false" customHeight="true" outlineLevel="0" collapsed="false">
      <c r="A13" s="131"/>
      <c r="B13" s="131"/>
      <c r="C13" s="131"/>
      <c r="D13" s="32" t="s">
        <v>187</v>
      </c>
      <c r="E13" s="134" t="s">
        <v>198</v>
      </c>
      <c r="F13" s="135" t="str">
        <f aca="false">IF(CS302!H11=0,"—",TEXT(CS302!H11,"0"))</f>
        <v>3</v>
      </c>
      <c r="G13" s="136" t="str">
        <f aca="false">IF(CS302!H18=0,"—",TEXT(CS302!H18,"0"))</f>
        <v>—</v>
      </c>
      <c r="H13" s="137" t="str">
        <f aca="false">IF(CS302!H25=0,"—",TEXT(CS302!H25,"0"))</f>
        <v>—</v>
      </c>
      <c r="I13" s="138" t="str">
        <f aca="false">IF(CS302!H32=0,"—",TEXT(CS302!H32,"0"))</f>
        <v>3</v>
      </c>
      <c r="J13" s="139" t="str">
        <f aca="false">IF(CS302!H39=0,"—",TEXT(CS302!H39,"0"))</f>
        <v>3</v>
      </c>
      <c r="K13" s="140" t="str">
        <f aca="false">IF(CS302!H46=0,"—",TEXT(CS302!H46,"0"))</f>
        <v>3</v>
      </c>
      <c r="L13" s="141" t="str">
        <f aca="false">IF(CS302!H53=0,"—",TEXT(CS302!H53,"0"))</f>
        <v>3</v>
      </c>
      <c r="M13" s="142" t="str">
        <f aca="false">IF(CS302!H60=0,"—",TEXT(CS302!H60,"0"))</f>
        <v>3</v>
      </c>
      <c r="N13" s="143" t="s">
        <v>15</v>
      </c>
      <c r="O13" s="143" t="s">
        <v>15</v>
      </c>
      <c r="P13" s="143" t="s">
        <v>15</v>
      </c>
    </row>
    <row r="14" customFormat="false" ht="18" hidden="false" customHeight="true" outlineLevel="0" collapsed="false">
      <c r="A14" s="131"/>
      <c r="B14" s="131"/>
      <c r="C14" s="131"/>
      <c r="D14" s="32" t="s">
        <v>189</v>
      </c>
      <c r="E14" s="144" t="s">
        <v>199</v>
      </c>
      <c r="F14" s="135" t="str">
        <f aca="false">IF(CS302!K11=0,"—",TEXT(CS302!K11,"0"))</f>
        <v>3</v>
      </c>
      <c r="G14" s="136" t="str">
        <f aca="false">IF(CS302!K18=0,"—",TEXT(CS302!K18,"0"))</f>
        <v>3</v>
      </c>
      <c r="H14" s="137" t="str">
        <f aca="false">IF(CS302!K25=0,"—",TEXT(CS302!K25,"0"))</f>
        <v>—</v>
      </c>
      <c r="I14" s="138" t="str">
        <f aca="false">IF(CS302!K32=0,"—",TEXT(CS302!K32,"0"))</f>
        <v>3</v>
      </c>
      <c r="J14" s="139" t="str">
        <f aca="false">IF(CS302!K39=0,"—",TEXT(CS302!K39,"0"))</f>
        <v>3</v>
      </c>
      <c r="K14" s="140" t="str">
        <f aca="false">IF(CS302!K46=0,"—",TEXT(CS302!K46,"0"))</f>
        <v>3</v>
      </c>
      <c r="L14" s="141" t="str">
        <f aca="false">IF(CS302!K53=0,"—",TEXT(CS302!K53,"0"))</f>
        <v>3</v>
      </c>
      <c r="M14" s="142" t="str">
        <f aca="false">IF(CS302!K60=0,"—",TEXT(CS302!K60,"0"))</f>
        <v>3</v>
      </c>
      <c r="N14" s="145" t="s">
        <v>15</v>
      </c>
      <c r="O14" s="145" t="s">
        <v>15</v>
      </c>
      <c r="P14" s="145" t="s">
        <v>15</v>
      </c>
    </row>
    <row r="15" customFormat="false" ht="18" hidden="false" customHeight="true" outlineLevel="0" collapsed="false">
      <c r="A15" s="131"/>
      <c r="B15" s="131"/>
      <c r="C15" s="131"/>
      <c r="D15" s="32" t="s">
        <v>191</v>
      </c>
      <c r="E15" s="134" t="s">
        <v>200</v>
      </c>
      <c r="F15" s="135" t="str">
        <f aca="false">IF(CS302!N11=0,"—",TEXT(CS302!N11,"0"))</f>
        <v>3</v>
      </c>
      <c r="G15" s="136" t="str">
        <f aca="false">IF(CS302!N18=0,"—",TEXT(CS302!N18,"0"))</f>
        <v>3</v>
      </c>
      <c r="H15" s="137" t="str">
        <f aca="false">IF(CS302!N25=0,"—",TEXT(CS302!N25,"0"))</f>
        <v>—</v>
      </c>
      <c r="I15" s="138" t="str">
        <f aca="false">IF(CS302!N32=0,"—",TEXT(CS302!N32,"0"))</f>
        <v>3</v>
      </c>
      <c r="J15" s="139" t="str">
        <f aca="false">IF(CS302!N39=0,"—",TEXT(CS302!N39,"0"))</f>
        <v>3</v>
      </c>
      <c r="K15" s="140" t="str">
        <f aca="false">IF(CS302!N46=0,"—",TEXT(CS302!N46,"0"))</f>
        <v>3</v>
      </c>
      <c r="L15" s="141" t="str">
        <f aca="false">IF(CS302!N53=0,"—",TEXT(CS302!N53,"0"))</f>
        <v>3</v>
      </c>
      <c r="M15" s="142" t="str">
        <f aca="false">IF(CS302!N60=0,"—",TEXT(CS302!N60,"0"))</f>
        <v>3</v>
      </c>
      <c r="N15" s="143" t="s">
        <v>15</v>
      </c>
      <c r="O15" s="143" t="s">
        <v>15</v>
      </c>
      <c r="P15" s="143" t="s">
        <v>15</v>
      </c>
    </row>
    <row r="16" customFormat="false" ht="18" hidden="false" customHeight="true" outlineLevel="0" collapsed="false">
      <c r="A16" s="131"/>
      <c r="B16" s="131"/>
      <c r="C16" s="131"/>
      <c r="D16" s="32" t="s">
        <v>193</v>
      </c>
      <c r="E16" s="144" t="s">
        <v>201</v>
      </c>
      <c r="F16" s="135" t="str">
        <f aca="false">IF(CS302!Q11=0,"—",TEXT(CS302!Q11,"0"))</f>
        <v>3</v>
      </c>
      <c r="G16" s="136" t="str">
        <f aca="false">IF(CS302!Q18=0,"—",TEXT(CS302!Q18,"0"))</f>
        <v>—</v>
      </c>
      <c r="H16" s="137" t="str">
        <f aca="false">IF(CS302!Q25=0,"—",TEXT(CS302!Q25,"0"))</f>
        <v>—</v>
      </c>
      <c r="I16" s="138" t="str">
        <f aca="false">IF(CS302!Q32=0,"—",TEXT(CS302!Q32,"0"))</f>
        <v>3</v>
      </c>
      <c r="J16" s="139" t="str">
        <f aca="false">IF(CS302!Q39=0,"—",TEXT(CS302!Q39,"0"))</f>
        <v>3</v>
      </c>
      <c r="K16" s="140" t="str">
        <f aca="false">IF(CS302!Q46=0,"—",TEXT(CS302!Q46,"0"))</f>
        <v>3</v>
      </c>
      <c r="L16" s="141" t="str">
        <f aca="false">IF(CS302!Q53=0,"—",TEXT(CS302!Q53,"0"))</f>
        <v>3</v>
      </c>
      <c r="M16" s="142" t="str">
        <f aca="false">IF(CS302!Q60=0,"—",TEXT(CS302!Q60,"0"))</f>
        <v>3</v>
      </c>
      <c r="N16" s="145" t="s">
        <v>15</v>
      </c>
      <c r="O16" s="145" t="s">
        <v>15</v>
      </c>
      <c r="P16" s="145" t="s">
        <v>15</v>
      </c>
    </row>
    <row r="17" customFormat="false" ht="18" hidden="false" customHeight="true" outlineLevel="0" collapsed="false">
      <c r="A17" s="131" t="n">
        <v>3</v>
      </c>
      <c r="B17" s="132" t="s">
        <v>202</v>
      </c>
      <c r="C17" s="133" t="s">
        <v>203</v>
      </c>
      <c r="D17" s="32" t="s">
        <v>185</v>
      </c>
      <c r="E17" s="134" t="s">
        <v>204</v>
      </c>
      <c r="F17" s="135" t="str">
        <f aca="false">IF(CS303!E11=0,"—",TEXT(CS303!E11,"0"))</f>
        <v>3</v>
      </c>
      <c r="G17" s="136" t="str">
        <f aca="false">IF(CS303!E18=0,"—",TEXT(CS303!E18,"0"))</f>
        <v>—</v>
      </c>
      <c r="H17" s="137" t="str">
        <f aca="false">IF(CS303!E25=0,"—",TEXT(CS303!E25,"0"))</f>
        <v>—</v>
      </c>
      <c r="I17" s="138" t="str">
        <f aca="false">IF(CS303!E32=0,"—",TEXT(CS303!E32,"0"))</f>
        <v>3</v>
      </c>
      <c r="J17" s="139" t="str">
        <f aca="false">IF(CS303!E39=0,"—",TEXT(CS303!E39,"0"))</f>
        <v>3</v>
      </c>
      <c r="K17" s="140" t="str">
        <f aca="false">IF(CS303!E46=0,"—",TEXT(CS303!E46,"0"))</f>
        <v>3</v>
      </c>
      <c r="L17" s="141" t="str">
        <f aca="false">IF(CS303!E53=0,"—",TEXT(CS303!E53,"0"))</f>
        <v>—</v>
      </c>
      <c r="M17" s="142" t="str">
        <f aca="false">IF(CS303!E60=0,"—",TEXT(CS303!E60,"0"))</f>
        <v>—</v>
      </c>
      <c r="N17" s="143" t="s">
        <v>15</v>
      </c>
      <c r="O17" s="143" t="s">
        <v>15</v>
      </c>
      <c r="P17" s="143" t="s">
        <v>15</v>
      </c>
    </row>
    <row r="18" customFormat="false" ht="18" hidden="false" customHeight="true" outlineLevel="0" collapsed="false">
      <c r="A18" s="131"/>
      <c r="B18" s="131"/>
      <c r="C18" s="131"/>
      <c r="D18" s="32" t="s">
        <v>187</v>
      </c>
      <c r="E18" s="144" t="s">
        <v>205</v>
      </c>
      <c r="F18" s="135" t="str">
        <f aca="false">IF(CS303!H11=0,"—",TEXT(CS303!H11,"0"))</f>
        <v>3</v>
      </c>
      <c r="G18" s="136" t="str">
        <f aca="false">IF(CS303!H18=0,"—",TEXT(CS303!H18,"0"))</f>
        <v>—</v>
      </c>
      <c r="H18" s="137" t="str">
        <f aca="false">IF(CS303!H25=0,"—",TEXT(CS303!H25,"0"))</f>
        <v>—</v>
      </c>
      <c r="I18" s="138" t="str">
        <f aca="false">IF(CS303!H32=0,"—",TEXT(CS303!H32,"0"))</f>
        <v>3</v>
      </c>
      <c r="J18" s="139" t="str">
        <f aca="false">IF(CS303!H39=0,"—",TEXT(CS303!H39,"0"))</f>
        <v>3</v>
      </c>
      <c r="K18" s="140" t="str">
        <f aca="false">IF(CS303!H46=0,"—",TEXT(CS303!H46,"0"))</f>
        <v>3</v>
      </c>
      <c r="L18" s="141" t="str">
        <f aca="false">IF(CS303!H53=0,"—",TEXT(CS303!H53,"0"))</f>
        <v>3</v>
      </c>
      <c r="M18" s="142" t="str">
        <f aca="false">IF(CS303!H60=0,"—",TEXT(CS303!H60,"0"))</f>
        <v>3</v>
      </c>
      <c r="N18" s="145" t="s">
        <v>15</v>
      </c>
      <c r="O18" s="145" t="s">
        <v>15</v>
      </c>
      <c r="P18" s="145" t="s">
        <v>15</v>
      </c>
    </row>
    <row r="19" customFormat="false" ht="18" hidden="false" customHeight="true" outlineLevel="0" collapsed="false">
      <c r="A19" s="131"/>
      <c r="B19" s="131"/>
      <c r="C19" s="131"/>
      <c r="D19" s="32" t="s">
        <v>189</v>
      </c>
      <c r="E19" s="134" t="s">
        <v>206</v>
      </c>
      <c r="F19" s="135" t="str">
        <f aca="false">IF(CS303!K11=0,"—",TEXT(CS303!K11,"0"))</f>
        <v>3</v>
      </c>
      <c r="G19" s="136" t="str">
        <f aca="false">IF(CS303!K18=0,"—",TEXT(CS303!K18,"0"))</f>
        <v>3</v>
      </c>
      <c r="H19" s="137" t="str">
        <f aca="false">IF(CS303!K25=0,"—",TEXT(CS303!K25,"0"))</f>
        <v>—</v>
      </c>
      <c r="I19" s="138" t="str">
        <f aca="false">IF(CS303!K32=0,"—",TEXT(CS303!K32,"0"))</f>
        <v>3</v>
      </c>
      <c r="J19" s="139" t="str">
        <f aca="false">IF(CS303!K39=0,"—",TEXT(CS303!K39,"0"))</f>
        <v>3</v>
      </c>
      <c r="K19" s="140" t="str">
        <f aca="false">IF(CS303!K46=0,"—",TEXT(CS303!K46,"0"))</f>
        <v>3</v>
      </c>
      <c r="L19" s="141" t="str">
        <f aca="false">IF(CS303!K53=0,"—",TEXT(CS303!K53,"0"))</f>
        <v>3</v>
      </c>
      <c r="M19" s="142" t="str">
        <f aca="false">IF(CS303!K60=0,"—",TEXT(CS303!K60,"0"))</f>
        <v>3</v>
      </c>
      <c r="N19" s="143" t="s">
        <v>15</v>
      </c>
      <c r="O19" s="143" t="s">
        <v>15</v>
      </c>
      <c r="P19" s="143" t="s">
        <v>15</v>
      </c>
    </row>
    <row r="20" customFormat="false" ht="18" hidden="false" customHeight="true" outlineLevel="0" collapsed="false">
      <c r="A20" s="131"/>
      <c r="B20" s="131"/>
      <c r="C20" s="131"/>
      <c r="D20" s="32" t="s">
        <v>191</v>
      </c>
      <c r="E20" s="144" t="s">
        <v>207</v>
      </c>
      <c r="F20" s="135" t="str">
        <f aca="false">IF(CS303!N11=0,"—",TEXT(CS303!N11,"0"))</f>
        <v>3</v>
      </c>
      <c r="G20" s="136" t="str">
        <f aca="false">IF(CS303!N18=0,"—",TEXT(CS303!N18,"0"))</f>
        <v>—</v>
      </c>
      <c r="H20" s="137" t="str">
        <f aca="false">IF(CS303!N25=0,"—",TEXT(CS303!N25,"0"))</f>
        <v>—</v>
      </c>
      <c r="I20" s="138" t="str">
        <f aca="false">IF(CS303!N32=0,"—",TEXT(CS303!N32,"0"))</f>
        <v>3</v>
      </c>
      <c r="J20" s="139" t="str">
        <f aca="false">IF(CS303!N39=0,"—",TEXT(CS303!N39,"0"))</f>
        <v>3</v>
      </c>
      <c r="K20" s="140" t="str">
        <f aca="false">IF(CS303!N46=0,"—",TEXT(CS303!N46,"0"))</f>
        <v>3</v>
      </c>
      <c r="L20" s="141" t="str">
        <f aca="false">IF(CS303!N53=0,"—",TEXT(CS303!N53,"0"))</f>
        <v>—</v>
      </c>
      <c r="M20" s="142" t="str">
        <f aca="false">IF(CS303!N60=0,"—",TEXT(CS303!N60,"0"))</f>
        <v>—</v>
      </c>
      <c r="N20" s="145" t="s">
        <v>15</v>
      </c>
      <c r="O20" s="145" t="s">
        <v>15</v>
      </c>
      <c r="P20" s="145" t="s">
        <v>15</v>
      </c>
    </row>
    <row r="21" customFormat="false" ht="18" hidden="false" customHeight="true" outlineLevel="0" collapsed="false">
      <c r="A21" s="131"/>
      <c r="B21" s="131"/>
      <c r="C21" s="131"/>
      <c r="D21" s="32" t="s">
        <v>193</v>
      </c>
      <c r="E21" s="134" t="s">
        <v>208</v>
      </c>
      <c r="F21" s="135" t="str">
        <f aca="false">IF(CS303!Q11=0,"—",TEXT(CS303!Q11,"0"))</f>
        <v>3</v>
      </c>
      <c r="G21" s="136" t="str">
        <f aca="false">IF(CS303!Q18=0,"—",TEXT(CS303!Q18,"0"))</f>
        <v>—</v>
      </c>
      <c r="H21" s="137" t="str">
        <f aca="false">IF(CS303!Q25=0,"—",TEXT(CS303!Q25,"0"))</f>
        <v>—</v>
      </c>
      <c r="I21" s="138" t="str">
        <f aca="false">IF(CS303!Q32=0,"—",TEXT(CS303!Q32,"0"))</f>
        <v>3</v>
      </c>
      <c r="J21" s="139" t="str">
        <f aca="false">IF(CS303!Q39=0,"—",TEXT(CS303!Q39,"0"))</f>
        <v>3</v>
      </c>
      <c r="K21" s="140" t="str">
        <f aca="false">IF(CS303!Q46=0,"—",TEXT(CS303!Q46,"0"))</f>
        <v>3</v>
      </c>
      <c r="L21" s="141" t="str">
        <f aca="false">IF(CS303!Q53=0,"—",TEXT(CS303!Q53,"0"))</f>
        <v>3</v>
      </c>
      <c r="M21" s="142" t="str">
        <f aca="false">IF(CS303!Q60=0,"—",TEXT(CS303!Q60,"0"))</f>
        <v>3</v>
      </c>
      <c r="N21" s="143" t="s">
        <v>15</v>
      </c>
      <c r="O21" s="143" t="s">
        <v>15</v>
      </c>
      <c r="P21" s="143" t="s">
        <v>15</v>
      </c>
    </row>
    <row r="22" customFormat="false" ht="18" hidden="false" customHeight="true" outlineLevel="0" collapsed="false">
      <c r="A22" s="131" t="n">
        <v>4</v>
      </c>
      <c r="B22" s="132" t="s">
        <v>209</v>
      </c>
      <c r="C22" s="133" t="s">
        <v>210</v>
      </c>
      <c r="D22" s="32" t="s">
        <v>185</v>
      </c>
      <c r="E22" s="144" t="s">
        <v>211</v>
      </c>
      <c r="F22" s="135" t="str">
        <f aca="false">IF(CS304!E11=0,"—",TEXT(CS304!E11,"0"))</f>
        <v>3</v>
      </c>
      <c r="G22" s="136" t="str">
        <f aca="false">IF(CS304!E18=0,"—",TEXT(CS304!E18,"0"))</f>
        <v>—</v>
      </c>
      <c r="H22" s="137" t="str">
        <f aca="false">IF(CS304!E25=0,"—",TEXT(CS304!E25,"0"))</f>
        <v>—</v>
      </c>
      <c r="I22" s="138" t="str">
        <f aca="false">IF(CS304!E32=0,"—",TEXT(CS304!E32,"0"))</f>
        <v>3</v>
      </c>
      <c r="J22" s="139" t="str">
        <f aca="false">IF(CS304!E39=0,"—",TEXT(CS304!E39,"0"))</f>
        <v>3</v>
      </c>
      <c r="K22" s="140" t="str">
        <f aca="false">IF(CS304!E46=0,"—",TEXT(CS304!E46,"0"))</f>
        <v>3</v>
      </c>
      <c r="L22" s="141" t="str">
        <f aca="false">IF(CS304!E53=0,"—",TEXT(CS304!E53,"0"))</f>
        <v>—</v>
      </c>
      <c r="M22" s="142" t="str">
        <f aca="false">IF(CS304!E60=0,"—",TEXT(CS304!E60,"0"))</f>
        <v>—</v>
      </c>
      <c r="N22" s="145" t="s">
        <v>15</v>
      </c>
      <c r="O22" s="145" t="s">
        <v>15</v>
      </c>
      <c r="P22" s="145" t="s">
        <v>15</v>
      </c>
    </row>
    <row r="23" customFormat="false" ht="18" hidden="false" customHeight="true" outlineLevel="0" collapsed="false">
      <c r="A23" s="131"/>
      <c r="B23" s="131"/>
      <c r="C23" s="131"/>
      <c r="D23" s="32" t="s">
        <v>187</v>
      </c>
      <c r="E23" s="134" t="s">
        <v>212</v>
      </c>
      <c r="F23" s="135" t="str">
        <f aca="false">IF(CS304!H11=0,"—",TEXT(CS304!H11,"0"))</f>
        <v>3</v>
      </c>
      <c r="G23" s="136" t="str">
        <f aca="false">IF(CS304!H18=0,"—",TEXT(CS304!H18,"0"))</f>
        <v>3</v>
      </c>
      <c r="H23" s="137" t="str">
        <f aca="false">IF(CS304!H25=0,"—",TEXT(CS304!H25,"0"))</f>
        <v>—</v>
      </c>
      <c r="I23" s="138" t="str">
        <f aca="false">IF(CS304!H32=0,"—",TEXT(CS304!H32,"0"))</f>
        <v>3</v>
      </c>
      <c r="J23" s="139" t="str">
        <f aca="false">IF(CS304!H39=0,"—",TEXT(CS304!H39,"0"))</f>
        <v>3</v>
      </c>
      <c r="K23" s="140" t="str">
        <f aca="false">IF(CS304!H46=0,"—",TEXT(CS304!H46,"0"))</f>
        <v>3</v>
      </c>
      <c r="L23" s="141" t="str">
        <f aca="false">IF(CS304!H53=0,"—",TEXT(CS304!H53,"0"))</f>
        <v>3</v>
      </c>
      <c r="M23" s="142" t="str">
        <f aca="false">IF(CS304!H60=0,"—",TEXT(CS304!H60,"0"))</f>
        <v>3</v>
      </c>
      <c r="N23" s="143" t="s">
        <v>15</v>
      </c>
      <c r="O23" s="143" t="s">
        <v>15</v>
      </c>
      <c r="P23" s="143" t="s">
        <v>15</v>
      </c>
    </row>
    <row r="24" customFormat="false" ht="18" hidden="false" customHeight="true" outlineLevel="0" collapsed="false">
      <c r="A24" s="131"/>
      <c r="B24" s="131"/>
      <c r="C24" s="131"/>
      <c r="D24" s="32" t="s">
        <v>189</v>
      </c>
      <c r="E24" s="144" t="s">
        <v>213</v>
      </c>
      <c r="F24" s="135" t="str">
        <f aca="false">IF(CS304!K11=0,"—",TEXT(CS304!K11,"0"))</f>
        <v>3</v>
      </c>
      <c r="G24" s="136" t="str">
        <f aca="false">IF(CS304!K18=0,"—",TEXT(CS304!K18,"0"))</f>
        <v>—</v>
      </c>
      <c r="H24" s="137" t="str">
        <f aca="false">IF(CS304!K25=0,"—",TEXT(CS304!K25,"0"))</f>
        <v>—</v>
      </c>
      <c r="I24" s="138" t="str">
        <f aca="false">IF(CS304!K32=0,"—",TEXT(CS304!K32,"0"))</f>
        <v>3</v>
      </c>
      <c r="J24" s="139" t="str">
        <f aca="false">IF(CS304!K39=0,"—",TEXT(CS304!K39,"0"))</f>
        <v>3</v>
      </c>
      <c r="K24" s="140" t="str">
        <f aca="false">IF(CS304!K46=0,"—",TEXT(CS304!K46,"0"))</f>
        <v>3</v>
      </c>
      <c r="L24" s="141" t="str">
        <f aca="false">IF(CS304!K53=0,"—",TEXT(CS304!K53,"0"))</f>
        <v>—</v>
      </c>
      <c r="M24" s="142" t="str">
        <f aca="false">IF(CS304!K60=0,"—",TEXT(CS304!K60,"0"))</f>
        <v>—</v>
      </c>
      <c r="N24" s="145" t="s">
        <v>15</v>
      </c>
      <c r="O24" s="145" t="s">
        <v>15</v>
      </c>
      <c r="P24" s="145" t="s">
        <v>15</v>
      </c>
    </row>
    <row r="25" customFormat="false" ht="18" hidden="false" customHeight="true" outlineLevel="0" collapsed="false">
      <c r="A25" s="131"/>
      <c r="B25" s="131"/>
      <c r="C25" s="131"/>
      <c r="D25" s="32" t="s">
        <v>191</v>
      </c>
      <c r="E25" s="134" t="s">
        <v>214</v>
      </c>
      <c r="F25" s="135" t="str">
        <f aca="false">IF(CS304!N11=0,"—",TEXT(CS304!N11,"0"))</f>
        <v>3</v>
      </c>
      <c r="G25" s="136" t="str">
        <f aca="false">IF(CS304!N18=0,"—",TEXT(CS304!N18,"0"))</f>
        <v>—</v>
      </c>
      <c r="H25" s="137" t="str">
        <f aca="false">IF(CS304!N25=0,"—",TEXT(CS304!N25,"0"))</f>
        <v>—</v>
      </c>
      <c r="I25" s="138" t="str">
        <f aca="false">IF(CS304!N32=0,"—",TEXT(CS304!N32,"0"))</f>
        <v>3</v>
      </c>
      <c r="J25" s="139" t="str">
        <f aca="false">IF(CS304!N39=0,"—",TEXT(CS304!N39,"0"))</f>
        <v>3</v>
      </c>
      <c r="K25" s="140" t="str">
        <f aca="false">IF(CS304!N46=0,"—",TEXT(CS304!N46,"0"))</f>
        <v>3</v>
      </c>
      <c r="L25" s="141" t="str">
        <f aca="false">IF(CS304!N53=0,"—",TEXT(CS304!N53,"0"))</f>
        <v>—</v>
      </c>
      <c r="M25" s="142" t="str">
        <f aca="false">IF(CS304!N60=0,"—",TEXT(CS304!N60,"0"))</f>
        <v>3</v>
      </c>
      <c r="N25" s="143" t="s">
        <v>15</v>
      </c>
      <c r="O25" s="143" t="s">
        <v>15</v>
      </c>
      <c r="P25" s="143" t="s">
        <v>15</v>
      </c>
    </row>
    <row r="26" customFormat="false" ht="18" hidden="false" customHeight="true" outlineLevel="0" collapsed="false">
      <c r="A26" s="131"/>
      <c r="B26" s="131"/>
      <c r="C26" s="131"/>
      <c r="D26" s="32" t="s">
        <v>193</v>
      </c>
      <c r="E26" s="144" t="s">
        <v>215</v>
      </c>
      <c r="F26" s="135" t="str">
        <f aca="false">IF(CS304!Q11=0,"—",TEXT(CS304!Q11,"0"))</f>
        <v>3</v>
      </c>
      <c r="G26" s="136" t="str">
        <f aca="false">IF(CS304!Q18=0,"—",TEXT(CS304!Q18,"0"))</f>
        <v>—</v>
      </c>
      <c r="H26" s="137" t="str">
        <f aca="false">IF(CS304!Q25=0,"—",TEXT(CS304!Q25,"0"))</f>
        <v>—</v>
      </c>
      <c r="I26" s="138" t="str">
        <f aca="false">IF(CS304!Q32=0,"—",TEXT(CS304!Q32,"0"))</f>
        <v>—</v>
      </c>
      <c r="J26" s="139" t="str">
        <f aca="false">IF(CS304!Q39=0,"—",TEXT(CS304!Q39,"0"))</f>
        <v>3</v>
      </c>
      <c r="K26" s="140" t="str">
        <f aca="false">IF(CS304!Q46=0,"—",TEXT(CS304!Q46,"0"))</f>
        <v>3</v>
      </c>
      <c r="L26" s="141" t="str">
        <f aca="false">IF(CS304!Q53=0,"—",TEXT(CS304!Q53,"0"))</f>
        <v>3</v>
      </c>
      <c r="M26" s="142" t="str">
        <f aca="false">IF(CS304!Q60=0,"—",TEXT(CS304!Q60,"0"))</f>
        <v>3</v>
      </c>
      <c r="N26" s="145" t="s">
        <v>15</v>
      </c>
      <c r="O26" s="145" t="s">
        <v>15</v>
      </c>
      <c r="P26" s="145" t="s">
        <v>15</v>
      </c>
    </row>
    <row r="27" customFormat="false" ht="18" hidden="false" customHeight="true" outlineLevel="0" collapsed="false">
      <c r="A27" s="131" t="n">
        <v>5</v>
      </c>
      <c r="B27" s="132" t="s">
        <v>216</v>
      </c>
      <c r="C27" s="133" t="s">
        <v>217</v>
      </c>
      <c r="D27" s="32" t="s">
        <v>185</v>
      </c>
      <c r="E27" s="134" t="s">
        <v>218</v>
      </c>
      <c r="F27" s="135" t="str">
        <f aca="false">IF(CS305!E11=0,"—",TEXT(CS305!E11,"0"))</f>
        <v>3</v>
      </c>
      <c r="G27" s="136" t="str">
        <f aca="false">IF(CS305!E18=0,"—",TEXT(CS305!E18,"0"))</f>
        <v>—</v>
      </c>
      <c r="H27" s="137" t="str">
        <f aca="false">IF(CS305!E25=0,"—",TEXT(CS305!E25,"0"))</f>
        <v>—</v>
      </c>
      <c r="I27" s="138" t="str">
        <f aca="false">IF(CS305!E32=0,"—",TEXT(CS305!E32,"0"))</f>
        <v>—</v>
      </c>
      <c r="J27" s="139" t="str">
        <f aca="false">IF(CS305!E39=0,"—",TEXT(CS305!E39,"0"))</f>
        <v>3</v>
      </c>
      <c r="K27" s="140" t="str">
        <f aca="false">IF(CS305!E46=0,"—",TEXT(CS305!E46,"0"))</f>
        <v>3</v>
      </c>
      <c r="L27" s="141" t="str">
        <f aca="false">IF(CS305!E53=0,"—",TEXT(CS305!E53,"0"))</f>
        <v>3</v>
      </c>
      <c r="M27" s="142" t="str">
        <f aca="false">IF(CS305!E60=0,"—",TEXT(CS305!E60,"0"))</f>
        <v>3</v>
      </c>
      <c r="N27" s="143" t="s">
        <v>15</v>
      </c>
      <c r="O27" s="143" t="s">
        <v>15</v>
      </c>
      <c r="P27" s="143" t="s">
        <v>15</v>
      </c>
    </row>
    <row r="28" customFormat="false" ht="18" hidden="false" customHeight="true" outlineLevel="0" collapsed="false">
      <c r="A28" s="131"/>
      <c r="B28" s="131"/>
      <c r="C28" s="131"/>
      <c r="D28" s="32" t="s">
        <v>187</v>
      </c>
      <c r="E28" s="144" t="s">
        <v>219</v>
      </c>
      <c r="F28" s="135" t="str">
        <f aca="false">IF(CS305!H11=0,"—",TEXT(CS305!H11,"0"))</f>
        <v>3</v>
      </c>
      <c r="G28" s="136" t="str">
        <f aca="false">IF(CS305!H18=0,"—",TEXT(CS305!H18,"0"))</f>
        <v>—</v>
      </c>
      <c r="H28" s="137" t="str">
        <f aca="false">IF(CS305!H25=0,"—",TEXT(CS305!H25,"0"))</f>
        <v>—</v>
      </c>
      <c r="I28" s="138" t="str">
        <f aca="false">IF(CS305!H32=0,"—",TEXT(CS305!H32,"0"))</f>
        <v>3</v>
      </c>
      <c r="J28" s="139" t="str">
        <f aca="false">IF(CS305!H39=0,"—",TEXT(CS305!H39,"0"))</f>
        <v>3</v>
      </c>
      <c r="K28" s="140" t="str">
        <f aca="false">IF(CS305!H46=0,"—",TEXT(CS305!H46,"0"))</f>
        <v>3</v>
      </c>
      <c r="L28" s="141" t="str">
        <f aca="false">IF(CS305!H53=0,"—",TEXT(CS305!H53,"0"))</f>
        <v>3</v>
      </c>
      <c r="M28" s="142" t="str">
        <f aca="false">IF(CS305!H60=0,"—",TEXT(CS305!H60,"0"))</f>
        <v>3</v>
      </c>
      <c r="N28" s="145" t="s">
        <v>15</v>
      </c>
      <c r="O28" s="145" t="s">
        <v>15</v>
      </c>
      <c r="P28" s="145" t="s">
        <v>15</v>
      </c>
    </row>
    <row r="29" customFormat="false" ht="18" hidden="false" customHeight="true" outlineLevel="0" collapsed="false">
      <c r="A29" s="131"/>
      <c r="B29" s="131"/>
      <c r="C29" s="131"/>
      <c r="D29" s="32" t="s">
        <v>189</v>
      </c>
      <c r="E29" s="134" t="s">
        <v>220</v>
      </c>
      <c r="F29" s="135" t="str">
        <f aca="false">IF(CS305!K11=0,"—",TEXT(CS305!K11,"0"))</f>
        <v>3</v>
      </c>
      <c r="G29" s="136" t="str">
        <f aca="false">IF(CS305!K18=0,"—",TEXT(CS305!K18,"0"))</f>
        <v>3</v>
      </c>
      <c r="H29" s="137" t="str">
        <f aca="false">IF(CS305!K25=0,"—",TEXT(CS305!K25,"0"))</f>
        <v>3</v>
      </c>
      <c r="I29" s="138" t="str">
        <f aca="false">IF(CS305!K32=0,"—",TEXT(CS305!K32,"0"))</f>
        <v>3</v>
      </c>
      <c r="J29" s="139" t="str">
        <f aca="false">IF(CS305!K39=0,"—",TEXT(CS305!K39,"0"))</f>
        <v>3</v>
      </c>
      <c r="K29" s="140" t="str">
        <f aca="false">IF(CS305!K46=0,"—",TEXT(CS305!K46,"0"))</f>
        <v>3</v>
      </c>
      <c r="L29" s="141" t="str">
        <f aca="false">IF(CS305!K53=0,"—",TEXT(CS305!K53,"0"))</f>
        <v>3</v>
      </c>
      <c r="M29" s="142" t="str">
        <f aca="false">IF(CS305!K60=0,"—",TEXT(CS305!K60,"0"))</f>
        <v>3</v>
      </c>
      <c r="N29" s="143" t="s">
        <v>15</v>
      </c>
      <c r="O29" s="143" t="s">
        <v>15</v>
      </c>
      <c r="P29" s="143" t="s">
        <v>15</v>
      </c>
    </row>
    <row r="30" customFormat="false" ht="18" hidden="false" customHeight="true" outlineLevel="0" collapsed="false">
      <c r="A30" s="131"/>
      <c r="B30" s="131"/>
      <c r="C30" s="131"/>
      <c r="D30" s="32" t="s">
        <v>191</v>
      </c>
      <c r="E30" s="144" t="s">
        <v>221</v>
      </c>
      <c r="F30" s="135" t="str">
        <f aca="false">IF(CS305!N11=0,"—",TEXT(CS305!N11,"0"))</f>
        <v>3</v>
      </c>
      <c r="G30" s="136" t="str">
        <f aca="false">IF(CS305!N18=0,"—",TEXT(CS305!N18,"0"))</f>
        <v>—</v>
      </c>
      <c r="H30" s="137" t="str">
        <f aca="false">IF(CS305!N25=0,"—",TEXT(CS305!N25,"0"))</f>
        <v>—</v>
      </c>
      <c r="I30" s="138" t="str">
        <f aca="false">IF(CS305!N32=0,"—",TEXT(CS305!N32,"0"))</f>
        <v>3</v>
      </c>
      <c r="J30" s="139" t="str">
        <f aca="false">IF(CS305!N39=0,"—",TEXT(CS305!N39,"0"))</f>
        <v>3</v>
      </c>
      <c r="K30" s="140" t="str">
        <f aca="false">IF(CS305!N46=0,"—",TEXT(CS305!N46,"0"))</f>
        <v>3</v>
      </c>
      <c r="L30" s="141" t="str">
        <f aca="false">IF(CS305!N53=0,"—",TEXT(CS305!N53,"0"))</f>
        <v>3</v>
      </c>
      <c r="M30" s="142" t="str">
        <f aca="false">IF(CS305!N60=0,"—",TEXT(CS305!N60,"0"))</f>
        <v>3</v>
      </c>
      <c r="N30" s="145" t="s">
        <v>15</v>
      </c>
      <c r="O30" s="145" t="s">
        <v>15</v>
      </c>
      <c r="P30" s="145" t="s">
        <v>15</v>
      </c>
    </row>
    <row r="31" customFormat="false" ht="18" hidden="false" customHeight="true" outlineLevel="0" collapsed="false">
      <c r="A31" s="131"/>
      <c r="B31" s="131"/>
      <c r="C31" s="131"/>
      <c r="D31" s="32" t="s">
        <v>193</v>
      </c>
      <c r="E31" s="134" t="s">
        <v>222</v>
      </c>
      <c r="F31" s="135" t="str">
        <f aca="false">IF(CS305!Q11=0,"—",TEXT(CS305!Q11,"0"))</f>
        <v>3</v>
      </c>
      <c r="G31" s="136" t="str">
        <f aca="false">IF(CS305!Q18=0,"—",TEXT(CS305!Q18,"0"))</f>
        <v>3</v>
      </c>
      <c r="H31" s="137" t="str">
        <f aca="false">IF(CS305!Q25=0,"—",TEXT(CS305!Q25,"0"))</f>
        <v>—</v>
      </c>
      <c r="I31" s="138" t="str">
        <f aca="false">IF(CS305!Q32=0,"—",TEXT(CS305!Q32,"0"))</f>
        <v>3</v>
      </c>
      <c r="J31" s="139" t="str">
        <f aca="false">IF(CS305!Q39=0,"—",TEXT(CS305!Q39,"0"))</f>
        <v>3</v>
      </c>
      <c r="K31" s="140" t="str">
        <f aca="false">IF(CS305!Q46=0,"—",TEXT(CS305!Q46,"0"))</f>
        <v>3</v>
      </c>
      <c r="L31" s="141" t="str">
        <f aca="false">IF(CS305!Q53=0,"—",TEXT(CS305!Q53,"0"))</f>
        <v>3</v>
      </c>
      <c r="M31" s="142" t="str">
        <f aca="false">IF(CS305!Q60=0,"—",TEXT(CS305!Q60,"0"))</f>
        <v>3</v>
      </c>
      <c r="N31" s="143" t="s">
        <v>15</v>
      </c>
      <c r="O31" s="143" t="s">
        <v>15</v>
      </c>
      <c r="P31" s="143" t="s">
        <v>15</v>
      </c>
    </row>
    <row r="32" customFormat="false" ht="18" hidden="false" customHeight="true" outlineLevel="0" collapsed="false">
      <c r="A32" s="131"/>
      <c r="B32" s="131"/>
      <c r="C32" s="131"/>
      <c r="D32" s="32" t="s">
        <v>223</v>
      </c>
      <c r="E32" s="144" t="s">
        <v>224</v>
      </c>
      <c r="F32" s="135" t="str">
        <f aca="false">IF(CS305!T11=0,"—",TEXT(CS305!T11,"0"))</f>
        <v>3</v>
      </c>
      <c r="G32" s="136" t="str">
        <f aca="false">IF(CS305!T18=0,"—",TEXT(CS305!T18,"0"))</f>
        <v>3</v>
      </c>
      <c r="H32" s="137" t="str">
        <f aca="false">IF(CS305!T25=0,"—",TEXT(CS305!T25,"0"))</f>
        <v>3</v>
      </c>
      <c r="I32" s="138" t="str">
        <f aca="false">IF(CS305!T32=0,"—",TEXT(CS305!T32,"0"))</f>
        <v>3</v>
      </c>
      <c r="J32" s="139" t="str">
        <f aca="false">IF(CS305!T39=0,"—",TEXT(CS305!T39,"0"))</f>
        <v>3</v>
      </c>
      <c r="K32" s="140" t="str">
        <f aca="false">IF(CS305!T46=0,"—",TEXT(CS305!T46,"0"))</f>
        <v>3</v>
      </c>
      <c r="L32" s="141" t="str">
        <f aca="false">IF(CS305!T53=0,"—",TEXT(CS305!T53,"0"))</f>
        <v>3</v>
      </c>
      <c r="M32" s="142" t="str">
        <f aca="false">IF(CS305!T60=0,"—",TEXT(CS305!T60,"0"))</f>
        <v>3</v>
      </c>
      <c r="N32" s="145" t="s">
        <v>15</v>
      </c>
      <c r="O32" s="145" t="s">
        <v>15</v>
      </c>
      <c r="P32" s="145" t="s">
        <v>15</v>
      </c>
    </row>
    <row r="34" customFormat="false" ht="24" hidden="false" customHeight="true" outlineLevel="0" collapsed="false">
      <c r="A34" s="146" t="s">
        <v>225</v>
      </c>
      <c r="B34" s="146"/>
      <c r="C34" s="146"/>
      <c r="D34" s="146"/>
      <c r="E34" s="146"/>
      <c r="F34" s="147" t="str">
        <f aca="false">IFERROR(AVERAGEIF(F7:F32,"&lt;&gt;—"),"")</f>
        <v/>
      </c>
      <c r="G34" s="147" t="str">
        <f aca="false">IFERROR(AVERAGEIF(G7:G32,"&lt;&gt;—"),"")</f>
        <v/>
      </c>
      <c r="H34" s="147" t="str">
        <f aca="false">IFERROR(AVERAGEIF(H7:H32,"&lt;&gt;—"),"")</f>
        <v/>
      </c>
      <c r="I34" s="147" t="str">
        <f aca="false">IFERROR(AVERAGEIF(I7:I32,"&lt;&gt;—"),"")</f>
        <v/>
      </c>
      <c r="J34" s="147" t="str">
        <f aca="false">IFERROR(AVERAGEIF(J7:J32,"&lt;&gt;—"),"")</f>
        <v/>
      </c>
      <c r="K34" s="147" t="str">
        <f aca="false">IFERROR(AVERAGEIF(K7:K32,"&lt;&gt;—"),"")</f>
        <v/>
      </c>
      <c r="L34" s="147" t="str">
        <f aca="false">IFERROR(AVERAGEIF(L7:L32,"&lt;&gt;—"),"")</f>
        <v/>
      </c>
      <c r="M34" s="147" t="str">
        <f aca="false">IFERROR(AVERAGEIF(M7:M32,"&lt;&gt;—"),"")</f>
        <v/>
      </c>
      <c r="N34" s="148"/>
      <c r="O34" s="148"/>
      <c r="P34" s="148"/>
    </row>
  </sheetData>
  <mergeCells count="26">
    <mergeCell ref="A1:P1"/>
    <mergeCell ref="A2:P2"/>
    <mergeCell ref="A4:E4"/>
    <mergeCell ref="A5:A6"/>
    <mergeCell ref="B5:B6"/>
    <mergeCell ref="C5:C6"/>
    <mergeCell ref="D5:D6"/>
    <mergeCell ref="E5:E6"/>
    <mergeCell ref="F5:M5"/>
    <mergeCell ref="N5:P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18" min="4" style="1" width="9"/>
  </cols>
  <sheetData>
    <row r="1" customFormat="false" ht="36" hidden="false" customHeight="true" outlineLevel="0" collapsed="false">
      <c r="A1" s="64" t="s">
        <v>226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customFormat="false" ht="13.5" hidden="false" customHeight="true" outlineLevel="0" collapsed="false">
      <c r="A2" s="65" t="s">
        <v>101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customFormat="false" ht="4.5" hidden="false" customHeight="true" outlineLevel="0" collapsed="false"/>
    <row r="4" customFormat="false" ht="18" hidden="false" customHeight="true" outlineLevel="0" collapsed="false">
      <c r="A4" s="66" t="s">
        <v>102</v>
      </c>
      <c r="B4" s="66"/>
      <c r="C4" s="66"/>
      <c r="D4" s="11" t="s">
        <v>103</v>
      </c>
      <c r="E4" s="16" t="s">
        <v>104</v>
      </c>
      <c r="F4" s="21" t="s">
        <v>105</v>
      </c>
      <c r="G4" s="26" t="s">
        <v>106</v>
      </c>
      <c r="H4" s="67" t="s">
        <v>107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customFormat="false" ht="21.75" hidden="false" customHeight="true" outlineLevel="0" collapsed="false">
      <c r="A5" s="10" t="s">
        <v>39</v>
      </c>
      <c r="B5" s="10" t="s">
        <v>108</v>
      </c>
      <c r="C5" s="68" t="s">
        <v>109</v>
      </c>
      <c r="D5" s="69" t="s">
        <v>110</v>
      </c>
      <c r="E5" s="70" t="s">
        <v>111</v>
      </c>
      <c r="F5" s="71" t="s">
        <v>112</v>
      </c>
      <c r="G5" s="69" t="s">
        <v>113</v>
      </c>
      <c r="H5" s="70" t="s">
        <v>114</v>
      </c>
      <c r="I5" s="71" t="s">
        <v>115</v>
      </c>
      <c r="J5" s="69" t="s">
        <v>116</v>
      </c>
      <c r="K5" s="70" t="s">
        <v>117</v>
      </c>
      <c r="L5" s="71" t="s">
        <v>118</v>
      </c>
      <c r="M5" s="69" t="s">
        <v>119</v>
      </c>
      <c r="N5" s="70" t="s">
        <v>120</v>
      </c>
      <c r="O5" s="71" t="s">
        <v>121</v>
      </c>
      <c r="P5" s="69" t="s">
        <v>122</v>
      </c>
      <c r="Q5" s="70" t="s">
        <v>123</v>
      </c>
      <c r="R5" s="71" t="s">
        <v>124</v>
      </c>
    </row>
    <row r="6" customFormat="false" ht="25.5" hidden="false" customHeight="true" outlineLevel="0" collapsed="false">
      <c r="A6" s="72" t="s">
        <v>125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customFormat="false" ht="19.5" hidden="false" customHeight="true" outlineLevel="0" collapsed="false">
      <c r="A7" s="32" t="s">
        <v>42</v>
      </c>
      <c r="B7" s="73" t="s">
        <v>126</v>
      </c>
      <c r="C7" s="11" t="s">
        <v>33</v>
      </c>
      <c r="D7" s="74" t="n">
        <v>1</v>
      </c>
      <c r="E7" s="75"/>
      <c r="F7" s="75"/>
      <c r="G7" s="74" t="n">
        <v>1</v>
      </c>
      <c r="H7" s="75"/>
      <c r="I7" s="75"/>
      <c r="J7" s="74" t="n">
        <v>1</v>
      </c>
      <c r="K7" s="75"/>
      <c r="L7" s="75"/>
      <c r="M7" s="74" t="n">
        <v>1</v>
      </c>
      <c r="N7" s="75"/>
      <c r="O7" s="75"/>
      <c r="P7" s="74" t="n">
        <v>1</v>
      </c>
      <c r="Q7" s="75"/>
      <c r="R7" s="75"/>
    </row>
    <row r="8" customFormat="false" ht="19.5" hidden="false" customHeight="true" outlineLevel="0" collapsed="false">
      <c r="A8" s="32"/>
      <c r="B8" s="76" t="s">
        <v>127</v>
      </c>
      <c r="C8" s="11" t="s">
        <v>33</v>
      </c>
      <c r="D8" s="74" t="n">
        <v>2</v>
      </c>
      <c r="E8" s="77"/>
      <c r="F8" s="77"/>
      <c r="G8" s="74" t="n">
        <v>2</v>
      </c>
      <c r="H8" s="77"/>
      <c r="I8" s="77"/>
      <c r="J8" s="74" t="n">
        <v>2</v>
      </c>
      <c r="K8" s="77"/>
      <c r="L8" s="77"/>
      <c r="M8" s="74" t="n">
        <v>2</v>
      </c>
      <c r="N8" s="77"/>
      <c r="O8" s="77"/>
      <c r="P8" s="74" t="n">
        <v>2</v>
      </c>
      <c r="Q8" s="77"/>
      <c r="R8" s="77"/>
    </row>
    <row r="9" customFormat="false" ht="19.5" hidden="false" customHeight="true" outlineLevel="0" collapsed="false">
      <c r="A9" s="32"/>
      <c r="B9" s="73" t="s">
        <v>128</v>
      </c>
      <c r="C9" s="11" t="s">
        <v>33</v>
      </c>
      <c r="D9" s="74" t="n">
        <v>3</v>
      </c>
      <c r="E9" s="75"/>
      <c r="F9" s="75"/>
      <c r="G9" s="74" t="n">
        <v>3</v>
      </c>
      <c r="H9" s="75"/>
      <c r="I9" s="75"/>
      <c r="J9" s="74" t="n">
        <v>3</v>
      </c>
      <c r="K9" s="75"/>
      <c r="L9" s="75"/>
      <c r="M9" s="74" t="n">
        <v>3</v>
      </c>
      <c r="N9" s="75"/>
      <c r="O9" s="75"/>
      <c r="P9" s="74" t="n">
        <v>3</v>
      </c>
      <c r="Q9" s="75"/>
      <c r="R9" s="75"/>
    </row>
    <row r="10" customFormat="false" ht="19.5" hidden="false" customHeight="true" outlineLevel="0" collapsed="false">
      <c r="A10" s="32"/>
      <c r="B10" s="76" t="s">
        <v>129</v>
      </c>
      <c r="C10" s="11" t="s">
        <v>33</v>
      </c>
      <c r="D10" s="74" t="n">
        <v>1</v>
      </c>
      <c r="E10" s="77"/>
      <c r="F10" s="77"/>
      <c r="G10" s="74" t="n">
        <v>1</v>
      </c>
      <c r="H10" s="77"/>
      <c r="I10" s="77"/>
      <c r="J10" s="74" t="n">
        <v>1</v>
      </c>
      <c r="K10" s="77"/>
      <c r="L10" s="77"/>
      <c r="M10" s="74" t="n">
        <v>1</v>
      </c>
      <c r="N10" s="77"/>
      <c r="O10" s="77"/>
      <c r="P10" s="74" t="n">
        <v>1</v>
      </c>
      <c r="Q10" s="77"/>
      <c r="R10" s="77"/>
    </row>
    <row r="11" customFormat="false" ht="21.75" hidden="false" customHeight="true" outlineLevel="0" collapsed="false">
      <c r="A11" s="5" t="s">
        <v>130</v>
      </c>
      <c r="B11" s="5"/>
      <c r="C11" s="78"/>
      <c r="D11" s="79" t="n">
        <f aca="false">COUNTIF(D7:D10,"&gt;0")</f>
        <v>4</v>
      </c>
      <c r="E11" s="80" t="n">
        <f aca="false">IF(COUNTIF(D7:D10,"&gt;0")&gt;=3,3,IF(COUNTIF(D7:D10,"&gt;0")&gt;=2,2,IF(COUNTIF(D7:D10,"&gt;0")&gt;=1,1,0)))</f>
        <v>3</v>
      </c>
      <c r="F11" s="81" t="n">
        <f aca="false">IFERROR(AVERAGEIF(D7:D10,"&gt;0")/3*100,0)</f>
        <v>58.3333333333333</v>
      </c>
      <c r="G11" s="79" t="n">
        <f aca="false">COUNTIF(G7:G10,"&gt;0")</f>
        <v>4</v>
      </c>
      <c r="H11" s="80" t="n">
        <f aca="false">IF(COUNTIF(G7:G10,"&gt;0")&gt;=3,3,IF(COUNTIF(G7:G10,"&gt;0")&gt;=2,2,IF(COUNTIF(G7:G10,"&gt;0")&gt;=1,1,0)))</f>
        <v>3</v>
      </c>
      <c r="I11" s="81" t="n">
        <f aca="false">IFERROR(AVERAGEIF(G7:G10,"&gt;0")/3*100,0)</f>
        <v>58.3333333333333</v>
      </c>
      <c r="J11" s="79" t="n">
        <f aca="false">COUNTIF(J7:J10,"&gt;0")</f>
        <v>4</v>
      </c>
      <c r="K11" s="80" t="n">
        <f aca="false">IF(COUNTIF(J7:J10,"&gt;0")&gt;=3,3,IF(COUNTIF(J7:J10,"&gt;0")&gt;=2,2,IF(COUNTIF(J7:J10,"&gt;0")&gt;=1,1,0)))</f>
        <v>3</v>
      </c>
      <c r="L11" s="81" t="n">
        <f aca="false">IFERROR(AVERAGEIF(J7:J10,"&gt;0")/3*100,0)</f>
        <v>58.3333333333333</v>
      </c>
      <c r="M11" s="79" t="n">
        <f aca="false">COUNTIF(M7:M10,"&gt;0")</f>
        <v>4</v>
      </c>
      <c r="N11" s="80" t="n">
        <f aca="false">IF(COUNTIF(M7:M10,"&gt;0")&gt;=3,3,IF(COUNTIF(M7:M10,"&gt;0")&gt;=2,2,IF(COUNTIF(M7:M10,"&gt;0")&gt;=1,1,0)))</f>
        <v>3</v>
      </c>
      <c r="O11" s="81" t="n">
        <f aca="false">IFERROR(AVERAGEIF(M7:M10,"&gt;0")/3*100,0)</f>
        <v>58.3333333333333</v>
      </c>
      <c r="P11" s="79" t="n">
        <f aca="false">COUNTIF(P7:P10,"&gt;0")</f>
        <v>4</v>
      </c>
      <c r="Q11" s="80" t="n">
        <f aca="false">IF(COUNTIF(P7:P10,"&gt;0")&gt;=3,3,IF(COUNTIF(P7:P10,"&gt;0")&gt;=2,2,IF(COUNTIF(P7:P10,"&gt;0")&gt;=1,1,0)))</f>
        <v>3</v>
      </c>
      <c r="R11" s="81" t="n">
        <f aca="false">IFERROR(AVERAGEIF(P7:P10,"&gt;0")/3*100,0)</f>
        <v>58.3333333333333</v>
      </c>
    </row>
    <row r="13" customFormat="false" ht="25.5" hidden="false" customHeight="true" outlineLevel="0" collapsed="false">
      <c r="A13" s="9" t="s">
        <v>131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A14" s="35" t="s">
        <v>45</v>
      </c>
      <c r="B14" s="82" t="s">
        <v>132</v>
      </c>
      <c r="C14" s="11" t="s">
        <v>33</v>
      </c>
      <c r="D14" s="84" t="n">
        <v>0</v>
      </c>
      <c r="E14" s="83"/>
      <c r="F14" s="83"/>
      <c r="G14" s="84" t="n">
        <v>0</v>
      </c>
      <c r="H14" s="83"/>
      <c r="I14" s="83"/>
      <c r="J14" s="74" t="n">
        <v>1</v>
      </c>
      <c r="K14" s="83"/>
      <c r="L14" s="83"/>
      <c r="M14" s="84" t="n">
        <v>0</v>
      </c>
      <c r="N14" s="83"/>
      <c r="O14" s="83"/>
      <c r="P14" s="84" t="n">
        <v>0</v>
      </c>
      <c r="Q14" s="83"/>
      <c r="R14" s="83"/>
    </row>
    <row r="15" customFormat="false" ht="19.5" hidden="false" customHeight="true" outlineLevel="0" collapsed="false">
      <c r="A15" s="35"/>
      <c r="B15" s="76" t="s">
        <v>133</v>
      </c>
      <c r="C15" s="11" t="s">
        <v>33</v>
      </c>
      <c r="D15" s="84" t="n">
        <v>0</v>
      </c>
      <c r="E15" s="77"/>
      <c r="F15" s="77"/>
      <c r="G15" s="84" t="n">
        <v>0</v>
      </c>
      <c r="H15" s="77"/>
      <c r="I15" s="77"/>
      <c r="J15" s="74" t="n">
        <v>2</v>
      </c>
      <c r="K15" s="77"/>
      <c r="L15" s="77"/>
      <c r="M15" s="84" t="n">
        <v>0</v>
      </c>
      <c r="N15" s="77"/>
      <c r="O15" s="77"/>
      <c r="P15" s="84" t="n">
        <v>0</v>
      </c>
      <c r="Q15" s="77"/>
      <c r="R15" s="77"/>
    </row>
    <row r="16" customFormat="false" ht="19.5" hidden="false" customHeight="true" outlineLevel="0" collapsed="false">
      <c r="A16" s="35"/>
      <c r="B16" s="82" t="s">
        <v>134</v>
      </c>
      <c r="C16" s="11" t="s">
        <v>33</v>
      </c>
      <c r="D16" s="84" t="n">
        <v>0</v>
      </c>
      <c r="E16" s="83"/>
      <c r="F16" s="83"/>
      <c r="G16" s="84" t="n">
        <v>0</v>
      </c>
      <c r="H16" s="83"/>
      <c r="I16" s="83"/>
      <c r="J16" s="74" t="n">
        <v>3</v>
      </c>
      <c r="K16" s="83"/>
      <c r="L16" s="83"/>
      <c r="M16" s="84" t="n">
        <v>0</v>
      </c>
      <c r="N16" s="83"/>
      <c r="O16" s="83"/>
      <c r="P16" s="84" t="n">
        <v>0</v>
      </c>
      <c r="Q16" s="83"/>
      <c r="R16" s="83"/>
    </row>
    <row r="17" customFormat="false" ht="19.5" hidden="false" customHeight="true" outlineLevel="0" collapsed="false">
      <c r="A17" s="35"/>
      <c r="B17" s="76" t="s">
        <v>135</v>
      </c>
      <c r="C17" s="11" t="s">
        <v>33</v>
      </c>
      <c r="D17" s="84" t="n">
        <v>0</v>
      </c>
      <c r="E17" s="77"/>
      <c r="F17" s="77"/>
      <c r="G17" s="84" t="n">
        <v>0</v>
      </c>
      <c r="H17" s="77"/>
      <c r="I17" s="77"/>
      <c r="J17" s="74" t="n">
        <v>1</v>
      </c>
      <c r="K17" s="77"/>
      <c r="L17" s="77"/>
      <c r="M17" s="84" t="n">
        <v>0</v>
      </c>
      <c r="N17" s="77"/>
      <c r="O17" s="77"/>
      <c r="P17" s="84" t="n">
        <v>0</v>
      </c>
      <c r="Q17" s="77"/>
      <c r="R17" s="77"/>
    </row>
    <row r="18" customFormat="false" ht="21.75" hidden="false" customHeight="true" outlineLevel="0" collapsed="false">
      <c r="A18" s="85" t="s">
        <v>130</v>
      </c>
      <c r="B18" s="85"/>
      <c r="C18" s="86"/>
      <c r="D18" s="87" t="n">
        <f aca="false">COUNTIF(D14:D17,"&gt;0")</f>
        <v>0</v>
      </c>
      <c r="E18" s="88" t="n">
        <f aca="false">IF(COUNTIF(D14:D17,"&gt;0")&gt;=3,3,IF(COUNTIF(D14:D17,"&gt;0")&gt;=2,2,IF(COUNTIF(D14:D17,"&gt;0")&gt;=1,1,0)))</f>
        <v>0</v>
      </c>
      <c r="F18" s="89" t="n">
        <f aca="false">IFERROR(AVERAGEIF(D14:D17,"&gt;0")/3*100,0)</f>
        <v>0</v>
      </c>
      <c r="G18" s="87" t="n">
        <f aca="false">COUNTIF(G14:G17,"&gt;0")</f>
        <v>0</v>
      </c>
      <c r="H18" s="88" t="n">
        <f aca="false">IF(COUNTIF(G14:G17,"&gt;0")&gt;=3,3,IF(COUNTIF(G14:G17,"&gt;0")&gt;=2,2,IF(COUNTIF(G14:G17,"&gt;0")&gt;=1,1,0)))</f>
        <v>0</v>
      </c>
      <c r="I18" s="89" t="n">
        <f aca="false">IFERROR(AVERAGEIF(G14:G17,"&gt;0")/3*100,0)</f>
        <v>0</v>
      </c>
      <c r="J18" s="87" t="n">
        <f aca="false">COUNTIF(J14:J17,"&gt;0")</f>
        <v>4</v>
      </c>
      <c r="K18" s="88" t="n">
        <f aca="false">IF(COUNTIF(J14:J17,"&gt;0")&gt;=3,3,IF(COUNTIF(J14:J17,"&gt;0")&gt;=2,2,IF(COUNTIF(J14:J17,"&gt;0")&gt;=1,1,0)))</f>
        <v>3</v>
      </c>
      <c r="L18" s="89" t="n">
        <f aca="false">IFERROR(AVERAGEIF(J14:J17,"&gt;0")/3*100,0)</f>
        <v>58.3333333333333</v>
      </c>
      <c r="M18" s="87" t="n">
        <f aca="false">COUNTIF(M14:M17,"&gt;0")</f>
        <v>0</v>
      </c>
      <c r="N18" s="88" t="n">
        <f aca="false">IF(COUNTIF(M14:M17,"&gt;0")&gt;=3,3,IF(COUNTIF(M14:M17,"&gt;0")&gt;=2,2,IF(COUNTIF(M14:M17,"&gt;0")&gt;=1,1,0)))</f>
        <v>0</v>
      </c>
      <c r="O18" s="89" t="n">
        <f aca="false">IFERROR(AVERAGEIF(M14:M17,"&gt;0")/3*100,0)</f>
        <v>0</v>
      </c>
      <c r="P18" s="87" t="n">
        <f aca="false">COUNTIF(P14:P17,"&gt;0")</f>
        <v>0</v>
      </c>
      <c r="Q18" s="88" t="n">
        <f aca="false">IF(COUNTIF(P14:P17,"&gt;0")&gt;=3,3,IF(COUNTIF(P14:P17,"&gt;0")&gt;=2,2,IF(COUNTIF(P14:P17,"&gt;0")&gt;=1,1,0)))</f>
        <v>0</v>
      </c>
      <c r="R18" s="89" t="n">
        <f aca="false">IFERROR(AVERAGEIF(P14:P17,"&gt;0")/3*100,0)</f>
        <v>0</v>
      </c>
    </row>
    <row r="20" customFormat="false" ht="25.5" hidden="false" customHeight="true" outlineLevel="0" collapsed="false">
      <c r="A20" s="54" t="s">
        <v>136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customFormat="false" ht="19.5" hidden="false" customHeight="true" outlineLevel="0" collapsed="false">
      <c r="A21" s="38" t="s">
        <v>48</v>
      </c>
      <c r="B21" s="29" t="s">
        <v>137</v>
      </c>
      <c r="C21" s="11" t="s">
        <v>33</v>
      </c>
      <c r="D21" s="84" t="n">
        <v>0</v>
      </c>
      <c r="E21" s="28"/>
      <c r="F21" s="28"/>
      <c r="G21" s="84" t="n">
        <v>0</v>
      </c>
      <c r="H21" s="28"/>
      <c r="I21" s="28"/>
      <c r="J21" s="84" t="n">
        <v>0</v>
      </c>
      <c r="K21" s="28"/>
      <c r="L21" s="28"/>
      <c r="M21" s="84" t="n">
        <v>0</v>
      </c>
      <c r="N21" s="28"/>
      <c r="O21" s="28"/>
      <c r="P21" s="84" t="n">
        <v>0</v>
      </c>
      <c r="Q21" s="28"/>
      <c r="R21" s="28"/>
    </row>
    <row r="22" customFormat="false" ht="19.5" hidden="false" customHeight="true" outlineLevel="0" collapsed="false">
      <c r="A22" s="38"/>
      <c r="B22" s="76" t="s">
        <v>138</v>
      </c>
      <c r="C22" s="11" t="s">
        <v>33</v>
      </c>
      <c r="D22" s="84" t="n">
        <v>0</v>
      </c>
      <c r="E22" s="77"/>
      <c r="F22" s="77"/>
      <c r="G22" s="84" t="n">
        <v>0</v>
      </c>
      <c r="H22" s="77"/>
      <c r="I22" s="77"/>
      <c r="J22" s="84" t="n">
        <v>0</v>
      </c>
      <c r="K22" s="77"/>
      <c r="L22" s="77"/>
      <c r="M22" s="84" t="n">
        <v>0</v>
      </c>
      <c r="N22" s="77"/>
      <c r="O22" s="77"/>
      <c r="P22" s="84" t="n">
        <v>0</v>
      </c>
      <c r="Q22" s="77"/>
      <c r="R22" s="77"/>
    </row>
    <row r="23" customFormat="false" ht="19.5" hidden="false" customHeight="true" outlineLevel="0" collapsed="false">
      <c r="A23" s="38"/>
      <c r="B23" s="29" t="s">
        <v>139</v>
      </c>
      <c r="C23" s="11" t="s">
        <v>33</v>
      </c>
      <c r="D23" s="84" t="n">
        <v>0</v>
      </c>
      <c r="E23" s="28"/>
      <c r="F23" s="28"/>
      <c r="G23" s="84" t="n">
        <v>0</v>
      </c>
      <c r="H23" s="28"/>
      <c r="I23" s="28"/>
      <c r="J23" s="84" t="n">
        <v>0</v>
      </c>
      <c r="K23" s="28"/>
      <c r="L23" s="28"/>
      <c r="M23" s="84" t="n">
        <v>0</v>
      </c>
      <c r="N23" s="28"/>
      <c r="O23" s="28"/>
      <c r="P23" s="84" t="n">
        <v>0</v>
      </c>
      <c r="Q23" s="28"/>
      <c r="R23" s="28"/>
    </row>
    <row r="24" customFormat="false" ht="19.5" hidden="false" customHeight="true" outlineLevel="0" collapsed="false">
      <c r="A24" s="38"/>
      <c r="B24" s="76" t="s">
        <v>140</v>
      </c>
      <c r="C24" s="11" t="s">
        <v>33</v>
      </c>
      <c r="D24" s="84" t="n">
        <v>0</v>
      </c>
      <c r="E24" s="77"/>
      <c r="F24" s="77"/>
      <c r="G24" s="84" t="n">
        <v>0</v>
      </c>
      <c r="H24" s="77"/>
      <c r="I24" s="77"/>
      <c r="J24" s="84" t="n">
        <v>0</v>
      </c>
      <c r="K24" s="77"/>
      <c r="L24" s="77"/>
      <c r="M24" s="84" t="n">
        <v>0</v>
      </c>
      <c r="N24" s="77"/>
      <c r="O24" s="77"/>
      <c r="P24" s="84" t="n">
        <v>0</v>
      </c>
      <c r="Q24" s="77"/>
      <c r="R24" s="77"/>
    </row>
    <row r="25" customFormat="false" ht="21.75" hidden="false" customHeight="true" outlineLevel="0" collapsed="false">
      <c r="A25" s="90" t="s">
        <v>130</v>
      </c>
      <c r="B25" s="90"/>
      <c r="C25" s="91"/>
      <c r="D25" s="92" t="n">
        <f aca="false">COUNTIF(D21:D24,"&gt;0")</f>
        <v>0</v>
      </c>
      <c r="E25" s="93" t="n">
        <f aca="false">IF(COUNTIF(D21:D24,"&gt;0")&gt;=3,3,IF(COUNTIF(D21:D24,"&gt;0")&gt;=2,2,IF(COUNTIF(D21:D24,"&gt;0")&gt;=1,1,0)))</f>
        <v>0</v>
      </c>
      <c r="F25" s="94" t="n">
        <f aca="false">IFERROR(AVERAGEIF(D21:D24,"&gt;0")/3*100,0)</f>
        <v>0</v>
      </c>
      <c r="G25" s="92" t="n">
        <f aca="false">COUNTIF(G21:G24,"&gt;0")</f>
        <v>0</v>
      </c>
      <c r="H25" s="93" t="n">
        <f aca="false">IF(COUNTIF(G21:G24,"&gt;0")&gt;=3,3,IF(COUNTIF(G21:G24,"&gt;0")&gt;=2,2,IF(COUNTIF(G21:G24,"&gt;0")&gt;=1,1,0)))</f>
        <v>0</v>
      </c>
      <c r="I25" s="94" t="n">
        <f aca="false">IFERROR(AVERAGEIF(G21:G24,"&gt;0")/3*100,0)</f>
        <v>0</v>
      </c>
      <c r="J25" s="92" t="n">
        <f aca="false">COUNTIF(J21:J24,"&gt;0")</f>
        <v>0</v>
      </c>
      <c r="K25" s="93" t="n">
        <f aca="false">IF(COUNTIF(J21:J24,"&gt;0")&gt;=3,3,IF(COUNTIF(J21:J24,"&gt;0")&gt;=2,2,IF(COUNTIF(J21:J24,"&gt;0")&gt;=1,1,0)))</f>
        <v>0</v>
      </c>
      <c r="L25" s="94" t="n">
        <f aca="false">IFERROR(AVERAGEIF(J21:J24,"&gt;0")/3*100,0)</f>
        <v>0</v>
      </c>
      <c r="M25" s="92" t="n">
        <f aca="false">COUNTIF(M21:M24,"&gt;0")</f>
        <v>0</v>
      </c>
      <c r="N25" s="93" t="n">
        <f aca="false">IF(COUNTIF(M21:M24,"&gt;0")&gt;=3,3,IF(COUNTIF(M21:M24,"&gt;0")&gt;=2,2,IF(COUNTIF(M21:M24,"&gt;0")&gt;=1,1,0)))</f>
        <v>0</v>
      </c>
      <c r="O25" s="94" t="n">
        <f aca="false">IFERROR(AVERAGEIF(M21:M24,"&gt;0")/3*100,0)</f>
        <v>0</v>
      </c>
      <c r="P25" s="92" t="n">
        <f aca="false">COUNTIF(P21:P24,"&gt;0")</f>
        <v>0</v>
      </c>
      <c r="Q25" s="93" t="n">
        <f aca="false">IF(COUNTIF(P21:P24,"&gt;0")&gt;=3,3,IF(COUNTIF(P21:P24,"&gt;0")&gt;=2,2,IF(COUNTIF(P21:P24,"&gt;0")&gt;=1,1,0)))</f>
        <v>0</v>
      </c>
      <c r="R25" s="94" t="n">
        <f aca="false">IFERROR(AVERAGEIF(P21:P24,"&gt;0")/3*100,0)</f>
        <v>0</v>
      </c>
    </row>
    <row r="27" customFormat="false" ht="25.5" hidden="false" customHeight="true" outlineLevel="0" collapsed="false">
      <c r="A27" s="61" t="s">
        <v>141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customFormat="false" ht="19.5" hidden="false" customHeight="true" outlineLevel="0" collapsed="false">
      <c r="A28" s="40" t="s">
        <v>51</v>
      </c>
      <c r="B28" s="19" t="s">
        <v>142</v>
      </c>
      <c r="C28" s="11" t="s">
        <v>33</v>
      </c>
      <c r="D28" s="74" t="n">
        <v>1</v>
      </c>
      <c r="E28" s="18"/>
      <c r="F28" s="18"/>
      <c r="G28" s="74" t="n">
        <v>1</v>
      </c>
      <c r="H28" s="18"/>
      <c r="I28" s="18"/>
      <c r="J28" s="74" t="n">
        <v>1</v>
      </c>
      <c r="K28" s="18"/>
      <c r="L28" s="18"/>
      <c r="M28" s="74" t="n">
        <v>1</v>
      </c>
      <c r="N28" s="18"/>
      <c r="O28" s="18"/>
      <c r="P28" s="74" t="n">
        <v>1</v>
      </c>
      <c r="Q28" s="18"/>
      <c r="R28" s="18"/>
    </row>
    <row r="29" customFormat="false" ht="19.5" hidden="false" customHeight="true" outlineLevel="0" collapsed="false">
      <c r="A29" s="40"/>
      <c r="B29" s="76" t="s">
        <v>143</v>
      </c>
      <c r="C29" s="11" t="s">
        <v>33</v>
      </c>
      <c r="D29" s="74" t="n">
        <v>2</v>
      </c>
      <c r="E29" s="77"/>
      <c r="F29" s="77"/>
      <c r="G29" s="74" t="n">
        <v>2</v>
      </c>
      <c r="H29" s="77"/>
      <c r="I29" s="77"/>
      <c r="J29" s="74" t="n">
        <v>2</v>
      </c>
      <c r="K29" s="77"/>
      <c r="L29" s="77"/>
      <c r="M29" s="74" t="n">
        <v>2</v>
      </c>
      <c r="N29" s="77"/>
      <c r="O29" s="77"/>
      <c r="P29" s="74" t="n">
        <v>2</v>
      </c>
      <c r="Q29" s="77"/>
      <c r="R29" s="77"/>
    </row>
    <row r="30" customFormat="false" ht="19.5" hidden="false" customHeight="true" outlineLevel="0" collapsed="false">
      <c r="A30" s="40"/>
      <c r="B30" s="19" t="s">
        <v>144</v>
      </c>
      <c r="C30" s="11" t="s">
        <v>33</v>
      </c>
      <c r="D30" s="74" t="n">
        <v>3</v>
      </c>
      <c r="E30" s="18"/>
      <c r="F30" s="18"/>
      <c r="G30" s="74" t="n">
        <v>3</v>
      </c>
      <c r="H30" s="18"/>
      <c r="I30" s="18"/>
      <c r="J30" s="74" t="n">
        <v>3</v>
      </c>
      <c r="K30" s="18"/>
      <c r="L30" s="18"/>
      <c r="M30" s="74" t="n">
        <v>3</v>
      </c>
      <c r="N30" s="18"/>
      <c r="O30" s="18"/>
      <c r="P30" s="74" t="n">
        <v>3</v>
      </c>
      <c r="Q30" s="18"/>
      <c r="R30" s="18"/>
    </row>
    <row r="31" customFormat="false" ht="19.5" hidden="false" customHeight="true" outlineLevel="0" collapsed="false">
      <c r="A31" s="40"/>
      <c r="B31" s="76" t="s">
        <v>145</v>
      </c>
      <c r="C31" s="11" t="s">
        <v>33</v>
      </c>
      <c r="D31" s="74" t="n">
        <v>1</v>
      </c>
      <c r="E31" s="77"/>
      <c r="F31" s="77"/>
      <c r="G31" s="74" t="n">
        <v>1</v>
      </c>
      <c r="H31" s="77"/>
      <c r="I31" s="77"/>
      <c r="J31" s="74" t="n">
        <v>1</v>
      </c>
      <c r="K31" s="77"/>
      <c r="L31" s="77"/>
      <c r="M31" s="74" t="n">
        <v>1</v>
      </c>
      <c r="N31" s="77"/>
      <c r="O31" s="77"/>
      <c r="P31" s="74" t="n">
        <v>1</v>
      </c>
      <c r="Q31" s="77"/>
      <c r="R31" s="77"/>
    </row>
    <row r="32" customFormat="false" ht="21.75" hidden="false" customHeight="true" outlineLevel="0" collapsed="false">
      <c r="A32" s="6" t="s">
        <v>130</v>
      </c>
      <c r="B32" s="6"/>
      <c r="C32" s="95"/>
      <c r="D32" s="96" t="n">
        <f aca="false">COUNTIF(D28:D31,"&gt;0")</f>
        <v>4</v>
      </c>
      <c r="E32" s="97" t="n">
        <f aca="false">IF(COUNTIF(D28:D31,"&gt;0")&gt;=3,3,IF(COUNTIF(D28:D31,"&gt;0")&gt;=2,2,IF(COUNTIF(D28:D31,"&gt;0")&gt;=1,1,0)))</f>
        <v>3</v>
      </c>
      <c r="F32" s="98" t="n">
        <f aca="false">IFERROR(AVERAGEIF(D28:D31,"&gt;0")/3*100,0)</f>
        <v>58.3333333333333</v>
      </c>
      <c r="G32" s="96" t="n">
        <f aca="false">COUNTIF(G28:G31,"&gt;0")</f>
        <v>4</v>
      </c>
      <c r="H32" s="97" t="n">
        <f aca="false">IF(COUNTIF(G28:G31,"&gt;0")&gt;=3,3,IF(COUNTIF(G28:G31,"&gt;0")&gt;=2,2,IF(COUNTIF(G28:G31,"&gt;0")&gt;=1,1,0)))</f>
        <v>3</v>
      </c>
      <c r="I32" s="98" t="n">
        <f aca="false">IFERROR(AVERAGEIF(G28:G31,"&gt;0")/3*100,0)</f>
        <v>58.3333333333333</v>
      </c>
      <c r="J32" s="96" t="n">
        <f aca="false">COUNTIF(J28:J31,"&gt;0")</f>
        <v>4</v>
      </c>
      <c r="K32" s="97" t="n">
        <f aca="false">IF(COUNTIF(J28:J31,"&gt;0")&gt;=3,3,IF(COUNTIF(J28:J31,"&gt;0")&gt;=2,2,IF(COUNTIF(J28:J31,"&gt;0")&gt;=1,1,0)))</f>
        <v>3</v>
      </c>
      <c r="L32" s="98" t="n">
        <f aca="false">IFERROR(AVERAGEIF(J28:J31,"&gt;0")/3*100,0)</f>
        <v>58.3333333333333</v>
      </c>
      <c r="M32" s="96" t="n">
        <f aca="false">COUNTIF(M28:M31,"&gt;0")</f>
        <v>4</v>
      </c>
      <c r="N32" s="97" t="n">
        <f aca="false">IF(COUNTIF(M28:M31,"&gt;0")&gt;=3,3,IF(COUNTIF(M28:M31,"&gt;0")&gt;=2,2,IF(COUNTIF(M28:M31,"&gt;0")&gt;=1,1,0)))</f>
        <v>3</v>
      </c>
      <c r="O32" s="98" t="n">
        <f aca="false">IFERROR(AVERAGEIF(M28:M31,"&gt;0")/3*100,0)</f>
        <v>58.3333333333333</v>
      </c>
      <c r="P32" s="96" t="n">
        <f aca="false">COUNTIF(P28:P31,"&gt;0")</f>
        <v>4</v>
      </c>
      <c r="Q32" s="97" t="n">
        <f aca="false">IF(COUNTIF(P28:P31,"&gt;0")&gt;=3,3,IF(COUNTIF(P28:P31,"&gt;0")&gt;=2,2,IF(COUNTIF(P28:P31,"&gt;0")&gt;=1,1,0)))</f>
        <v>3</v>
      </c>
      <c r="R32" s="98" t="n">
        <f aca="false">IFERROR(AVERAGEIF(P28:P31,"&gt;0")/3*100,0)</f>
        <v>58.3333333333333</v>
      </c>
    </row>
    <row r="34" customFormat="false" ht="25.5" hidden="false" customHeight="true" outlineLevel="0" collapsed="false">
      <c r="A34" s="4" t="s">
        <v>146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customFormat="false" ht="19.5" hidden="false" customHeight="true" outlineLevel="0" collapsed="false">
      <c r="A35" s="42" t="s">
        <v>54</v>
      </c>
      <c r="B35" s="99" t="s">
        <v>147</v>
      </c>
      <c r="C35" s="11" t="s">
        <v>33</v>
      </c>
      <c r="D35" s="74" t="n">
        <v>1</v>
      </c>
      <c r="E35" s="100"/>
      <c r="F35" s="100"/>
      <c r="G35" s="74" t="n">
        <v>1</v>
      </c>
      <c r="H35" s="100"/>
      <c r="I35" s="100"/>
      <c r="J35" s="74" t="n">
        <v>1</v>
      </c>
      <c r="K35" s="100"/>
      <c r="L35" s="100"/>
      <c r="M35" s="74" t="n">
        <v>1</v>
      </c>
      <c r="N35" s="100"/>
      <c r="O35" s="100"/>
      <c r="P35" s="74" t="n">
        <v>1</v>
      </c>
      <c r="Q35" s="100"/>
      <c r="R35" s="100"/>
    </row>
    <row r="36" customFormat="false" ht="19.5" hidden="false" customHeight="true" outlineLevel="0" collapsed="false">
      <c r="A36" s="42"/>
      <c r="B36" s="76" t="s">
        <v>148</v>
      </c>
      <c r="C36" s="11" t="s">
        <v>33</v>
      </c>
      <c r="D36" s="74" t="n">
        <v>2</v>
      </c>
      <c r="E36" s="77"/>
      <c r="F36" s="77"/>
      <c r="G36" s="74" t="n">
        <v>2</v>
      </c>
      <c r="H36" s="77"/>
      <c r="I36" s="77"/>
      <c r="J36" s="74" t="n">
        <v>2</v>
      </c>
      <c r="K36" s="77"/>
      <c r="L36" s="77"/>
      <c r="M36" s="74" t="n">
        <v>2</v>
      </c>
      <c r="N36" s="77"/>
      <c r="O36" s="77"/>
      <c r="P36" s="74" t="n">
        <v>2</v>
      </c>
      <c r="Q36" s="77"/>
      <c r="R36" s="77"/>
    </row>
    <row r="37" customFormat="false" ht="19.5" hidden="false" customHeight="true" outlineLevel="0" collapsed="false">
      <c r="A37" s="42"/>
      <c r="B37" s="99" t="s">
        <v>149</v>
      </c>
      <c r="C37" s="11" t="s">
        <v>33</v>
      </c>
      <c r="D37" s="74" t="n">
        <v>3</v>
      </c>
      <c r="E37" s="100"/>
      <c r="F37" s="100"/>
      <c r="G37" s="74" t="n">
        <v>3</v>
      </c>
      <c r="H37" s="100"/>
      <c r="I37" s="100"/>
      <c r="J37" s="74" t="n">
        <v>3</v>
      </c>
      <c r="K37" s="100"/>
      <c r="L37" s="100"/>
      <c r="M37" s="74" t="n">
        <v>3</v>
      </c>
      <c r="N37" s="100"/>
      <c r="O37" s="100"/>
      <c r="P37" s="74" t="n">
        <v>3</v>
      </c>
      <c r="Q37" s="100"/>
      <c r="R37" s="100"/>
    </row>
    <row r="38" customFormat="false" ht="19.5" hidden="false" customHeight="true" outlineLevel="0" collapsed="false">
      <c r="A38" s="42"/>
      <c r="B38" s="76" t="s">
        <v>145</v>
      </c>
      <c r="C38" s="11" t="s">
        <v>33</v>
      </c>
      <c r="D38" s="74" t="n">
        <v>1</v>
      </c>
      <c r="E38" s="77"/>
      <c r="F38" s="77"/>
      <c r="G38" s="74" t="n">
        <v>1</v>
      </c>
      <c r="H38" s="77"/>
      <c r="I38" s="77"/>
      <c r="J38" s="74" t="n">
        <v>1</v>
      </c>
      <c r="K38" s="77"/>
      <c r="L38" s="77"/>
      <c r="M38" s="74" t="n">
        <v>1</v>
      </c>
      <c r="N38" s="77"/>
      <c r="O38" s="77"/>
      <c r="P38" s="74" t="n">
        <v>1</v>
      </c>
      <c r="Q38" s="77"/>
      <c r="R38" s="77"/>
    </row>
    <row r="39" customFormat="false" ht="21.75" hidden="false" customHeight="true" outlineLevel="0" collapsed="false">
      <c r="A39" s="101" t="s">
        <v>130</v>
      </c>
      <c r="B39" s="101"/>
      <c r="C39" s="102"/>
      <c r="D39" s="103" t="n">
        <f aca="false">COUNTIF(D35:D38,"&gt;0")</f>
        <v>4</v>
      </c>
      <c r="E39" s="104" t="n">
        <f aca="false">IF(COUNTIF(D35:D38,"&gt;0")&gt;=3,3,IF(COUNTIF(D35:D38,"&gt;0")&gt;=2,2,IF(COUNTIF(D35:D38,"&gt;0")&gt;=1,1,0)))</f>
        <v>3</v>
      </c>
      <c r="F39" s="105" t="n">
        <f aca="false">IFERROR(AVERAGEIF(D35:D38,"&gt;0")/3*100,0)</f>
        <v>58.3333333333333</v>
      </c>
      <c r="G39" s="103" t="n">
        <f aca="false">COUNTIF(G35:G38,"&gt;0")</f>
        <v>4</v>
      </c>
      <c r="H39" s="104" t="n">
        <f aca="false">IF(COUNTIF(G35:G38,"&gt;0")&gt;=3,3,IF(COUNTIF(G35:G38,"&gt;0")&gt;=2,2,IF(COUNTIF(G35:G38,"&gt;0")&gt;=1,1,0)))</f>
        <v>3</v>
      </c>
      <c r="I39" s="105" t="n">
        <f aca="false">IFERROR(AVERAGEIF(G35:G38,"&gt;0")/3*100,0)</f>
        <v>58.3333333333333</v>
      </c>
      <c r="J39" s="103" t="n">
        <f aca="false">COUNTIF(J35:J38,"&gt;0")</f>
        <v>4</v>
      </c>
      <c r="K39" s="104" t="n">
        <f aca="false">IF(COUNTIF(J35:J38,"&gt;0")&gt;=3,3,IF(COUNTIF(J35:J38,"&gt;0")&gt;=2,2,IF(COUNTIF(J35:J38,"&gt;0")&gt;=1,1,0)))</f>
        <v>3</v>
      </c>
      <c r="L39" s="105" t="n">
        <f aca="false">IFERROR(AVERAGEIF(J35:J38,"&gt;0")/3*100,0)</f>
        <v>58.3333333333333</v>
      </c>
      <c r="M39" s="103" t="n">
        <f aca="false">COUNTIF(M35:M38,"&gt;0")</f>
        <v>4</v>
      </c>
      <c r="N39" s="104" t="n">
        <f aca="false">IF(COUNTIF(M35:M38,"&gt;0")&gt;=3,3,IF(COUNTIF(M35:M38,"&gt;0")&gt;=2,2,IF(COUNTIF(M35:M38,"&gt;0")&gt;=1,1,0)))</f>
        <v>3</v>
      </c>
      <c r="O39" s="105" t="n">
        <f aca="false">IFERROR(AVERAGEIF(M35:M38,"&gt;0")/3*100,0)</f>
        <v>58.3333333333333</v>
      </c>
      <c r="P39" s="103" t="n">
        <f aca="false">COUNTIF(P35:P38,"&gt;0")</f>
        <v>4</v>
      </c>
      <c r="Q39" s="104" t="n">
        <f aca="false">IF(COUNTIF(P35:P38,"&gt;0")&gt;=3,3,IF(COUNTIF(P35:P38,"&gt;0")&gt;=2,2,IF(COUNTIF(P35:P38,"&gt;0")&gt;=1,1,0)))</f>
        <v>3</v>
      </c>
      <c r="R39" s="105" t="n">
        <f aca="false">IFERROR(AVERAGEIF(P35:P38,"&gt;0")/3*100,0)</f>
        <v>58.3333333333333</v>
      </c>
    </row>
    <row r="41" customFormat="false" ht="25.5" hidden="false" customHeight="true" outlineLevel="0" collapsed="false">
      <c r="A41" s="106" t="s">
        <v>150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 customFormat="false" ht="19.5" hidden="false" customHeight="true" outlineLevel="0" collapsed="false">
      <c r="A42" s="45" t="s">
        <v>57</v>
      </c>
      <c r="B42" s="107" t="s">
        <v>151</v>
      </c>
      <c r="C42" s="11" t="s">
        <v>33</v>
      </c>
      <c r="D42" s="74" t="n">
        <v>1</v>
      </c>
      <c r="E42" s="108"/>
      <c r="F42" s="108"/>
      <c r="G42" s="74" t="n">
        <v>1</v>
      </c>
      <c r="H42" s="108"/>
      <c r="I42" s="108"/>
      <c r="J42" s="74" t="n">
        <v>1</v>
      </c>
      <c r="K42" s="108"/>
      <c r="L42" s="108"/>
      <c r="M42" s="74" t="n">
        <v>1</v>
      </c>
      <c r="N42" s="108"/>
      <c r="O42" s="108"/>
      <c r="P42" s="74" t="n">
        <v>1</v>
      </c>
      <c r="Q42" s="108"/>
      <c r="R42" s="108"/>
    </row>
    <row r="43" customFormat="false" ht="19.5" hidden="false" customHeight="true" outlineLevel="0" collapsed="false">
      <c r="A43" s="45"/>
      <c r="B43" s="76" t="s">
        <v>152</v>
      </c>
      <c r="C43" s="11" t="s">
        <v>33</v>
      </c>
      <c r="D43" s="74" t="n">
        <v>2</v>
      </c>
      <c r="E43" s="77"/>
      <c r="F43" s="77"/>
      <c r="G43" s="74" t="n">
        <v>2</v>
      </c>
      <c r="H43" s="77"/>
      <c r="I43" s="77"/>
      <c r="J43" s="74" t="n">
        <v>2</v>
      </c>
      <c r="K43" s="77"/>
      <c r="L43" s="77"/>
      <c r="M43" s="74" t="n">
        <v>2</v>
      </c>
      <c r="N43" s="77"/>
      <c r="O43" s="77"/>
      <c r="P43" s="74" t="n">
        <v>2</v>
      </c>
      <c r="Q43" s="77"/>
      <c r="R43" s="77"/>
    </row>
    <row r="44" customFormat="false" ht="19.5" hidden="false" customHeight="true" outlineLevel="0" collapsed="false">
      <c r="A44" s="45"/>
      <c r="B44" s="107" t="s">
        <v>153</v>
      </c>
      <c r="C44" s="11" t="s">
        <v>33</v>
      </c>
      <c r="D44" s="74" t="n">
        <v>3</v>
      </c>
      <c r="E44" s="108"/>
      <c r="F44" s="108"/>
      <c r="G44" s="74" t="n">
        <v>3</v>
      </c>
      <c r="H44" s="108"/>
      <c r="I44" s="108"/>
      <c r="J44" s="74" t="n">
        <v>3</v>
      </c>
      <c r="K44" s="108"/>
      <c r="L44" s="108"/>
      <c r="M44" s="74" t="n">
        <v>3</v>
      </c>
      <c r="N44" s="108"/>
      <c r="O44" s="108"/>
      <c r="P44" s="74" t="n">
        <v>3</v>
      </c>
      <c r="Q44" s="108"/>
      <c r="R44" s="108"/>
    </row>
    <row r="45" customFormat="false" ht="19.5" hidden="false" customHeight="true" outlineLevel="0" collapsed="false">
      <c r="A45" s="45"/>
      <c r="B45" s="76" t="s">
        <v>154</v>
      </c>
      <c r="C45" s="11" t="s">
        <v>33</v>
      </c>
      <c r="D45" s="74" t="n">
        <v>1</v>
      </c>
      <c r="E45" s="77"/>
      <c r="F45" s="77"/>
      <c r="G45" s="74" t="n">
        <v>1</v>
      </c>
      <c r="H45" s="77"/>
      <c r="I45" s="77"/>
      <c r="J45" s="74" t="n">
        <v>1</v>
      </c>
      <c r="K45" s="77"/>
      <c r="L45" s="77"/>
      <c r="M45" s="74" t="n">
        <v>1</v>
      </c>
      <c r="N45" s="77"/>
      <c r="O45" s="77"/>
      <c r="P45" s="74" t="n">
        <v>1</v>
      </c>
      <c r="Q45" s="77"/>
      <c r="R45" s="77"/>
    </row>
    <row r="46" customFormat="false" ht="21.75" hidden="false" customHeight="true" outlineLevel="0" collapsed="false">
      <c r="A46" s="109" t="s">
        <v>130</v>
      </c>
      <c r="B46" s="109"/>
      <c r="C46" s="110"/>
      <c r="D46" s="111" t="n">
        <f aca="false">COUNTIF(D42:D45,"&gt;0")</f>
        <v>4</v>
      </c>
      <c r="E46" s="112" t="n">
        <f aca="false">IF(COUNTIF(D42:D45,"&gt;0")&gt;=3,3,IF(COUNTIF(D42:D45,"&gt;0")&gt;=2,2,IF(COUNTIF(D42:D45,"&gt;0")&gt;=1,1,0)))</f>
        <v>3</v>
      </c>
      <c r="F46" s="113" t="n">
        <f aca="false">IFERROR(AVERAGEIF(D42:D45,"&gt;0")/3*100,0)</f>
        <v>58.3333333333333</v>
      </c>
      <c r="G46" s="111" t="n">
        <f aca="false">COUNTIF(G42:G45,"&gt;0")</f>
        <v>4</v>
      </c>
      <c r="H46" s="112" t="n">
        <f aca="false">IF(COUNTIF(G42:G45,"&gt;0")&gt;=3,3,IF(COUNTIF(G42:G45,"&gt;0")&gt;=2,2,IF(COUNTIF(G42:G45,"&gt;0")&gt;=1,1,0)))</f>
        <v>3</v>
      </c>
      <c r="I46" s="113" t="n">
        <f aca="false">IFERROR(AVERAGEIF(G42:G45,"&gt;0")/3*100,0)</f>
        <v>58.3333333333333</v>
      </c>
      <c r="J46" s="111" t="n">
        <f aca="false">COUNTIF(J42:J45,"&gt;0")</f>
        <v>4</v>
      </c>
      <c r="K46" s="112" t="n">
        <f aca="false">IF(COUNTIF(J42:J45,"&gt;0")&gt;=3,3,IF(COUNTIF(J42:J45,"&gt;0")&gt;=2,2,IF(COUNTIF(J42:J45,"&gt;0")&gt;=1,1,0)))</f>
        <v>3</v>
      </c>
      <c r="L46" s="113" t="n">
        <f aca="false">IFERROR(AVERAGEIF(J42:J45,"&gt;0")/3*100,0)</f>
        <v>58.3333333333333</v>
      </c>
      <c r="M46" s="111" t="n">
        <f aca="false">COUNTIF(M42:M45,"&gt;0")</f>
        <v>4</v>
      </c>
      <c r="N46" s="112" t="n">
        <f aca="false">IF(COUNTIF(M42:M45,"&gt;0")&gt;=3,3,IF(COUNTIF(M42:M45,"&gt;0")&gt;=2,2,IF(COUNTIF(M42:M45,"&gt;0")&gt;=1,1,0)))</f>
        <v>3</v>
      </c>
      <c r="O46" s="113" t="n">
        <f aca="false">IFERROR(AVERAGEIF(M42:M45,"&gt;0")/3*100,0)</f>
        <v>58.3333333333333</v>
      </c>
      <c r="P46" s="111" t="n">
        <f aca="false">COUNTIF(P42:P45,"&gt;0")</f>
        <v>4</v>
      </c>
      <c r="Q46" s="112" t="n">
        <f aca="false">IF(COUNTIF(P42:P45,"&gt;0")&gt;=3,3,IF(COUNTIF(P42:P45,"&gt;0")&gt;=2,2,IF(COUNTIF(P42:P45,"&gt;0")&gt;=1,1,0)))</f>
        <v>3</v>
      </c>
      <c r="R46" s="113" t="n">
        <f aca="false">IFERROR(AVERAGEIF(P42:P45,"&gt;0")/3*100,0)</f>
        <v>58.3333333333333</v>
      </c>
    </row>
    <row r="48" customFormat="false" ht="25.5" hidden="false" customHeight="true" outlineLevel="0" collapsed="false">
      <c r="A48" s="114" t="s">
        <v>155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 customFormat="false" ht="19.5" hidden="false" customHeight="true" outlineLevel="0" collapsed="false">
      <c r="A49" s="48" t="s">
        <v>60</v>
      </c>
      <c r="B49" s="115" t="s">
        <v>156</v>
      </c>
      <c r="C49" s="11" t="s">
        <v>33</v>
      </c>
      <c r="D49" s="84" t="n">
        <v>0</v>
      </c>
      <c r="E49" s="116"/>
      <c r="F49" s="116"/>
      <c r="G49" s="74" t="n">
        <v>1</v>
      </c>
      <c r="H49" s="116"/>
      <c r="I49" s="116"/>
      <c r="J49" s="74" t="n">
        <v>1</v>
      </c>
      <c r="K49" s="116"/>
      <c r="L49" s="116"/>
      <c r="M49" s="84" t="n">
        <v>0</v>
      </c>
      <c r="N49" s="116"/>
      <c r="O49" s="116"/>
      <c r="P49" s="74" t="n">
        <v>1</v>
      </c>
      <c r="Q49" s="116"/>
      <c r="R49" s="116"/>
    </row>
    <row r="50" customFormat="false" ht="19.5" hidden="false" customHeight="true" outlineLevel="0" collapsed="false">
      <c r="A50" s="48"/>
      <c r="B50" s="76" t="s">
        <v>157</v>
      </c>
      <c r="C50" s="11" t="s">
        <v>33</v>
      </c>
      <c r="D50" s="84" t="n">
        <v>0</v>
      </c>
      <c r="E50" s="77"/>
      <c r="F50" s="77"/>
      <c r="G50" s="74" t="n">
        <v>2</v>
      </c>
      <c r="H50" s="77"/>
      <c r="I50" s="77"/>
      <c r="J50" s="74" t="n">
        <v>2</v>
      </c>
      <c r="K50" s="77"/>
      <c r="L50" s="77"/>
      <c r="M50" s="84" t="n">
        <v>0</v>
      </c>
      <c r="N50" s="77"/>
      <c r="O50" s="77"/>
      <c r="P50" s="74" t="n">
        <v>2</v>
      </c>
      <c r="Q50" s="77"/>
      <c r="R50" s="77"/>
    </row>
    <row r="51" customFormat="false" ht="19.5" hidden="false" customHeight="true" outlineLevel="0" collapsed="false">
      <c r="A51" s="48"/>
      <c r="B51" s="115" t="s">
        <v>158</v>
      </c>
      <c r="C51" s="11" t="s">
        <v>33</v>
      </c>
      <c r="D51" s="84" t="n">
        <v>0</v>
      </c>
      <c r="E51" s="116"/>
      <c r="F51" s="116"/>
      <c r="G51" s="74" t="n">
        <v>3</v>
      </c>
      <c r="H51" s="116"/>
      <c r="I51" s="116"/>
      <c r="J51" s="74" t="n">
        <v>3</v>
      </c>
      <c r="K51" s="116"/>
      <c r="L51" s="116"/>
      <c r="M51" s="84" t="n">
        <v>0</v>
      </c>
      <c r="N51" s="116"/>
      <c r="O51" s="116"/>
      <c r="P51" s="74" t="n">
        <v>3</v>
      </c>
      <c r="Q51" s="116"/>
      <c r="R51" s="116"/>
    </row>
    <row r="52" customFormat="false" ht="19.5" hidden="false" customHeight="true" outlineLevel="0" collapsed="false">
      <c r="A52" s="48"/>
      <c r="B52" s="76" t="s">
        <v>159</v>
      </c>
      <c r="C52" s="11" t="s">
        <v>33</v>
      </c>
      <c r="D52" s="84" t="n">
        <v>0</v>
      </c>
      <c r="E52" s="77"/>
      <c r="F52" s="77"/>
      <c r="G52" s="74" t="n">
        <v>1</v>
      </c>
      <c r="H52" s="77"/>
      <c r="I52" s="77"/>
      <c r="J52" s="74" t="n">
        <v>1</v>
      </c>
      <c r="K52" s="77"/>
      <c r="L52" s="77"/>
      <c r="M52" s="84" t="n">
        <v>0</v>
      </c>
      <c r="N52" s="77"/>
      <c r="O52" s="77"/>
      <c r="P52" s="74" t="n">
        <v>1</v>
      </c>
      <c r="Q52" s="77"/>
      <c r="R52" s="77"/>
    </row>
    <row r="53" customFormat="false" ht="21.75" hidden="false" customHeight="true" outlineLevel="0" collapsed="false">
      <c r="A53" s="117" t="s">
        <v>130</v>
      </c>
      <c r="B53" s="117"/>
      <c r="C53" s="118"/>
      <c r="D53" s="119" t="n">
        <f aca="false">COUNTIF(D49:D52,"&gt;0")</f>
        <v>0</v>
      </c>
      <c r="E53" s="120" t="n">
        <f aca="false">IF(COUNTIF(D49:D52,"&gt;0")&gt;=3,3,IF(COUNTIF(D49:D52,"&gt;0")&gt;=2,2,IF(COUNTIF(D49:D52,"&gt;0")&gt;=1,1,0)))</f>
        <v>0</v>
      </c>
      <c r="F53" s="121" t="n">
        <f aca="false">IFERROR(AVERAGEIF(D49:D52,"&gt;0")/3*100,0)</f>
        <v>0</v>
      </c>
      <c r="G53" s="119" t="n">
        <f aca="false">COUNTIF(G49:G52,"&gt;0")</f>
        <v>4</v>
      </c>
      <c r="H53" s="120" t="n">
        <f aca="false">IF(COUNTIF(G49:G52,"&gt;0")&gt;=3,3,IF(COUNTIF(G49:G52,"&gt;0")&gt;=2,2,IF(COUNTIF(G49:G52,"&gt;0")&gt;=1,1,0)))</f>
        <v>3</v>
      </c>
      <c r="I53" s="121" t="n">
        <f aca="false">IFERROR(AVERAGEIF(G49:G52,"&gt;0")/3*100,0)</f>
        <v>58.3333333333333</v>
      </c>
      <c r="J53" s="119" t="n">
        <f aca="false">COUNTIF(J49:J52,"&gt;0")</f>
        <v>4</v>
      </c>
      <c r="K53" s="120" t="n">
        <f aca="false">IF(COUNTIF(J49:J52,"&gt;0")&gt;=3,3,IF(COUNTIF(J49:J52,"&gt;0")&gt;=2,2,IF(COUNTIF(J49:J52,"&gt;0")&gt;=1,1,0)))</f>
        <v>3</v>
      </c>
      <c r="L53" s="121" t="n">
        <f aca="false">IFERROR(AVERAGEIF(J49:J52,"&gt;0")/3*100,0)</f>
        <v>58.3333333333333</v>
      </c>
      <c r="M53" s="119" t="n">
        <f aca="false">COUNTIF(M49:M52,"&gt;0")</f>
        <v>0</v>
      </c>
      <c r="N53" s="120" t="n">
        <f aca="false">IF(COUNTIF(M49:M52,"&gt;0")&gt;=3,3,IF(COUNTIF(M49:M52,"&gt;0")&gt;=2,2,IF(COUNTIF(M49:M52,"&gt;0")&gt;=1,1,0)))</f>
        <v>0</v>
      </c>
      <c r="O53" s="121" t="n">
        <f aca="false">IFERROR(AVERAGEIF(M49:M52,"&gt;0")/3*100,0)</f>
        <v>0</v>
      </c>
      <c r="P53" s="119" t="n">
        <f aca="false">COUNTIF(P49:P52,"&gt;0")</f>
        <v>4</v>
      </c>
      <c r="Q53" s="120" t="n">
        <f aca="false">IF(COUNTIF(P49:P52,"&gt;0")&gt;=3,3,IF(COUNTIF(P49:P52,"&gt;0")&gt;=2,2,IF(COUNTIF(P49:P52,"&gt;0")&gt;=1,1,0)))</f>
        <v>3</v>
      </c>
      <c r="R53" s="121" t="n">
        <f aca="false">IFERROR(AVERAGEIF(P49:P52,"&gt;0")/3*100,0)</f>
        <v>58.3333333333333</v>
      </c>
    </row>
    <row r="55" customFormat="false" ht="25.5" hidden="false" customHeight="true" outlineLevel="0" collapsed="false">
      <c r="A55" s="122" t="s">
        <v>160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customFormat="false" ht="19.5" hidden="false" customHeight="true" outlineLevel="0" collapsed="false">
      <c r="A56" s="51" t="s">
        <v>63</v>
      </c>
      <c r="B56" s="123" t="s">
        <v>161</v>
      </c>
      <c r="C56" s="11" t="s">
        <v>33</v>
      </c>
      <c r="D56" s="84" t="n">
        <v>0</v>
      </c>
      <c r="E56" s="124"/>
      <c r="F56" s="124"/>
      <c r="G56" s="74" t="n">
        <v>1</v>
      </c>
      <c r="H56" s="124"/>
      <c r="I56" s="124"/>
      <c r="J56" s="74" t="n">
        <v>1</v>
      </c>
      <c r="K56" s="124"/>
      <c r="L56" s="124"/>
      <c r="M56" s="84" t="n">
        <v>0</v>
      </c>
      <c r="N56" s="124"/>
      <c r="O56" s="124"/>
      <c r="P56" s="74" t="n">
        <v>1</v>
      </c>
      <c r="Q56" s="124"/>
      <c r="R56" s="124"/>
    </row>
    <row r="57" customFormat="false" ht="19.5" hidden="false" customHeight="true" outlineLevel="0" collapsed="false">
      <c r="A57" s="51"/>
      <c r="B57" s="76" t="s">
        <v>162</v>
      </c>
      <c r="C57" s="11" t="s">
        <v>33</v>
      </c>
      <c r="D57" s="84" t="n">
        <v>0</v>
      </c>
      <c r="E57" s="77"/>
      <c r="F57" s="77"/>
      <c r="G57" s="74" t="n">
        <v>2</v>
      </c>
      <c r="H57" s="77"/>
      <c r="I57" s="77"/>
      <c r="J57" s="74" t="n">
        <v>2</v>
      </c>
      <c r="K57" s="77"/>
      <c r="L57" s="77"/>
      <c r="M57" s="84" t="n">
        <v>0</v>
      </c>
      <c r="N57" s="77"/>
      <c r="O57" s="77"/>
      <c r="P57" s="74" t="n">
        <v>2</v>
      </c>
      <c r="Q57" s="77"/>
      <c r="R57" s="77"/>
    </row>
    <row r="58" customFormat="false" ht="19.5" hidden="false" customHeight="true" outlineLevel="0" collapsed="false">
      <c r="A58" s="51"/>
      <c r="B58" s="123" t="s">
        <v>163</v>
      </c>
      <c r="C58" s="11" t="s">
        <v>33</v>
      </c>
      <c r="D58" s="84" t="n">
        <v>0</v>
      </c>
      <c r="E58" s="124"/>
      <c r="F58" s="124"/>
      <c r="G58" s="74" t="n">
        <v>3</v>
      </c>
      <c r="H58" s="124"/>
      <c r="I58" s="124"/>
      <c r="J58" s="74" t="n">
        <v>3</v>
      </c>
      <c r="K58" s="124"/>
      <c r="L58" s="124"/>
      <c r="M58" s="84" t="n">
        <v>0</v>
      </c>
      <c r="N58" s="124"/>
      <c r="O58" s="124"/>
      <c r="P58" s="74" t="n">
        <v>3</v>
      </c>
      <c r="Q58" s="124"/>
      <c r="R58" s="124"/>
    </row>
    <row r="59" customFormat="false" ht="19.5" hidden="false" customHeight="true" outlineLevel="0" collapsed="false">
      <c r="A59" s="51"/>
      <c r="B59" s="76" t="s">
        <v>164</v>
      </c>
      <c r="C59" s="11" t="s">
        <v>33</v>
      </c>
      <c r="D59" s="84" t="n">
        <v>0</v>
      </c>
      <c r="E59" s="77"/>
      <c r="F59" s="77"/>
      <c r="G59" s="74" t="n">
        <v>1</v>
      </c>
      <c r="H59" s="77"/>
      <c r="I59" s="77"/>
      <c r="J59" s="74" t="n">
        <v>1</v>
      </c>
      <c r="K59" s="77"/>
      <c r="L59" s="77"/>
      <c r="M59" s="84" t="n">
        <v>0</v>
      </c>
      <c r="N59" s="77"/>
      <c r="O59" s="77"/>
      <c r="P59" s="74" t="n">
        <v>1</v>
      </c>
      <c r="Q59" s="77"/>
      <c r="R59" s="77"/>
    </row>
    <row r="60" customFormat="false" ht="21.75" hidden="false" customHeight="true" outlineLevel="0" collapsed="false">
      <c r="A60" s="125" t="s">
        <v>130</v>
      </c>
      <c r="B60" s="125"/>
      <c r="C60" s="126"/>
      <c r="D60" s="127" t="n">
        <f aca="false">COUNTIF(D56:D59,"&gt;0")</f>
        <v>0</v>
      </c>
      <c r="E60" s="128" t="n">
        <f aca="false">IF(COUNTIF(D56:D59,"&gt;0")&gt;=3,3,IF(COUNTIF(D56:D59,"&gt;0")&gt;=2,2,IF(COUNTIF(D56:D59,"&gt;0")&gt;=1,1,0)))</f>
        <v>0</v>
      </c>
      <c r="F60" s="129" t="n">
        <f aca="false">IFERROR(AVERAGEIF(D56:D59,"&gt;0")/3*100,0)</f>
        <v>0</v>
      </c>
      <c r="G60" s="127" t="n">
        <f aca="false">COUNTIF(G56:G59,"&gt;0")</f>
        <v>4</v>
      </c>
      <c r="H60" s="128" t="n">
        <f aca="false">IF(COUNTIF(G56:G59,"&gt;0")&gt;=3,3,IF(COUNTIF(G56:G59,"&gt;0")&gt;=2,2,IF(COUNTIF(G56:G59,"&gt;0")&gt;=1,1,0)))</f>
        <v>3</v>
      </c>
      <c r="I60" s="129" t="n">
        <f aca="false">IFERROR(AVERAGEIF(G56:G59,"&gt;0")/3*100,0)</f>
        <v>58.3333333333333</v>
      </c>
      <c r="J60" s="127" t="n">
        <f aca="false">COUNTIF(J56:J59,"&gt;0")</f>
        <v>4</v>
      </c>
      <c r="K60" s="128" t="n">
        <f aca="false">IF(COUNTIF(J56:J59,"&gt;0")&gt;=3,3,IF(COUNTIF(J56:J59,"&gt;0")&gt;=2,2,IF(COUNTIF(J56:J59,"&gt;0")&gt;=1,1,0)))</f>
        <v>3</v>
      </c>
      <c r="L60" s="129" t="n">
        <f aca="false">IFERROR(AVERAGEIF(J56:J59,"&gt;0")/3*100,0)</f>
        <v>58.3333333333333</v>
      </c>
      <c r="M60" s="127" t="n">
        <f aca="false">COUNTIF(M56:M59,"&gt;0")</f>
        <v>0</v>
      </c>
      <c r="N60" s="128" t="n">
        <f aca="false">IF(COUNTIF(M56:M59,"&gt;0")&gt;=3,3,IF(COUNTIF(M56:M59,"&gt;0")&gt;=2,2,IF(COUNTIF(M56:M59,"&gt;0")&gt;=1,1,0)))</f>
        <v>0</v>
      </c>
      <c r="O60" s="129" t="n">
        <f aca="false">IFERROR(AVERAGEIF(M56:M59,"&gt;0")/3*100,0)</f>
        <v>0</v>
      </c>
      <c r="P60" s="127" t="n">
        <f aca="false">COUNTIF(P56:P59,"&gt;0")</f>
        <v>4</v>
      </c>
      <c r="Q60" s="128" t="n">
        <f aca="false">IF(COUNTIF(P56:P59,"&gt;0")&gt;=3,3,IF(COUNTIF(P56:P59,"&gt;0")&gt;=2,2,IF(COUNTIF(P56:P59,"&gt;0")&gt;=1,1,0)))</f>
        <v>3</v>
      </c>
      <c r="R60" s="129" t="n">
        <f aca="false">IFERROR(AVERAGEIF(P56:P59,"&gt;0")/3*100,0)</f>
        <v>58.3333333333333</v>
      </c>
    </row>
  </sheetData>
  <mergeCells count="28">
    <mergeCell ref="A1:U1"/>
    <mergeCell ref="A2:U2"/>
    <mergeCell ref="A4:C4"/>
    <mergeCell ref="H4:U4"/>
    <mergeCell ref="A6:U6"/>
    <mergeCell ref="A7:A10"/>
    <mergeCell ref="A11:B11"/>
    <mergeCell ref="A13:U13"/>
    <mergeCell ref="A14:A17"/>
    <mergeCell ref="A18:B18"/>
    <mergeCell ref="A20:U20"/>
    <mergeCell ref="A21:A24"/>
    <mergeCell ref="A25:B25"/>
    <mergeCell ref="A27:U27"/>
    <mergeCell ref="A28:A31"/>
    <mergeCell ref="A32:B32"/>
    <mergeCell ref="A34:U34"/>
    <mergeCell ref="A35:A38"/>
    <mergeCell ref="A39:B39"/>
    <mergeCell ref="A41:U41"/>
    <mergeCell ref="A42:A45"/>
    <mergeCell ref="A46:B46"/>
    <mergeCell ref="A48:U48"/>
    <mergeCell ref="A49:A52"/>
    <mergeCell ref="A53:B53"/>
    <mergeCell ref="A55:U55"/>
    <mergeCell ref="A56:A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16" min="5" style="1" width="11"/>
  </cols>
  <sheetData>
    <row r="1" customFormat="false" ht="42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3.5" hidden="false" customHeight="true" outlineLevel="0" collapsed="false">
      <c r="A2" s="149" t="s">
        <v>228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customFormat="false" ht="7.5" hidden="false" customHeight="true" outlineLevel="0" collapsed="false"/>
    <row r="4" customFormat="false" ht="19.5" hidden="false" customHeight="true" outlineLevel="0" collapsed="false">
      <c r="A4" s="66" t="s">
        <v>229</v>
      </c>
      <c r="B4" s="66"/>
      <c r="C4" s="66"/>
      <c r="D4" s="26" t="s">
        <v>230</v>
      </c>
      <c r="E4" s="21" t="s">
        <v>231</v>
      </c>
      <c r="F4" s="16" t="s">
        <v>232</v>
      </c>
      <c r="G4" s="11" t="s">
        <v>233</v>
      </c>
    </row>
    <row r="5" customFormat="false" ht="25.5" hidden="false" customHeight="true" outlineLevel="0" collapsed="false">
      <c r="A5" s="130" t="s">
        <v>173</v>
      </c>
      <c r="B5" s="130" t="s">
        <v>39</v>
      </c>
      <c r="C5" s="130" t="s">
        <v>40</v>
      </c>
      <c r="D5" s="130" t="s">
        <v>234</v>
      </c>
      <c r="E5" s="5" t="s">
        <v>184</v>
      </c>
      <c r="F5" s="5"/>
      <c r="G5" s="5" t="s">
        <v>196</v>
      </c>
      <c r="H5" s="5"/>
      <c r="I5" s="5" t="s">
        <v>203</v>
      </c>
      <c r="J5" s="5"/>
      <c r="K5" s="5" t="s">
        <v>210</v>
      </c>
      <c r="L5" s="5"/>
      <c r="M5" s="5" t="s">
        <v>217</v>
      </c>
      <c r="N5" s="5"/>
      <c r="O5" s="150" t="s">
        <v>235</v>
      </c>
      <c r="P5" s="150" t="s">
        <v>236</v>
      </c>
    </row>
    <row r="6" customFormat="false" ht="19.5" hidden="false" customHeight="true" outlineLevel="0" collapsed="false">
      <c r="A6" s="130"/>
      <c r="B6" s="130"/>
      <c r="C6" s="130"/>
      <c r="D6" s="130"/>
      <c r="E6" s="69" t="s">
        <v>237</v>
      </c>
      <c r="F6" s="40" t="s">
        <v>238</v>
      </c>
      <c r="G6" s="69" t="s">
        <v>237</v>
      </c>
      <c r="H6" s="40" t="s">
        <v>238</v>
      </c>
      <c r="I6" s="69" t="s">
        <v>237</v>
      </c>
      <c r="J6" s="40" t="s">
        <v>238</v>
      </c>
      <c r="K6" s="69" t="s">
        <v>237</v>
      </c>
      <c r="L6" s="40" t="s">
        <v>238</v>
      </c>
      <c r="M6" s="69" t="s">
        <v>237</v>
      </c>
      <c r="N6" s="40" t="s">
        <v>238</v>
      </c>
      <c r="O6" s="150"/>
      <c r="P6" s="150"/>
    </row>
    <row r="7" customFormat="false" ht="21.75" hidden="false" customHeight="true" outlineLevel="0" collapsed="false">
      <c r="A7" s="151" t="n">
        <v>1</v>
      </c>
      <c r="B7" s="152" t="s">
        <v>42</v>
      </c>
      <c r="C7" s="33" t="s">
        <v>43</v>
      </c>
      <c r="D7" s="153" t="s">
        <v>239</v>
      </c>
      <c r="E7" s="154" t="n">
        <f aca="false">IFERROR(AVERAGE(CS301!E11,CS301!H11,CS301!K11,CS301!N11,CS301!Q11),0)</f>
        <v>3</v>
      </c>
      <c r="F7" s="155" t="n">
        <f aca="false">IFERROR(AVERAGE(CS301!E11,CS301!H11,CS301!K11,CS301!N11,CS301!Q11)/3*100,0)</f>
        <v>100</v>
      </c>
      <c r="G7" s="154" t="n">
        <f aca="false">IFERROR(AVERAGE(CS302!E11,CS302!H11,CS302!K11,CS302!N11,CS302!Q11),0)</f>
        <v>3</v>
      </c>
      <c r="H7" s="155" t="n">
        <f aca="false">IFERROR(AVERAGE(CS302!E11,CS302!H11,CS302!K11,CS302!N11,CS302!Q11)/3*100,0)</f>
        <v>100</v>
      </c>
      <c r="I7" s="154" t="n">
        <f aca="false">IFERROR(AVERAGE(CS303!E11,CS303!H11,CS303!K11,CS303!N11,CS303!Q11),0)</f>
        <v>3</v>
      </c>
      <c r="J7" s="155" t="n">
        <f aca="false">IFERROR(AVERAGE(CS303!E11,CS303!H11,CS303!K11,CS303!N11,CS303!Q11)/3*100,0)</f>
        <v>100</v>
      </c>
      <c r="K7" s="154" t="n">
        <f aca="false">IFERROR(AVERAGE(CS304!E11,CS304!H11,CS304!K11,CS304!N11,CS304!Q11),0)</f>
        <v>3</v>
      </c>
      <c r="L7" s="155" t="n">
        <f aca="false">IFERROR(AVERAGE(CS304!E11,CS304!H11,CS304!K11,CS304!N11,CS304!Q11)/3*100,0)</f>
        <v>100</v>
      </c>
      <c r="M7" s="154" t="n">
        <f aca="false">IFERROR(AVERAGE(CS305!E11,CS305!H11,CS305!K11,CS305!N11,CS305!Q11,CS305!T11),0)</f>
        <v>3</v>
      </c>
      <c r="N7" s="155" t="n">
        <f aca="false">IFERROR(AVERAGE(CS305!E11,CS305!H11,CS305!K11,CS305!N11,CS305!Q11,CS305!T11)/3*100,0)</f>
        <v>100</v>
      </c>
      <c r="O7" s="156" t="n">
        <f aca="false">IFERROR(AVERAGE(CS301!E11,CS301!H11,CS301!K11,CS301!N11,CS301!Q11,CS302!E11,CS302!H11,CS302!K11,CS302!N11,CS302!Q11,CS303!E11,CS303!H11,CS303!K11,CS303!N11,CS303!Q11,CS304!E11,CS304!H11,CS304!K11,CS304!N11,CS304!Q11,CS305!E11,CS305!H11,CS305!K11,CS305!N11,CS305!Q11,CS305!T11),0)</f>
        <v>3</v>
      </c>
      <c r="P7" s="157" t="n">
        <f aca="false">IFERROR(O7/3*100,0)</f>
        <v>100</v>
      </c>
    </row>
    <row r="8" customFormat="false" ht="21.75" hidden="false" customHeight="true" outlineLevel="0" collapsed="false">
      <c r="A8" s="158" t="n">
        <v>2</v>
      </c>
      <c r="B8" s="159" t="s">
        <v>45</v>
      </c>
      <c r="C8" s="36" t="s">
        <v>46</v>
      </c>
      <c r="D8" s="160" t="s">
        <v>240</v>
      </c>
      <c r="E8" s="161" t="n">
        <f aca="false">IFERROR(AVERAGE(CS301!E18,CS301!H18,CS301!K18,CS301!N18,CS301!Q18),0)</f>
        <v>0.6</v>
      </c>
      <c r="F8" s="155" t="n">
        <f aca="false">IFERROR(AVERAGE(CS301!E18,CS301!H18,CS301!K18,CS301!N18,CS301!Q18)/3*100,0)</f>
        <v>20</v>
      </c>
      <c r="G8" s="161" t="n">
        <f aca="false">IFERROR(AVERAGE(CS302!E18,CS302!H18,CS302!K18,CS302!N18,CS302!Q18),0)</f>
        <v>1.2</v>
      </c>
      <c r="H8" s="155" t="n">
        <f aca="false">IFERROR(AVERAGE(CS302!E18,CS302!H18,CS302!K18,CS302!N18,CS302!Q18)/3*100,0)</f>
        <v>40</v>
      </c>
      <c r="I8" s="161" t="n">
        <f aca="false">IFERROR(AVERAGE(CS303!E18,CS303!H18,CS303!K18,CS303!N18,CS303!Q18),0)</f>
        <v>0.6</v>
      </c>
      <c r="J8" s="155" t="n">
        <f aca="false">IFERROR(AVERAGE(CS303!E18,CS303!H18,CS303!K18,CS303!N18,CS303!Q18)/3*100,0)</f>
        <v>20</v>
      </c>
      <c r="K8" s="161" t="n">
        <f aca="false">IFERROR(AVERAGE(CS304!E18,CS304!H18,CS304!K18,CS304!N18,CS304!Q18),0)</f>
        <v>0.6</v>
      </c>
      <c r="L8" s="155" t="n">
        <f aca="false">IFERROR(AVERAGE(CS304!E18,CS304!H18,CS304!K18,CS304!N18,CS304!Q18)/3*100,0)</f>
        <v>20</v>
      </c>
      <c r="M8" s="161" t="n">
        <f aca="false">IFERROR(AVERAGE(CS305!E18,CS305!H18,CS305!K18,CS305!N18,CS305!Q18,CS305!T18),0)</f>
        <v>1.5</v>
      </c>
      <c r="N8" s="155" t="n">
        <f aca="false">IFERROR(AVERAGE(CS305!E18,CS305!H18,CS305!K18,CS305!N18,CS305!Q18,CS305!T18)/3*100,0)</f>
        <v>50</v>
      </c>
      <c r="O8" s="162" t="n">
        <f aca="false">IFERROR(AVERAGE(CS301!E18,CS301!H18,CS301!K18,CS301!N18,CS301!Q18,CS302!E18,CS302!H18,CS302!K18,CS302!N18,CS302!Q18,CS303!E18,CS303!H18,CS303!K18,CS303!N18,CS303!Q18,CS304!E18,CS304!H18,CS304!K18,CS304!N18,CS304!Q18,CS305!E18,CS305!H18,CS305!K18,CS305!N18,CS305!Q18,CS305!T18),0)</f>
        <v>0.923076923076923</v>
      </c>
      <c r="P8" s="163" t="n">
        <f aca="false">IFERROR(O8/3*100,0)</f>
        <v>30.7692307692308</v>
      </c>
    </row>
    <row r="9" customFormat="false" ht="21.75" hidden="false" customHeight="true" outlineLevel="0" collapsed="false">
      <c r="A9" s="164" t="n">
        <v>3</v>
      </c>
      <c r="B9" s="165" t="s">
        <v>48</v>
      </c>
      <c r="C9" s="26" t="s">
        <v>49</v>
      </c>
      <c r="D9" s="166" t="s">
        <v>241</v>
      </c>
      <c r="E9" s="167" t="n">
        <f aca="false">IFERROR(AVERAGE(CS301!E25,CS301!H25,CS301!K25,CS301!N25,CS301!Q25),0)</f>
        <v>0</v>
      </c>
      <c r="F9" s="155" t="n">
        <f aca="false">IFERROR(AVERAGE(CS301!E25,CS301!H25,CS301!K25,CS301!N25,CS301!Q25)/3*100,0)</f>
        <v>0</v>
      </c>
      <c r="G9" s="167" t="n">
        <f aca="false">IFERROR(AVERAGE(CS302!E25,CS302!H25,CS302!K25,CS302!N25,CS302!Q25),0)</f>
        <v>0</v>
      </c>
      <c r="H9" s="155" t="n">
        <f aca="false">IFERROR(AVERAGE(CS302!E25,CS302!H25,CS302!K25,CS302!N25,CS302!Q25)/3*100,0)</f>
        <v>0</v>
      </c>
      <c r="I9" s="167" t="n">
        <f aca="false">IFERROR(AVERAGE(CS303!E25,CS303!H25,CS303!K25,CS303!N25,CS303!Q25),0)</f>
        <v>0</v>
      </c>
      <c r="J9" s="155" t="n">
        <f aca="false">IFERROR(AVERAGE(CS303!E25,CS303!H25,CS303!K25,CS303!N25,CS303!Q25)/3*100,0)</f>
        <v>0</v>
      </c>
      <c r="K9" s="167" t="n">
        <f aca="false">IFERROR(AVERAGE(CS304!E25,CS304!H25,CS304!K25,CS304!N25,CS304!Q25),0)</f>
        <v>0</v>
      </c>
      <c r="L9" s="155" t="n">
        <f aca="false">IFERROR(AVERAGE(CS304!E25,CS304!H25,CS304!K25,CS304!N25,CS304!Q25)/3*100,0)</f>
        <v>0</v>
      </c>
      <c r="M9" s="167" t="n">
        <f aca="false">IFERROR(AVERAGE(CS305!E25,CS305!H25,CS305!K25,CS305!N25,CS305!Q25,CS305!T25),0)</f>
        <v>1</v>
      </c>
      <c r="N9" s="155" t="n">
        <f aca="false">IFERROR(AVERAGE(CS305!E25,CS305!H25,CS305!K25,CS305!N25,CS305!Q25,CS305!T25)/3*100,0)</f>
        <v>33.3333333333333</v>
      </c>
      <c r="O9" s="168" t="n">
        <f aca="false">IFERROR(AVERAGE(CS301!E25,CS301!H25,CS301!K25,CS301!N25,CS301!Q25,CS302!E25,CS302!H25,CS302!K25,CS302!N25,CS302!Q25,CS303!E25,CS303!H25,CS303!K25,CS303!N25,CS303!Q25,CS304!E25,CS304!H25,CS304!K25,CS304!N25,CS304!Q25,CS305!E25,CS305!H25,CS305!K25,CS305!N25,CS305!Q25,CS305!T25),0)</f>
        <v>0.230769230769231</v>
      </c>
      <c r="P9" s="169" t="n">
        <f aca="false">IFERROR(O9/3*100,0)</f>
        <v>7.69230769230769</v>
      </c>
    </row>
    <row r="10" customFormat="false" ht="21.75" hidden="false" customHeight="true" outlineLevel="0" collapsed="false">
      <c r="A10" s="170" t="n">
        <v>4</v>
      </c>
      <c r="B10" s="171" t="s">
        <v>51</v>
      </c>
      <c r="C10" s="16" t="s">
        <v>52</v>
      </c>
      <c r="D10" s="172" t="s">
        <v>242</v>
      </c>
      <c r="E10" s="173" t="n">
        <f aca="false">IFERROR(AVERAGE(CS301!E32,CS301!H32,CS301!K32,CS301!N32,CS301!Q32),0)</f>
        <v>2.4</v>
      </c>
      <c r="F10" s="155" t="n">
        <f aca="false">IFERROR(AVERAGE(CS301!E32,CS301!H32,CS301!K32,CS301!N32,CS301!Q32)/3*100,0)</f>
        <v>80</v>
      </c>
      <c r="G10" s="173" t="n">
        <f aca="false">IFERROR(AVERAGE(CS302!E32,CS302!H32,CS302!K32,CS302!N32,CS302!Q32),0)</f>
        <v>3</v>
      </c>
      <c r="H10" s="155" t="n">
        <f aca="false">IFERROR(AVERAGE(CS302!E32,CS302!H32,CS302!K32,CS302!N32,CS302!Q32)/3*100,0)</f>
        <v>100</v>
      </c>
      <c r="I10" s="173" t="n">
        <f aca="false">IFERROR(AVERAGE(CS303!E32,CS303!H32,CS303!K32,CS303!N32,CS303!Q32),0)</f>
        <v>3</v>
      </c>
      <c r="J10" s="155" t="n">
        <f aca="false">IFERROR(AVERAGE(CS303!E32,CS303!H32,CS303!K32,CS303!N32,CS303!Q32)/3*100,0)</f>
        <v>100</v>
      </c>
      <c r="K10" s="173" t="n">
        <f aca="false">IFERROR(AVERAGE(CS304!E32,CS304!H32,CS304!K32,CS304!N32,CS304!Q32),0)</f>
        <v>2.4</v>
      </c>
      <c r="L10" s="155" t="n">
        <f aca="false">IFERROR(AVERAGE(CS304!E32,CS304!H32,CS304!K32,CS304!N32,CS304!Q32)/3*100,0)</f>
        <v>80</v>
      </c>
      <c r="M10" s="173" t="n">
        <f aca="false">IFERROR(AVERAGE(CS305!E32,CS305!H32,CS305!K32,CS305!N32,CS305!Q32,CS305!T32),0)</f>
        <v>2.5</v>
      </c>
      <c r="N10" s="155" t="n">
        <f aca="false">IFERROR(AVERAGE(CS305!E32,CS305!H32,CS305!K32,CS305!N32,CS305!Q32,CS305!T32)/3*100,0)</f>
        <v>83.3333333333333</v>
      </c>
      <c r="O10" s="174" t="n">
        <f aca="false">IFERROR(AVERAGE(CS301!E32,CS301!H32,CS301!K32,CS301!N32,CS301!Q32,CS302!E32,CS302!H32,CS302!K32,CS302!N32,CS302!Q32,CS303!E32,CS303!H32,CS303!K32,CS303!N32,CS303!Q32,CS304!E32,CS304!H32,CS304!K32,CS304!N32,CS304!Q32,CS305!E32,CS305!H32,CS305!K32,CS305!N32,CS305!Q32,CS305!T32),0)</f>
        <v>2.65384615384615</v>
      </c>
      <c r="P10" s="175" t="n">
        <f aca="false">IFERROR(O10/3*100,0)</f>
        <v>88.4615384615385</v>
      </c>
    </row>
    <row r="11" customFormat="false" ht="21.75" hidden="false" customHeight="true" outlineLevel="0" collapsed="false">
      <c r="A11" s="176" t="n">
        <v>5</v>
      </c>
      <c r="B11" s="177" t="s">
        <v>54</v>
      </c>
      <c r="C11" s="43" t="s">
        <v>55</v>
      </c>
      <c r="D11" s="178" t="s">
        <v>243</v>
      </c>
      <c r="E11" s="179" t="n">
        <f aca="false">IFERROR(AVERAGE(CS301!E39,CS301!H39,CS301!K39,CS301!N39,CS301!Q39),0)</f>
        <v>3</v>
      </c>
      <c r="F11" s="155" t="n">
        <f aca="false">IFERROR(AVERAGE(CS301!E39,CS301!H39,CS301!K39,CS301!N39,CS301!Q39)/3*100,0)</f>
        <v>100</v>
      </c>
      <c r="G11" s="179" t="n">
        <f aca="false">IFERROR(AVERAGE(CS302!E39,CS302!H39,CS302!K39,CS302!N39,CS302!Q39),0)</f>
        <v>3</v>
      </c>
      <c r="H11" s="155" t="n">
        <f aca="false">IFERROR(AVERAGE(CS302!E39,CS302!H39,CS302!K39,CS302!N39,CS302!Q39)/3*100,0)</f>
        <v>100</v>
      </c>
      <c r="I11" s="179" t="n">
        <f aca="false">IFERROR(AVERAGE(CS303!E39,CS303!H39,CS303!K39,CS303!N39,CS303!Q39),0)</f>
        <v>3</v>
      </c>
      <c r="J11" s="155" t="n">
        <f aca="false">IFERROR(AVERAGE(CS303!E39,CS303!H39,CS303!K39,CS303!N39,CS303!Q39)/3*100,0)</f>
        <v>100</v>
      </c>
      <c r="K11" s="179" t="n">
        <f aca="false">IFERROR(AVERAGE(CS304!E39,CS304!H39,CS304!K39,CS304!N39,CS304!Q39),0)</f>
        <v>3</v>
      </c>
      <c r="L11" s="155" t="n">
        <f aca="false">IFERROR(AVERAGE(CS304!E39,CS304!H39,CS304!K39,CS304!N39,CS304!Q39)/3*100,0)</f>
        <v>100</v>
      </c>
      <c r="M11" s="179" t="n">
        <f aca="false">IFERROR(AVERAGE(CS305!E39,CS305!H39,CS305!K39,CS305!N39,CS305!Q39,CS305!T39),0)</f>
        <v>3</v>
      </c>
      <c r="N11" s="155" t="n">
        <f aca="false">IFERROR(AVERAGE(CS305!E39,CS305!H39,CS305!K39,CS305!N39,CS305!Q39,CS305!T39)/3*100,0)</f>
        <v>100</v>
      </c>
      <c r="O11" s="180" t="n">
        <f aca="false">IFERROR(AVERAGE(CS301!E39,CS301!H39,CS301!K39,CS301!N39,CS301!Q39,CS302!E39,CS302!H39,CS302!K39,CS302!N39,CS302!Q39,CS303!E39,CS303!H39,CS303!K39,CS303!N39,CS303!Q39,CS304!E39,CS304!H39,CS304!K39,CS304!N39,CS304!Q39,CS305!E39,CS305!H39,CS305!K39,CS305!N39,CS305!Q39,CS305!T39),0)</f>
        <v>3</v>
      </c>
      <c r="P11" s="181" t="n">
        <f aca="false">IFERROR(O11/3*100,0)</f>
        <v>100</v>
      </c>
    </row>
    <row r="12" customFormat="false" ht="21.75" hidden="false" customHeight="true" outlineLevel="0" collapsed="false">
      <c r="A12" s="182" t="n">
        <v>6</v>
      </c>
      <c r="B12" s="183" t="s">
        <v>57</v>
      </c>
      <c r="C12" s="46" t="s">
        <v>58</v>
      </c>
      <c r="D12" s="184" t="s">
        <v>244</v>
      </c>
      <c r="E12" s="185" t="n">
        <f aca="false">IFERROR(AVERAGE(CS301!E46,CS301!H46,CS301!K46,CS301!N46,CS301!Q46),0)</f>
        <v>3</v>
      </c>
      <c r="F12" s="155" t="n">
        <f aca="false">IFERROR(AVERAGE(CS301!E46,CS301!H46,CS301!K46,CS301!N46,CS301!Q46)/3*100,0)</f>
        <v>100</v>
      </c>
      <c r="G12" s="185" t="n">
        <f aca="false">IFERROR(AVERAGE(CS302!E46,CS302!H46,CS302!K46,CS302!N46,CS302!Q46),0)</f>
        <v>3</v>
      </c>
      <c r="H12" s="155" t="n">
        <f aca="false">IFERROR(AVERAGE(CS302!E46,CS302!H46,CS302!K46,CS302!N46,CS302!Q46)/3*100,0)</f>
        <v>100</v>
      </c>
      <c r="I12" s="185" t="n">
        <f aca="false">IFERROR(AVERAGE(CS303!E46,CS303!H46,CS303!K46,CS303!N46,CS303!Q46),0)</f>
        <v>3</v>
      </c>
      <c r="J12" s="155" t="n">
        <f aca="false">IFERROR(AVERAGE(CS303!E46,CS303!H46,CS303!K46,CS303!N46,CS303!Q46)/3*100,0)</f>
        <v>100</v>
      </c>
      <c r="K12" s="185" t="n">
        <f aca="false">IFERROR(AVERAGE(CS304!E46,CS304!H46,CS304!K46,CS304!N46,CS304!Q46),0)</f>
        <v>3</v>
      </c>
      <c r="L12" s="155" t="n">
        <f aca="false">IFERROR(AVERAGE(CS304!E46,CS304!H46,CS304!K46,CS304!N46,CS304!Q46)/3*100,0)</f>
        <v>100</v>
      </c>
      <c r="M12" s="185" t="n">
        <f aca="false">IFERROR(AVERAGE(CS305!E46,CS305!H46,CS305!K46,CS305!N46,CS305!Q46,CS305!T46),0)</f>
        <v>3</v>
      </c>
      <c r="N12" s="155" t="n">
        <f aca="false">IFERROR(AVERAGE(CS305!E46,CS305!H46,CS305!K46,CS305!N46,CS305!Q46,CS305!T46)/3*100,0)</f>
        <v>100</v>
      </c>
      <c r="O12" s="186" t="n">
        <f aca="false">IFERROR(AVERAGE(CS301!E46,CS301!H46,CS301!K46,CS301!N46,CS301!Q46,CS302!E46,CS302!H46,CS302!K46,CS302!N46,CS302!Q46,CS303!E46,CS303!H46,CS303!K46,CS303!N46,CS303!Q46,CS304!E46,CS304!H46,CS304!K46,CS304!N46,CS304!Q46,CS305!E46,CS305!H46,CS305!K46,CS305!N46,CS305!Q46,CS305!T46),0)</f>
        <v>3</v>
      </c>
      <c r="P12" s="187" t="n">
        <f aca="false">IFERROR(O12/3*100,0)</f>
        <v>100</v>
      </c>
    </row>
    <row r="13" customFormat="false" ht="21.75" hidden="false" customHeight="true" outlineLevel="0" collapsed="false">
      <c r="A13" s="188" t="n">
        <v>7</v>
      </c>
      <c r="B13" s="189" t="s">
        <v>60</v>
      </c>
      <c r="C13" s="49" t="s">
        <v>61</v>
      </c>
      <c r="D13" s="190" t="s">
        <v>245</v>
      </c>
      <c r="E13" s="191" t="n">
        <f aca="false">IFERROR(AVERAGE(CS301!E53,CS301!H53,CS301!K53,CS301!N53,CS301!Q53),0)</f>
        <v>1.2</v>
      </c>
      <c r="F13" s="155" t="n">
        <f aca="false">IFERROR(AVERAGE(CS301!E53,CS301!H53,CS301!K53,CS301!N53,CS301!Q53)/3*100,0)</f>
        <v>40</v>
      </c>
      <c r="G13" s="191" t="n">
        <f aca="false">IFERROR(AVERAGE(CS302!E53,CS302!H53,CS302!K53,CS302!N53,CS302!Q53),0)</f>
        <v>2.4</v>
      </c>
      <c r="H13" s="155" t="n">
        <f aca="false">IFERROR(AVERAGE(CS302!E53,CS302!H53,CS302!K53,CS302!N53,CS302!Q53)/3*100,0)</f>
        <v>80</v>
      </c>
      <c r="I13" s="191" t="n">
        <f aca="false">IFERROR(AVERAGE(CS303!E53,CS303!H53,CS303!K53,CS303!N53,CS303!Q53),0)</f>
        <v>1.8</v>
      </c>
      <c r="J13" s="155" t="n">
        <f aca="false">IFERROR(AVERAGE(CS303!E53,CS303!H53,CS303!K53,CS303!N53,CS303!Q53)/3*100,0)</f>
        <v>60</v>
      </c>
      <c r="K13" s="191" t="n">
        <f aca="false">IFERROR(AVERAGE(CS304!E53,CS304!H53,CS304!K53,CS304!N53,CS304!Q53),0)</f>
        <v>1.2</v>
      </c>
      <c r="L13" s="155" t="n">
        <f aca="false">IFERROR(AVERAGE(CS304!E53,CS304!H53,CS304!K53,CS304!N53,CS304!Q53)/3*100,0)</f>
        <v>40</v>
      </c>
      <c r="M13" s="191" t="n">
        <f aca="false">IFERROR(AVERAGE(CS305!E53,CS305!H53,CS305!K53,CS305!N53,CS305!Q53,CS305!T53),0)</f>
        <v>3</v>
      </c>
      <c r="N13" s="155" t="n">
        <f aca="false">IFERROR(AVERAGE(CS305!E53,CS305!H53,CS305!K53,CS305!N53,CS305!Q53,CS305!T53)/3*100,0)</f>
        <v>100</v>
      </c>
      <c r="O13" s="192" t="n">
        <f aca="false">IFERROR(AVERAGE(CS301!E53,CS301!H53,CS301!K53,CS301!N53,CS301!Q53,CS302!E53,CS302!H53,CS302!K53,CS302!N53,CS302!Q53,CS303!E53,CS303!H53,CS303!K53,CS303!N53,CS303!Q53,CS304!E53,CS304!H53,CS304!K53,CS304!N53,CS304!Q53,CS305!E53,CS305!H53,CS305!K53,CS305!N53,CS305!Q53,CS305!T53),0)</f>
        <v>1.96153846153846</v>
      </c>
      <c r="P13" s="193" t="n">
        <f aca="false">IFERROR(O13/3*100,0)</f>
        <v>65.3846153846154</v>
      </c>
    </row>
    <row r="14" customFormat="false" ht="21.75" hidden="false" customHeight="true" outlineLevel="0" collapsed="false">
      <c r="A14" s="194" t="n">
        <v>8</v>
      </c>
      <c r="B14" s="195" t="s">
        <v>63</v>
      </c>
      <c r="C14" s="52" t="s">
        <v>64</v>
      </c>
      <c r="D14" s="196" t="s">
        <v>246</v>
      </c>
      <c r="E14" s="197" t="n">
        <f aca="false">IFERROR(AVERAGE(CS301!E60,CS301!H60,CS301!K60,CS301!N60,CS301!Q60),0)</f>
        <v>2.4</v>
      </c>
      <c r="F14" s="155" t="n">
        <f aca="false">IFERROR(AVERAGE(CS301!E60,CS301!H60,CS301!K60,CS301!N60,CS301!Q60)/3*100,0)</f>
        <v>80</v>
      </c>
      <c r="G14" s="197" t="n">
        <f aca="false">IFERROR(AVERAGE(CS302!E60,CS302!H60,CS302!K60,CS302!N60,CS302!Q60),0)</f>
        <v>2.4</v>
      </c>
      <c r="H14" s="155" t="n">
        <f aca="false">IFERROR(AVERAGE(CS302!E60,CS302!H60,CS302!K60,CS302!N60,CS302!Q60)/3*100,0)</f>
        <v>80</v>
      </c>
      <c r="I14" s="197" t="n">
        <f aca="false">IFERROR(AVERAGE(CS303!E60,CS303!H60,CS303!K60,CS303!N60,CS303!Q60),0)</f>
        <v>1.8</v>
      </c>
      <c r="J14" s="155" t="n">
        <f aca="false">IFERROR(AVERAGE(CS303!E60,CS303!H60,CS303!K60,CS303!N60,CS303!Q60)/3*100,0)</f>
        <v>60</v>
      </c>
      <c r="K14" s="197" t="n">
        <f aca="false">IFERROR(AVERAGE(CS304!E60,CS304!H60,CS304!K60,CS304!N60,CS304!Q60),0)</f>
        <v>1.8</v>
      </c>
      <c r="L14" s="155" t="n">
        <f aca="false">IFERROR(AVERAGE(CS304!E60,CS304!H60,CS304!K60,CS304!N60,CS304!Q60)/3*100,0)</f>
        <v>60</v>
      </c>
      <c r="M14" s="197" t="n">
        <f aca="false">IFERROR(AVERAGE(CS305!E60,CS305!H60,CS305!K60,CS305!N60,CS305!Q60,CS305!T60),0)</f>
        <v>3</v>
      </c>
      <c r="N14" s="155" t="n">
        <f aca="false">IFERROR(AVERAGE(CS305!E60,CS305!H60,CS305!K60,CS305!N60,CS305!Q60,CS305!T60)/3*100,0)</f>
        <v>100</v>
      </c>
      <c r="O14" s="198" t="n">
        <f aca="false">IFERROR(AVERAGE(CS301!E60,CS301!H60,CS301!K60,CS301!N60,CS301!Q60,CS302!E60,CS302!H60,CS302!K60,CS302!N60,CS302!Q60,CS303!E60,CS303!H60,CS303!K60,CS303!N60,CS303!Q60,CS304!E60,CS304!H60,CS304!K60,CS304!N60,CS304!Q60,CS305!E60,CS305!H60,CS305!K60,CS305!N60,CS305!Q60,CS305!T60),0)</f>
        <v>2.30769230769231</v>
      </c>
      <c r="P14" s="199" t="n">
        <f aca="false">IFERROR(O14/3*100,0)</f>
        <v>76.9230769230769</v>
      </c>
    </row>
    <row r="16" customFormat="false" ht="24" hidden="false" customHeight="true" outlineLevel="0" collapsed="false">
      <c r="A16" s="31" t="s">
        <v>247</v>
      </c>
      <c r="B16" s="31"/>
      <c r="C16" s="31"/>
      <c r="D16" s="31"/>
      <c r="E16" s="147" t="n">
        <f aca="false">IFERROR(AVERAGE(CS301!E11,CS301!H11,CS301!K11,CS301!N11,CS301!Q11,CS301!E18,CS301!H18,CS301!K18,CS301!N18,CS301!Q18,CS301!E25,CS301!H25,CS301!K25,CS301!N25,CS301!Q25,CS301!E32,CS301!H32,CS301!K32,CS301!N32,CS301!Q32,CS301!E39,CS301!H39,CS301!K39,CS301!N39,CS301!Q39,CS301!E46,CS301!H46,CS301!K46,CS301!N46,CS301!Q46,CS301!E53,CS301!H53,CS301!K53,CS301!N53,CS301!Q53,CS301!E60,CS301!H60,CS301!K60,CS301!N60,CS301!Q60),0)</f>
        <v>1.95</v>
      </c>
      <c r="F16" s="200" t="n">
        <f aca="false">IFERROR(E16/3*100,0)</f>
        <v>65</v>
      </c>
      <c r="G16" s="147" t="n">
        <f aca="false">IFERROR(AVERAGE(CS302!E11,CS302!H11,CS302!K11,CS302!N11,CS302!Q11,CS302!E18,CS302!H18,CS302!K18,CS302!N18,CS302!Q18,CS302!E25,CS302!H25,CS302!K25,CS302!N25,CS302!Q25,CS302!E32,CS302!H32,CS302!K32,CS302!N32,CS302!Q32,CS302!E39,CS302!H39,CS302!K39,CS302!N39,CS302!Q39,CS302!E46,CS302!H46,CS302!K46,CS302!N46,CS302!Q46,CS302!E53,CS302!H53,CS302!K53,CS302!N53,CS302!Q53,CS302!E60,CS302!H60,CS302!K60,CS302!N60,CS302!Q60),0)</f>
        <v>2.25</v>
      </c>
      <c r="H16" s="200" t="n">
        <f aca="false">IFERROR(G16/3*100,0)</f>
        <v>75</v>
      </c>
      <c r="I16" s="147" t="n">
        <f aca="false">IFERROR(AVERAGE(CS303!E11,CS303!H11,CS303!K11,CS303!N11,CS303!Q11,CS303!E18,CS303!H18,CS303!K18,CS303!N18,CS303!Q18,CS303!E25,CS303!H25,CS303!K25,CS303!N25,CS303!Q25,CS303!E32,CS303!H32,CS303!K32,CS303!N32,CS303!Q32,CS303!E39,CS303!H39,CS303!K39,CS303!N39,CS303!Q39,CS303!E46,CS303!H46,CS303!K46,CS303!N46,CS303!Q46,CS303!E53,CS303!H53,CS303!K53,CS303!N53,CS303!Q53,CS303!E60,CS303!H60,CS303!K60,CS303!N60,CS303!Q60),0)</f>
        <v>2.025</v>
      </c>
      <c r="J16" s="200" t="n">
        <f aca="false">IFERROR(I16/3*100,0)</f>
        <v>67.5</v>
      </c>
      <c r="K16" s="147" t="n">
        <f aca="false">IFERROR(AVERAGE(CS304!E11,CS304!H11,CS304!K11,CS304!N11,CS304!Q11,CS304!E18,CS304!H18,CS304!K18,CS304!N18,CS304!Q18,CS304!E25,CS304!H25,CS304!K25,CS304!N25,CS304!Q25,CS304!E32,CS304!H32,CS304!K32,CS304!N32,CS304!Q32,CS304!E39,CS304!H39,CS304!K39,CS304!N39,CS304!Q39,CS304!E46,CS304!H46,CS304!K46,CS304!N46,CS304!Q46,CS304!E53,CS304!H53,CS304!K53,CS304!N53,CS304!Q53,CS304!E60,CS304!H60,CS304!K60,CS304!N60,CS304!Q60),0)</f>
        <v>1.875</v>
      </c>
      <c r="L16" s="200" t="n">
        <f aca="false">IFERROR(K16/3*100,0)</f>
        <v>62.5</v>
      </c>
      <c r="M16" s="147" t="n">
        <f aca="false">IFERROR(AVERAGE(CS305!E11,CS305!H11,CS305!K11,CS305!N11,CS305!Q11,CS305!T11,CS305!E18,CS305!H18,CS305!K18,CS305!N18,CS305!Q18,CS305!T18,CS305!E25,CS305!H25,CS305!K25,CS305!N25,CS305!Q25,CS305!T25,CS305!E32,CS305!H32,CS305!K32,CS305!N32,CS305!Q32,CS305!T32,CS305!E39,CS305!H39,CS305!K39,CS305!N39,CS305!Q39,CS305!T39,CS305!E46,CS305!H46,CS305!K46,CS305!N46,CS305!Q46,CS305!T46,CS305!E53,CS305!H53,CS305!K53,CS305!N53,CS305!Q53,CS305!T53,CS305!E60,CS305!H60,CS305!K60,CS305!N60,CS305!Q60,CS305!T60),0)</f>
        <v>2.5</v>
      </c>
      <c r="N16" s="200" t="n">
        <f aca="false">IFERROR(M16/3*100,0)</f>
        <v>83.3333333333333</v>
      </c>
      <c r="O16" s="147" t="n">
        <f aca="false">IFERROR(AVERAGE(CS301!E11,CS301!E18,CS301!E25,CS301!E32,CS301!E39,CS301!E46,CS301!E53,CS301!E60,CS301!H11,CS301!H18,CS301!H25,CS301!H32,CS301!H39,CS301!H46,CS301!H53,CS301!H60,CS301!K11,CS301!K18,CS301!K25,CS301!K32,CS301!K39,CS301!K46,CS301!K53,CS301!K60,CS301!N11,CS301!N18,CS301!N25,CS301!N32,CS301!N39,CS301!N46,CS301!N53,CS301!N60,CS301!Q11,CS301!Q18,CS301!Q25,CS301!Q32,CS301!Q39,CS301!Q46,CS301!Q53,CS301!Q60,CS302!E11,CS302!E18,CS302!E25,CS302!E32,CS302!E39,CS302!E46,CS302!E53,CS302!E60,CS302!H11,CS302!H18,CS302!H25,CS302!H32,CS302!H39,CS302!H46,CS302!H53,CS302!H60,CS302!K11,CS302!K18,CS302!K25,CS302!K32,CS302!K39,CS302!K46,CS302!K53,CS302!K60,CS302!N11,CS302!N18,CS302!N25,CS302!N32,CS302!N39,CS302!N46,CS302!N53,CS302!N60,CS302!Q11,CS302!Q18,CS302!Q25,CS302!Q32,CS302!Q39,CS302!Q46,CS302!Q53,CS302!Q60,CS303!E11,CS303!E18,CS303!E25,CS303!E32,CS303!E39,CS303!E46,CS303!E53,CS303!E60,CS303!H11,CS303!H18,CS303!H25,CS303!H32,CS303!H39,CS303!H46,CS303!H53,CS303!H60,CS303!K11,CS303!K18,CS303!K25,CS303!K32,CS303!K39,CS303!K46,CS303!K53,CS303!K60,CS303!N11,CS303!N18,CS303!N25,CS303!N32,CS303!N39,CS303!N46,CS303!N53,CS303!N60,CS303!Q11,CS303!Q18,CS303!Q25,CS303!Q32,CS303!Q39,CS303!Q46,CS303!Q53,CS303!Q60,CS304!E11,CS304!E18,CS304!E25,CS304!E32,CS304!E39,CS304!E46,CS304!E53,CS304!E60,CS304!H11,CS304!H18,CS304!H25,CS304!H32,CS304!H39,CS304!H46,CS304!H53,CS304!H60,CS304!K11,CS304!K18,CS304!K25,CS304!K32,CS304!K39,CS304!K46,CS304!K53,CS304!K60,CS304!N11,CS304!N18,CS304!N25,CS304!N32,CS304!N39,CS304!N46,CS304!N53,CS304!N60,CS304!Q11,CS304!Q18,CS304!Q25,CS304!Q32,CS304!Q39,CS304!Q46,CS304!Q53,CS304!Q60,CS305!E11,CS305!E18,CS305!E25,CS305!E32,CS305!E39,CS305!E46,CS305!E53,CS305!E60,CS305!H11,CS305!H18,CS305!H25,CS305!H32,CS305!H39,CS305!H46,CS305!H53,CS305!H60,CS305!K11,CS305!K18,CS305!K25,CS305!K32,CS305!K39,CS305!K46,CS305!K53,CS305!K60,CS305!N11,CS305!N18,CS305!N25,CS305!N32,CS305!N39,CS305!N46,CS305!N53,CS305!N60,CS305!Q11,CS305!Q18,CS305!Q25,CS305!Q32,CS305!Q39,CS305!Q46,CS305!Q53,CS305!Q60,CS305!T11,CS305!T18,CS305!T25,CS305!T32,CS305!T39,CS305!T46,CS305!T53,CS305!T60),0)</f>
        <v>2.13461538461538</v>
      </c>
      <c r="P16" s="200" t="n">
        <f aca="false">IFERROR(O16/3*100,0)</f>
        <v>71.1538461538462</v>
      </c>
    </row>
  </sheetData>
  <mergeCells count="15">
    <mergeCell ref="A1:O1"/>
    <mergeCell ref="A2:O2"/>
    <mergeCell ref="A4:C4"/>
    <mergeCell ref="A5:A6"/>
    <mergeCell ref="B5:B6"/>
    <mergeCell ref="C5:C6"/>
    <mergeCell ref="D5:D6"/>
    <mergeCell ref="E5:F5"/>
    <mergeCell ref="G5:H5"/>
    <mergeCell ref="I5:J5"/>
    <mergeCell ref="K5:L5"/>
    <mergeCell ref="M5:N5"/>
    <mergeCell ref="O5:O6"/>
    <mergeCell ref="P5:P6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18" min="4" style="1" width="9"/>
  </cols>
  <sheetData>
    <row r="1" customFormat="false" ht="36" hidden="false" customHeight="true" outlineLevel="0" collapsed="false">
      <c r="A1" s="64" t="s">
        <v>248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customFormat="false" ht="13.5" hidden="false" customHeight="true" outlineLevel="0" collapsed="false">
      <c r="A2" s="65" t="s">
        <v>101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</row>
    <row r="3" customFormat="false" ht="4.5" hidden="false" customHeight="true" outlineLevel="0" collapsed="false"/>
    <row r="4" customFormat="false" ht="18" hidden="false" customHeight="true" outlineLevel="0" collapsed="false">
      <c r="A4" s="66" t="s">
        <v>102</v>
      </c>
      <c r="B4" s="66"/>
      <c r="C4" s="66"/>
      <c r="D4" s="11" t="s">
        <v>103</v>
      </c>
      <c r="E4" s="16" t="s">
        <v>104</v>
      </c>
      <c r="F4" s="21" t="s">
        <v>105</v>
      </c>
      <c r="G4" s="26" t="s">
        <v>106</v>
      </c>
      <c r="H4" s="67" t="s">
        <v>107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</row>
    <row r="5" customFormat="false" ht="21.75" hidden="false" customHeight="true" outlineLevel="0" collapsed="false">
      <c r="A5" s="10" t="s">
        <v>39</v>
      </c>
      <c r="B5" s="10" t="s">
        <v>108</v>
      </c>
      <c r="C5" s="68" t="s">
        <v>109</v>
      </c>
      <c r="D5" s="69" t="s">
        <v>110</v>
      </c>
      <c r="E5" s="70" t="s">
        <v>111</v>
      </c>
      <c r="F5" s="71" t="s">
        <v>112</v>
      </c>
      <c r="G5" s="69" t="s">
        <v>113</v>
      </c>
      <c r="H5" s="70" t="s">
        <v>114</v>
      </c>
      <c r="I5" s="71" t="s">
        <v>115</v>
      </c>
      <c r="J5" s="69" t="s">
        <v>116</v>
      </c>
      <c r="K5" s="70" t="s">
        <v>117</v>
      </c>
      <c r="L5" s="71" t="s">
        <v>118</v>
      </c>
      <c r="M5" s="69" t="s">
        <v>119</v>
      </c>
      <c r="N5" s="70" t="s">
        <v>120</v>
      </c>
      <c r="O5" s="71" t="s">
        <v>121</v>
      </c>
      <c r="P5" s="69" t="s">
        <v>122</v>
      </c>
      <c r="Q5" s="70" t="s">
        <v>123</v>
      </c>
      <c r="R5" s="71" t="s">
        <v>124</v>
      </c>
    </row>
    <row r="6" customFormat="false" ht="25.5" hidden="false" customHeight="true" outlineLevel="0" collapsed="false">
      <c r="A6" s="72" t="s">
        <v>125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customFormat="false" ht="19.5" hidden="false" customHeight="true" outlineLevel="0" collapsed="false">
      <c r="A7" s="32" t="s">
        <v>42</v>
      </c>
      <c r="B7" s="73" t="s">
        <v>126</v>
      </c>
      <c r="C7" s="11" t="s">
        <v>33</v>
      </c>
      <c r="D7" s="74" t="n">
        <v>1</v>
      </c>
      <c r="E7" s="75"/>
      <c r="F7" s="75"/>
      <c r="G7" s="74" t="n">
        <v>1</v>
      </c>
      <c r="H7" s="75"/>
      <c r="I7" s="75"/>
      <c r="J7" s="74" t="n">
        <v>1</v>
      </c>
      <c r="K7" s="75"/>
      <c r="L7" s="75"/>
      <c r="M7" s="74" t="n">
        <v>1</v>
      </c>
      <c r="N7" s="75"/>
      <c r="O7" s="75"/>
      <c r="P7" s="74" t="n">
        <v>1</v>
      </c>
      <c r="Q7" s="75"/>
      <c r="R7" s="75"/>
    </row>
    <row r="8" customFormat="false" ht="19.5" hidden="false" customHeight="true" outlineLevel="0" collapsed="false">
      <c r="A8" s="32"/>
      <c r="B8" s="76" t="s">
        <v>127</v>
      </c>
      <c r="C8" s="11" t="s">
        <v>33</v>
      </c>
      <c r="D8" s="74" t="n">
        <v>2</v>
      </c>
      <c r="E8" s="77"/>
      <c r="F8" s="77"/>
      <c r="G8" s="74" t="n">
        <v>2</v>
      </c>
      <c r="H8" s="77"/>
      <c r="I8" s="77"/>
      <c r="J8" s="74" t="n">
        <v>2</v>
      </c>
      <c r="K8" s="77"/>
      <c r="L8" s="77"/>
      <c r="M8" s="74" t="n">
        <v>2</v>
      </c>
      <c r="N8" s="77"/>
      <c r="O8" s="77"/>
      <c r="P8" s="74" t="n">
        <v>2</v>
      </c>
      <c r="Q8" s="77"/>
      <c r="R8" s="77"/>
    </row>
    <row r="9" customFormat="false" ht="19.5" hidden="false" customHeight="true" outlineLevel="0" collapsed="false">
      <c r="A9" s="32"/>
      <c r="B9" s="73" t="s">
        <v>128</v>
      </c>
      <c r="C9" s="11" t="s">
        <v>33</v>
      </c>
      <c r="D9" s="74" t="n">
        <v>3</v>
      </c>
      <c r="E9" s="75"/>
      <c r="F9" s="75"/>
      <c r="G9" s="74" t="n">
        <v>3</v>
      </c>
      <c r="H9" s="75"/>
      <c r="I9" s="75"/>
      <c r="J9" s="74" t="n">
        <v>3</v>
      </c>
      <c r="K9" s="75"/>
      <c r="L9" s="75"/>
      <c r="M9" s="74" t="n">
        <v>3</v>
      </c>
      <c r="N9" s="75"/>
      <c r="O9" s="75"/>
      <c r="P9" s="74" t="n">
        <v>3</v>
      </c>
      <c r="Q9" s="75"/>
      <c r="R9" s="75"/>
    </row>
    <row r="10" customFormat="false" ht="19.5" hidden="false" customHeight="true" outlineLevel="0" collapsed="false">
      <c r="A10" s="32"/>
      <c r="B10" s="76" t="s">
        <v>129</v>
      </c>
      <c r="C10" s="11" t="s">
        <v>33</v>
      </c>
      <c r="D10" s="74" t="n">
        <v>1</v>
      </c>
      <c r="E10" s="77"/>
      <c r="F10" s="77"/>
      <c r="G10" s="74" t="n">
        <v>1</v>
      </c>
      <c r="H10" s="77"/>
      <c r="I10" s="77"/>
      <c r="J10" s="74" t="n">
        <v>1</v>
      </c>
      <c r="K10" s="77"/>
      <c r="L10" s="77"/>
      <c r="M10" s="74" t="n">
        <v>1</v>
      </c>
      <c r="N10" s="77"/>
      <c r="O10" s="77"/>
      <c r="P10" s="74" t="n">
        <v>1</v>
      </c>
      <c r="Q10" s="77"/>
      <c r="R10" s="77"/>
    </row>
    <row r="11" customFormat="false" ht="21.75" hidden="false" customHeight="true" outlineLevel="0" collapsed="false">
      <c r="A11" s="5" t="s">
        <v>130</v>
      </c>
      <c r="B11" s="5"/>
      <c r="C11" s="78"/>
      <c r="D11" s="79" t="n">
        <f aca="false">COUNTIF(D7:D10,"&gt;0")</f>
        <v>4</v>
      </c>
      <c r="E11" s="80" t="n">
        <f aca="false">IF(COUNTIF(D7:D10,"&gt;0")&gt;=3,3,IF(COUNTIF(D7:D10,"&gt;0")&gt;=2,2,IF(COUNTIF(D7:D10,"&gt;0")&gt;=1,1,0)))</f>
        <v>3</v>
      </c>
      <c r="F11" s="81" t="n">
        <f aca="false">IFERROR(AVERAGEIF(D7:D10,"&gt;0")/3*100,0)</f>
        <v>58.3333333333333</v>
      </c>
      <c r="G11" s="79" t="n">
        <f aca="false">COUNTIF(G7:G10,"&gt;0")</f>
        <v>4</v>
      </c>
      <c r="H11" s="80" t="n">
        <f aca="false">IF(COUNTIF(G7:G10,"&gt;0")&gt;=3,3,IF(COUNTIF(G7:G10,"&gt;0")&gt;=2,2,IF(COUNTIF(G7:G10,"&gt;0")&gt;=1,1,0)))</f>
        <v>3</v>
      </c>
      <c r="I11" s="81" t="n">
        <f aca="false">IFERROR(AVERAGEIF(G7:G10,"&gt;0")/3*100,0)</f>
        <v>58.3333333333333</v>
      </c>
      <c r="J11" s="79" t="n">
        <f aca="false">COUNTIF(J7:J10,"&gt;0")</f>
        <v>4</v>
      </c>
      <c r="K11" s="80" t="n">
        <f aca="false">IF(COUNTIF(J7:J10,"&gt;0")&gt;=3,3,IF(COUNTIF(J7:J10,"&gt;0")&gt;=2,2,IF(COUNTIF(J7:J10,"&gt;0")&gt;=1,1,0)))</f>
        <v>3</v>
      </c>
      <c r="L11" s="81" t="n">
        <f aca="false">IFERROR(AVERAGEIF(J7:J10,"&gt;0")/3*100,0)</f>
        <v>58.3333333333333</v>
      </c>
      <c r="M11" s="79" t="n">
        <f aca="false">COUNTIF(M7:M10,"&gt;0")</f>
        <v>4</v>
      </c>
      <c r="N11" s="80" t="n">
        <f aca="false">IF(COUNTIF(M7:M10,"&gt;0")&gt;=3,3,IF(COUNTIF(M7:M10,"&gt;0")&gt;=2,2,IF(COUNTIF(M7:M10,"&gt;0")&gt;=1,1,0)))</f>
        <v>3</v>
      </c>
      <c r="O11" s="81" t="n">
        <f aca="false">IFERROR(AVERAGEIF(M7:M10,"&gt;0")/3*100,0)</f>
        <v>58.3333333333333</v>
      </c>
      <c r="P11" s="79" t="n">
        <f aca="false">COUNTIF(P7:P10,"&gt;0")</f>
        <v>4</v>
      </c>
      <c r="Q11" s="80" t="n">
        <f aca="false">IF(COUNTIF(P7:P10,"&gt;0")&gt;=3,3,IF(COUNTIF(P7:P10,"&gt;0")&gt;=2,2,IF(COUNTIF(P7:P10,"&gt;0")&gt;=1,1,0)))</f>
        <v>3</v>
      </c>
      <c r="R11" s="81" t="n">
        <f aca="false">IFERROR(AVERAGEIF(P7:P10,"&gt;0")/3*100,0)</f>
        <v>58.3333333333333</v>
      </c>
    </row>
    <row r="13" customFormat="false" ht="25.5" hidden="false" customHeight="true" outlineLevel="0" collapsed="false">
      <c r="A13" s="9" t="s">
        <v>131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9.5" hidden="false" customHeight="true" outlineLevel="0" collapsed="false">
      <c r="A14" s="35" t="s">
        <v>45</v>
      </c>
      <c r="B14" s="82" t="s">
        <v>132</v>
      </c>
      <c r="C14" s="11" t="s">
        <v>33</v>
      </c>
      <c r="D14" s="84" t="n">
        <v>0</v>
      </c>
      <c r="E14" s="83"/>
      <c r="F14" s="83"/>
      <c r="G14" s="74" t="n">
        <v>1</v>
      </c>
      <c r="H14" s="83"/>
      <c r="I14" s="83"/>
      <c r="J14" s="84" t="n">
        <v>0</v>
      </c>
      <c r="K14" s="83"/>
      <c r="L14" s="83"/>
      <c r="M14" s="84" t="n">
        <v>0</v>
      </c>
      <c r="N14" s="83"/>
      <c r="O14" s="83"/>
      <c r="P14" s="84" t="n">
        <v>0</v>
      </c>
      <c r="Q14" s="83"/>
      <c r="R14" s="83"/>
    </row>
    <row r="15" customFormat="false" ht="19.5" hidden="false" customHeight="true" outlineLevel="0" collapsed="false">
      <c r="A15" s="35"/>
      <c r="B15" s="76" t="s">
        <v>133</v>
      </c>
      <c r="C15" s="11" t="s">
        <v>33</v>
      </c>
      <c r="D15" s="84" t="n">
        <v>0</v>
      </c>
      <c r="E15" s="77"/>
      <c r="F15" s="77"/>
      <c r="G15" s="74" t="n">
        <v>2</v>
      </c>
      <c r="H15" s="77"/>
      <c r="I15" s="77"/>
      <c r="J15" s="84" t="n">
        <v>0</v>
      </c>
      <c r="K15" s="77"/>
      <c r="L15" s="77"/>
      <c r="M15" s="84" t="n">
        <v>0</v>
      </c>
      <c r="N15" s="77"/>
      <c r="O15" s="77"/>
      <c r="P15" s="84" t="n">
        <v>0</v>
      </c>
      <c r="Q15" s="77"/>
      <c r="R15" s="77"/>
    </row>
    <row r="16" customFormat="false" ht="19.5" hidden="false" customHeight="true" outlineLevel="0" collapsed="false">
      <c r="A16" s="35"/>
      <c r="B16" s="82" t="s">
        <v>134</v>
      </c>
      <c r="C16" s="11" t="s">
        <v>33</v>
      </c>
      <c r="D16" s="84" t="n">
        <v>0</v>
      </c>
      <c r="E16" s="83"/>
      <c r="F16" s="83"/>
      <c r="G16" s="74" t="n">
        <v>3</v>
      </c>
      <c r="H16" s="83"/>
      <c r="I16" s="83"/>
      <c r="J16" s="84" t="n">
        <v>0</v>
      </c>
      <c r="K16" s="83"/>
      <c r="L16" s="83"/>
      <c r="M16" s="84" t="n">
        <v>0</v>
      </c>
      <c r="N16" s="83"/>
      <c r="O16" s="83"/>
      <c r="P16" s="84" t="n">
        <v>0</v>
      </c>
      <c r="Q16" s="83"/>
      <c r="R16" s="83"/>
    </row>
    <row r="17" customFormat="false" ht="19.5" hidden="false" customHeight="true" outlineLevel="0" collapsed="false">
      <c r="A17" s="35"/>
      <c r="B17" s="76" t="s">
        <v>135</v>
      </c>
      <c r="C17" s="11" t="s">
        <v>33</v>
      </c>
      <c r="D17" s="84" t="n">
        <v>0</v>
      </c>
      <c r="E17" s="77"/>
      <c r="F17" s="77"/>
      <c r="G17" s="74" t="n">
        <v>1</v>
      </c>
      <c r="H17" s="77"/>
      <c r="I17" s="77"/>
      <c r="J17" s="84" t="n">
        <v>0</v>
      </c>
      <c r="K17" s="77"/>
      <c r="L17" s="77"/>
      <c r="M17" s="84" t="n">
        <v>0</v>
      </c>
      <c r="N17" s="77"/>
      <c r="O17" s="77"/>
      <c r="P17" s="84" t="n">
        <v>0</v>
      </c>
      <c r="Q17" s="77"/>
      <c r="R17" s="77"/>
    </row>
    <row r="18" customFormat="false" ht="21.75" hidden="false" customHeight="true" outlineLevel="0" collapsed="false">
      <c r="A18" s="85" t="s">
        <v>130</v>
      </c>
      <c r="B18" s="85"/>
      <c r="C18" s="86"/>
      <c r="D18" s="87" t="n">
        <f aca="false">COUNTIF(D14:D17,"&gt;0")</f>
        <v>0</v>
      </c>
      <c r="E18" s="88" t="n">
        <f aca="false">IF(COUNTIF(D14:D17,"&gt;0")&gt;=3,3,IF(COUNTIF(D14:D17,"&gt;0")&gt;=2,2,IF(COUNTIF(D14:D17,"&gt;0")&gt;=1,1,0)))</f>
        <v>0</v>
      </c>
      <c r="F18" s="89" t="n">
        <f aca="false">IFERROR(AVERAGEIF(D14:D17,"&gt;0")/3*100,0)</f>
        <v>0</v>
      </c>
      <c r="G18" s="87" t="n">
        <f aca="false">COUNTIF(G14:G17,"&gt;0")</f>
        <v>4</v>
      </c>
      <c r="H18" s="88" t="n">
        <f aca="false">IF(COUNTIF(G14:G17,"&gt;0")&gt;=3,3,IF(COUNTIF(G14:G17,"&gt;0")&gt;=2,2,IF(COUNTIF(G14:G17,"&gt;0")&gt;=1,1,0)))</f>
        <v>3</v>
      </c>
      <c r="I18" s="89" t="n">
        <f aca="false">IFERROR(AVERAGEIF(G14:G17,"&gt;0")/3*100,0)</f>
        <v>58.3333333333333</v>
      </c>
      <c r="J18" s="87" t="n">
        <f aca="false">COUNTIF(J14:J17,"&gt;0")</f>
        <v>0</v>
      </c>
      <c r="K18" s="88" t="n">
        <f aca="false">IF(COUNTIF(J14:J17,"&gt;0")&gt;=3,3,IF(COUNTIF(J14:J17,"&gt;0")&gt;=2,2,IF(COUNTIF(J14:J17,"&gt;0")&gt;=1,1,0)))</f>
        <v>0</v>
      </c>
      <c r="L18" s="89" t="n">
        <f aca="false">IFERROR(AVERAGEIF(J14:J17,"&gt;0")/3*100,0)</f>
        <v>0</v>
      </c>
      <c r="M18" s="87" t="n">
        <f aca="false">COUNTIF(M14:M17,"&gt;0")</f>
        <v>0</v>
      </c>
      <c r="N18" s="88" t="n">
        <f aca="false">IF(COUNTIF(M14:M17,"&gt;0")&gt;=3,3,IF(COUNTIF(M14:M17,"&gt;0")&gt;=2,2,IF(COUNTIF(M14:M17,"&gt;0")&gt;=1,1,0)))</f>
        <v>0</v>
      </c>
      <c r="O18" s="89" t="n">
        <f aca="false">IFERROR(AVERAGEIF(M14:M17,"&gt;0")/3*100,0)</f>
        <v>0</v>
      </c>
      <c r="P18" s="87" t="n">
        <f aca="false">COUNTIF(P14:P17,"&gt;0")</f>
        <v>0</v>
      </c>
      <c r="Q18" s="88" t="n">
        <f aca="false">IF(COUNTIF(P14:P17,"&gt;0")&gt;=3,3,IF(COUNTIF(P14:P17,"&gt;0")&gt;=2,2,IF(COUNTIF(P14:P17,"&gt;0")&gt;=1,1,0)))</f>
        <v>0</v>
      </c>
      <c r="R18" s="89" t="n">
        <f aca="false">IFERROR(AVERAGEIF(P14:P17,"&gt;0")/3*100,0)</f>
        <v>0</v>
      </c>
    </row>
    <row r="20" customFormat="false" ht="25.5" hidden="false" customHeight="true" outlineLevel="0" collapsed="false">
      <c r="A20" s="54" t="s">
        <v>136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customFormat="false" ht="19.5" hidden="false" customHeight="true" outlineLevel="0" collapsed="false">
      <c r="A21" s="38" t="s">
        <v>48</v>
      </c>
      <c r="B21" s="29" t="s">
        <v>137</v>
      </c>
      <c r="C21" s="11" t="s">
        <v>33</v>
      </c>
      <c r="D21" s="84" t="n">
        <v>0</v>
      </c>
      <c r="E21" s="28"/>
      <c r="F21" s="28"/>
      <c r="G21" s="84" t="n">
        <v>0</v>
      </c>
      <c r="H21" s="28"/>
      <c r="I21" s="28"/>
      <c r="J21" s="84" t="n">
        <v>0</v>
      </c>
      <c r="K21" s="28"/>
      <c r="L21" s="28"/>
      <c r="M21" s="84" t="n">
        <v>0</v>
      </c>
      <c r="N21" s="28"/>
      <c r="O21" s="28"/>
      <c r="P21" s="84" t="n">
        <v>0</v>
      </c>
      <c r="Q21" s="28"/>
      <c r="R21" s="28"/>
    </row>
    <row r="22" customFormat="false" ht="19.5" hidden="false" customHeight="true" outlineLevel="0" collapsed="false">
      <c r="A22" s="38"/>
      <c r="B22" s="76" t="s">
        <v>138</v>
      </c>
      <c r="C22" s="11" t="s">
        <v>33</v>
      </c>
      <c r="D22" s="84" t="n">
        <v>0</v>
      </c>
      <c r="E22" s="77"/>
      <c r="F22" s="77"/>
      <c r="G22" s="84" t="n">
        <v>0</v>
      </c>
      <c r="H22" s="77"/>
      <c r="I22" s="77"/>
      <c r="J22" s="84" t="n">
        <v>0</v>
      </c>
      <c r="K22" s="77"/>
      <c r="L22" s="77"/>
      <c r="M22" s="84" t="n">
        <v>0</v>
      </c>
      <c r="N22" s="77"/>
      <c r="O22" s="77"/>
      <c r="P22" s="84" t="n">
        <v>0</v>
      </c>
      <c r="Q22" s="77"/>
      <c r="R22" s="77"/>
    </row>
    <row r="23" customFormat="false" ht="19.5" hidden="false" customHeight="true" outlineLevel="0" collapsed="false">
      <c r="A23" s="38"/>
      <c r="B23" s="29" t="s">
        <v>139</v>
      </c>
      <c r="C23" s="11" t="s">
        <v>33</v>
      </c>
      <c r="D23" s="84" t="n">
        <v>0</v>
      </c>
      <c r="E23" s="28"/>
      <c r="F23" s="28"/>
      <c r="G23" s="84" t="n">
        <v>0</v>
      </c>
      <c r="H23" s="28"/>
      <c r="I23" s="28"/>
      <c r="J23" s="84" t="n">
        <v>0</v>
      </c>
      <c r="K23" s="28"/>
      <c r="L23" s="28"/>
      <c r="M23" s="84" t="n">
        <v>0</v>
      </c>
      <c r="N23" s="28"/>
      <c r="O23" s="28"/>
      <c r="P23" s="84" t="n">
        <v>0</v>
      </c>
      <c r="Q23" s="28"/>
      <c r="R23" s="28"/>
    </row>
    <row r="24" customFormat="false" ht="19.5" hidden="false" customHeight="true" outlineLevel="0" collapsed="false">
      <c r="A24" s="38"/>
      <c r="B24" s="76" t="s">
        <v>140</v>
      </c>
      <c r="C24" s="11" t="s">
        <v>33</v>
      </c>
      <c r="D24" s="84" t="n">
        <v>0</v>
      </c>
      <c r="E24" s="77"/>
      <c r="F24" s="77"/>
      <c r="G24" s="84" t="n">
        <v>0</v>
      </c>
      <c r="H24" s="77"/>
      <c r="I24" s="77"/>
      <c r="J24" s="84" t="n">
        <v>0</v>
      </c>
      <c r="K24" s="77"/>
      <c r="L24" s="77"/>
      <c r="M24" s="84" t="n">
        <v>0</v>
      </c>
      <c r="N24" s="77"/>
      <c r="O24" s="77"/>
      <c r="P24" s="84" t="n">
        <v>0</v>
      </c>
      <c r="Q24" s="77"/>
      <c r="R24" s="77"/>
    </row>
    <row r="25" customFormat="false" ht="21.75" hidden="false" customHeight="true" outlineLevel="0" collapsed="false">
      <c r="A25" s="90" t="s">
        <v>130</v>
      </c>
      <c r="B25" s="90"/>
      <c r="C25" s="91"/>
      <c r="D25" s="92" t="n">
        <f aca="false">COUNTIF(D21:D24,"&gt;0")</f>
        <v>0</v>
      </c>
      <c r="E25" s="93" t="n">
        <f aca="false">IF(COUNTIF(D21:D24,"&gt;0")&gt;=3,3,IF(COUNTIF(D21:D24,"&gt;0")&gt;=2,2,IF(COUNTIF(D21:D24,"&gt;0")&gt;=1,1,0)))</f>
        <v>0</v>
      </c>
      <c r="F25" s="94" t="n">
        <f aca="false">IFERROR(AVERAGEIF(D21:D24,"&gt;0")/3*100,0)</f>
        <v>0</v>
      </c>
      <c r="G25" s="92" t="n">
        <f aca="false">COUNTIF(G21:G24,"&gt;0")</f>
        <v>0</v>
      </c>
      <c r="H25" s="93" t="n">
        <f aca="false">IF(COUNTIF(G21:G24,"&gt;0")&gt;=3,3,IF(COUNTIF(G21:G24,"&gt;0")&gt;=2,2,IF(COUNTIF(G21:G24,"&gt;0")&gt;=1,1,0)))</f>
        <v>0</v>
      </c>
      <c r="I25" s="94" t="n">
        <f aca="false">IFERROR(AVERAGEIF(G21:G24,"&gt;0")/3*100,0)</f>
        <v>0</v>
      </c>
      <c r="J25" s="92" t="n">
        <f aca="false">COUNTIF(J21:J24,"&gt;0")</f>
        <v>0</v>
      </c>
      <c r="K25" s="93" t="n">
        <f aca="false">IF(COUNTIF(J21:J24,"&gt;0")&gt;=3,3,IF(COUNTIF(J21:J24,"&gt;0")&gt;=2,2,IF(COUNTIF(J21:J24,"&gt;0")&gt;=1,1,0)))</f>
        <v>0</v>
      </c>
      <c r="L25" s="94" t="n">
        <f aca="false">IFERROR(AVERAGEIF(J21:J24,"&gt;0")/3*100,0)</f>
        <v>0</v>
      </c>
      <c r="M25" s="92" t="n">
        <f aca="false">COUNTIF(M21:M24,"&gt;0")</f>
        <v>0</v>
      </c>
      <c r="N25" s="93" t="n">
        <f aca="false">IF(COUNTIF(M21:M24,"&gt;0")&gt;=3,3,IF(COUNTIF(M21:M24,"&gt;0")&gt;=2,2,IF(COUNTIF(M21:M24,"&gt;0")&gt;=1,1,0)))</f>
        <v>0</v>
      </c>
      <c r="O25" s="94" t="n">
        <f aca="false">IFERROR(AVERAGEIF(M21:M24,"&gt;0")/3*100,0)</f>
        <v>0</v>
      </c>
      <c r="P25" s="92" t="n">
        <f aca="false">COUNTIF(P21:P24,"&gt;0")</f>
        <v>0</v>
      </c>
      <c r="Q25" s="93" t="n">
        <f aca="false">IF(COUNTIF(P21:P24,"&gt;0")&gt;=3,3,IF(COUNTIF(P21:P24,"&gt;0")&gt;=2,2,IF(COUNTIF(P21:P24,"&gt;0")&gt;=1,1,0)))</f>
        <v>0</v>
      </c>
      <c r="R25" s="94" t="n">
        <f aca="false">IFERROR(AVERAGEIF(P21:P24,"&gt;0")/3*100,0)</f>
        <v>0</v>
      </c>
    </row>
    <row r="27" customFormat="false" ht="25.5" hidden="false" customHeight="true" outlineLevel="0" collapsed="false">
      <c r="A27" s="61" t="s">
        <v>141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</row>
    <row r="28" customFormat="false" ht="19.5" hidden="false" customHeight="true" outlineLevel="0" collapsed="false">
      <c r="A28" s="40" t="s">
        <v>51</v>
      </c>
      <c r="B28" s="19" t="s">
        <v>142</v>
      </c>
      <c r="C28" s="11" t="s">
        <v>33</v>
      </c>
      <c r="D28" s="74" t="n">
        <v>1</v>
      </c>
      <c r="E28" s="18"/>
      <c r="F28" s="18"/>
      <c r="G28" s="74" t="n">
        <v>1</v>
      </c>
      <c r="H28" s="18"/>
      <c r="I28" s="18"/>
      <c r="J28" s="74" t="n">
        <v>1</v>
      </c>
      <c r="K28" s="18"/>
      <c r="L28" s="18"/>
      <c r="M28" s="74" t="n">
        <v>1</v>
      </c>
      <c r="N28" s="18"/>
      <c r="O28" s="18"/>
      <c r="P28" s="84" t="n">
        <v>0</v>
      </c>
      <c r="Q28" s="18"/>
      <c r="R28" s="18"/>
    </row>
    <row r="29" customFormat="false" ht="19.5" hidden="false" customHeight="true" outlineLevel="0" collapsed="false">
      <c r="A29" s="40"/>
      <c r="B29" s="76" t="s">
        <v>143</v>
      </c>
      <c r="C29" s="11" t="s">
        <v>33</v>
      </c>
      <c r="D29" s="74" t="n">
        <v>2</v>
      </c>
      <c r="E29" s="77"/>
      <c r="F29" s="77"/>
      <c r="G29" s="74" t="n">
        <v>2</v>
      </c>
      <c r="H29" s="77"/>
      <c r="I29" s="77"/>
      <c r="J29" s="74" t="n">
        <v>2</v>
      </c>
      <c r="K29" s="77"/>
      <c r="L29" s="77"/>
      <c r="M29" s="74" t="n">
        <v>2</v>
      </c>
      <c r="N29" s="77"/>
      <c r="O29" s="77"/>
      <c r="P29" s="84" t="n">
        <v>0</v>
      </c>
      <c r="Q29" s="77"/>
      <c r="R29" s="77"/>
    </row>
    <row r="30" customFormat="false" ht="19.5" hidden="false" customHeight="true" outlineLevel="0" collapsed="false">
      <c r="A30" s="40"/>
      <c r="B30" s="19" t="s">
        <v>144</v>
      </c>
      <c r="C30" s="11" t="s">
        <v>33</v>
      </c>
      <c r="D30" s="74" t="n">
        <v>3</v>
      </c>
      <c r="E30" s="18"/>
      <c r="F30" s="18"/>
      <c r="G30" s="74" t="n">
        <v>3</v>
      </c>
      <c r="H30" s="18"/>
      <c r="I30" s="18"/>
      <c r="J30" s="74" t="n">
        <v>3</v>
      </c>
      <c r="K30" s="18"/>
      <c r="L30" s="18"/>
      <c r="M30" s="74" t="n">
        <v>3</v>
      </c>
      <c r="N30" s="18"/>
      <c r="O30" s="18"/>
      <c r="P30" s="84" t="n">
        <v>0</v>
      </c>
      <c r="Q30" s="18"/>
      <c r="R30" s="18"/>
    </row>
    <row r="31" customFormat="false" ht="19.5" hidden="false" customHeight="true" outlineLevel="0" collapsed="false">
      <c r="A31" s="40"/>
      <c r="B31" s="76" t="s">
        <v>145</v>
      </c>
      <c r="C31" s="11" t="s">
        <v>33</v>
      </c>
      <c r="D31" s="74" t="n">
        <v>1</v>
      </c>
      <c r="E31" s="77"/>
      <c r="F31" s="77"/>
      <c r="G31" s="74" t="n">
        <v>1</v>
      </c>
      <c r="H31" s="77"/>
      <c r="I31" s="77"/>
      <c r="J31" s="74" t="n">
        <v>1</v>
      </c>
      <c r="K31" s="77"/>
      <c r="L31" s="77"/>
      <c r="M31" s="74" t="n">
        <v>1</v>
      </c>
      <c r="N31" s="77"/>
      <c r="O31" s="77"/>
      <c r="P31" s="84" t="n">
        <v>0</v>
      </c>
      <c r="Q31" s="77"/>
      <c r="R31" s="77"/>
    </row>
    <row r="32" customFormat="false" ht="21.75" hidden="false" customHeight="true" outlineLevel="0" collapsed="false">
      <c r="A32" s="6" t="s">
        <v>130</v>
      </c>
      <c r="B32" s="6"/>
      <c r="C32" s="95"/>
      <c r="D32" s="96" t="n">
        <f aca="false">COUNTIF(D28:D31,"&gt;0")</f>
        <v>4</v>
      </c>
      <c r="E32" s="97" t="n">
        <f aca="false">IF(COUNTIF(D28:D31,"&gt;0")&gt;=3,3,IF(COUNTIF(D28:D31,"&gt;0")&gt;=2,2,IF(COUNTIF(D28:D31,"&gt;0")&gt;=1,1,0)))</f>
        <v>3</v>
      </c>
      <c r="F32" s="98" t="n">
        <f aca="false">IFERROR(AVERAGEIF(D28:D31,"&gt;0")/3*100,0)</f>
        <v>58.3333333333333</v>
      </c>
      <c r="G32" s="96" t="n">
        <f aca="false">COUNTIF(G28:G31,"&gt;0")</f>
        <v>4</v>
      </c>
      <c r="H32" s="97" t="n">
        <f aca="false">IF(COUNTIF(G28:G31,"&gt;0")&gt;=3,3,IF(COUNTIF(G28:G31,"&gt;0")&gt;=2,2,IF(COUNTIF(G28:G31,"&gt;0")&gt;=1,1,0)))</f>
        <v>3</v>
      </c>
      <c r="I32" s="98" t="n">
        <f aca="false">IFERROR(AVERAGEIF(G28:G31,"&gt;0")/3*100,0)</f>
        <v>58.3333333333333</v>
      </c>
      <c r="J32" s="96" t="n">
        <f aca="false">COUNTIF(J28:J31,"&gt;0")</f>
        <v>4</v>
      </c>
      <c r="K32" s="97" t="n">
        <f aca="false">IF(COUNTIF(J28:J31,"&gt;0")&gt;=3,3,IF(COUNTIF(J28:J31,"&gt;0")&gt;=2,2,IF(COUNTIF(J28:J31,"&gt;0")&gt;=1,1,0)))</f>
        <v>3</v>
      </c>
      <c r="L32" s="98" t="n">
        <f aca="false">IFERROR(AVERAGEIF(J28:J31,"&gt;0")/3*100,0)</f>
        <v>58.3333333333333</v>
      </c>
      <c r="M32" s="96" t="n">
        <f aca="false">COUNTIF(M28:M31,"&gt;0")</f>
        <v>4</v>
      </c>
      <c r="N32" s="97" t="n">
        <f aca="false">IF(COUNTIF(M28:M31,"&gt;0")&gt;=3,3,IF(COUNTIF(M28:M31,"&gt;0")&gt;=2,2,IF(COUNTIF(M28:M31,"&gt;0")&gt;=1,1,0)))</f>
        <v>3</v>
      </c>
      <c r="O32" s="98" t="n">
        <f aca="false">IFERROR(AVERAGEIF(M28:M31,"&gt;0")/3*100,0)</f>
        <v>58.3333333333333</v>
      </c>
      <c r="P32" s="96" t="n">
        <f aca="false">COUNTIF(P28:P31,"&gt;0")</f>
        <v>0</v>
      </c>
      <c r="Q32" s="97" t="n">
        <f aca="false">IF(COUNTIF(P28:P31,"&gt;0")&gt;=3,3,IF(COUNTIF(P28:P31,"&gt;0")&gt;=2,2,IF(COUNTIF(P28:P31,"&gt;0")&gt;=1,1,0)))</f>
        <v>0</v>
      </c>
      <c r="R32" s="98" t="n">
        <f aca="false">IFERROR(AVERAGEIF(P28:P31,"&gt;0")/3*100,0)</f>
        <v>0</v>
      </c>
    </row>
    <row r="34" customFormat="false" ht="25.5" hidden="false" customHeight="true" outlineLevel="0" collapsed="false">
      <c r="A34" s="4" t="s">
        <v>146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customFormat="false" ht="19.5" hidden="false" customHeight="true" outlineLevel="0" collapsed="false">
      <c r="A35" s="42" t="s">
        <v>54</v>
      </c>
      <c r="B35" s="99" t="s">
        <v>147</v>
      </c>
      <c r="C35" s="11" t="s">
        <v>33</v>
      </c>
      <c r="D35" s="74" t="n">
        <v>1</v>
      </c>
      <c r="E35" s="100"/>
      <c r="F35" s="100"/>
      <c r="G35" s="74" t="n">
        <v>1</v>
      </c>
      <c r="H35" s="100"/>
      <c r="I35" s="100"/>
      <c r="J35" s="74" t="n">
        <v>1</v>
      </c>
      <c r="K35" s="100"/>
      <c r="L35" s="100"/>
      <c r="M35" s="74" t="n">
        <v>1</v>
      </c>
      <c r="N35" s="100"/>
      <c r="O35" s="100"/>
      <c r="P35" s="74" t="n">
        <v>1</v>
      </c>
      <c r="Q35" s="100"/>
      <c r="R35" s="100"/>
    </row>
    <row r="36" customFormat="false" ht="19.5" hidden="false" customHeight="true" outlineLevel="0" collapsed="false">
      <c r="A36" s="42"/>
      <c r="B36" s="76" t="s">
        <v>148</v>
      </c>
      <c r="C36" s="11" t="s">
        <v>33</v>
      </c>
      <c r="D36" s="74" t="n">
        <v>2</v>
      </c>
      <c r="E36" s="77"/>
      <c r="F36" s="77"/>
      <c r="G36" s="74" t="n">
        <v>2</v>
      </c>
      <c r="H36" s="77"/>
      <c r="I36" s="77"/>
      <c r="J36" s="74" t="n">
        <v>2</v>
      </c>
      <c r="K36" s="77"/>
      <c r="L36" s="77"/>
      <c r="M36" s="74" t="n">
        <v>2</v>
      </c>
      <c r="N36" s="77"/>
      <c r="O36" s="77"/>
      <c r="P36" s="74" t="n">
        <v>2</v>
      </c>
      <c r="Q36" s="77"/>
      <c r="R36" s="77"/>
    </row>
    <row r="37" customFormat="false" ht="19.5" hidden="false" customHeight="true" outlineLevel="0" collapsed="false">
      <c r="A37" s="42"/>
      <c r="B37" s="99" t="s">
        <v>149</v>
      </c>
      <c r="C37" s="11" t="s">
        <v>33</v>
      </c>
      <c r="D37" s="74" t="n">
        <v>3</v>
      </c>
      <c r="E37" s="100"/>
      <c r="F37" s="100"/>
      <c r="G37" s="74" t="n">
        <v>3</v>
      </c>
      <c r="H37" s="100"/>
      <c r="I37" s="100"/>
      <c r="J37" s="74" t="n">
        <v>3</v>
      </c>
      <c r="K37" s="100"/>
      <c r="L37" s="100"/>
      <c r="M37" s="74" t="n">
        <v>3</v>
      </c>
      <c r="N37" s="100"/>
      <c r="O37" s="100"/>
      <c r="P37" s="74" t="n">
        <v>3</v>
      </c>
      <c r="Q37" s="100"/>
      <c r="R37" s="100"/>
    </row>
    <row r="38" customFormat="false" ht="19.5" hidden="false" customHeight="true" outlineLevel="0" collapsed="false">
      <c r="A38" s="42"/>
      <c r="B38" s="76" t="s">
        <v>145</v>
      </c>
      <c r="C38" s="11" t="s">
        <v>33</v>
      </c>
      <c r="D38" s="74" t="n">
        <v>1</v>
      </c>
      <c r="E38" s="77"/>
      <c r="F38" s="77"/>
      <c r="G38" s="74" t="n">
        <v>1</v>
      </c>
      <c r="H38" s="77"/>
      <c r="I38" s="77"/>
      <c r="J38" s="74" t="n">
        <v>1</v>
      </c>
      <c r="K38" s="77"/>
      <c r="L38" s="77"/>
      <c r="M38" s="74" t="n">
        <v>1</v>
      </c>
      <c r="N38" s="77"/>
      <c r="O38" s="77"/>
      <c r="P38" s="74" t="n">
        <v>1</v>
      </c>
      <c r="Q38" s="77"/>
      <c r="R38" s="77"/>
    </row>
    <row r="39" customFormat="false" ht="21.75" hidden="false" customHeight="true" outlineLevel="0" collapsed="false">
      <c r="A39" s="101" t="s">
        <v>130</v>
      </c>
      <c r="B39" s="101"/>
      <c r="C39" s="102"/>
      <c r="D39" s="103" t="n">
        <f aca="false">COUNTIF(D35:D38,"&gt;0")</f>
        <v>4</v>
      </c>
      <c r="E39" s="104" t="n">
        <f aca="false">IF(COUNTIF(D35:D38,"&gt;0")&gt;=3,3,IF(COUNTIF(D35:D38,"&gt;0")&gt;=2,2,IF(COUNTIF(D35:D38,"&gt;0")&gt;=1,1,0)))</f>
        <v>3</v>
      </c>
      <c r="F39" s="105" t="n">
        <f aca="false">IFERROR(AVERAGEIF(D35:D38,"&gt;0")/3*100,0)</f>
        <v>58.3333333333333</v>
      </c>
      <c r="G39" s="103" t="n">
        <f aca="false">COUNTIF(G35:G38,"&gt;0")</f>
        <v>4</v>
      </c>
      <c r="H39" s="104" t="n">
        <f aca="false">IF(COUNTIF(G35:G38,"&gt;0")&gt;=3,3,IF(COUNTIF(G35:G38,"&gt;0")&gt;=2,2,IF(COUNTIF(G35:G38,"&gt;0")&gt;=1,1,0)))</f>
        <v>3</v>
      </c>
      <c r="I39" s="105" t="n">
        <f aca="false">IFERROR(AVERAGEIF(G35:G38,"&gt;0")/3*100,0)</f>
        <v>58.3333333333333</v>
      </c>
      <c r="J39" s="103" t="n">
        <f aca="false">COUNTIF(J35:J38,"&gt;0")</f>
        <v>4</v>
      </c>
      <c r="K39" s="104" t="n">
        <f aca="false">IF(COUNTIF(J35:J38,"&gt;0")&gt;=3,3,IF(COUNTIF(J35:J38,"&gt;0")&gt;=2,2,IF(COUNTIF(J35:J38,"&gt;0")&gt;=1,1,0)))</f>
        <v>3</v>
      </c>
      <c r="L39" s="105" t="n">
        <f aca="false">IFERROR(AVERAGEIF(J35:J38,"&gt;0")/3*100,0)</f>
        <v>58.3333333333333</v>
      </c>
      <c r="M39" s="103" t="n">
        <f aca="false">COUNTIF(M35:M38,"&gt;0")</f>
        <v>4</v>
      </c>
      <c r="N39" s="104" t="n">
        <f aca="false">IF(COUNTIF(M35:M38,"&gt;0")&gt;=3,3,IF(COUNTIF(M35:M38,"&gt;0")&gt;=2,2,IF(COUNTIF(M35:M38,"&gt;0")&gt;=1,1,0)))</f>
        <v>3</v>
      </c>
      <c r="O39" s="105" t="n">
        <f aca="false">IFERROR(AVERAGEIF(M35:M38,"&gt;0")/3*100,0)</f>
        <v>58.3333333333333</v>
      </c>
      <c r="P39" s="103" t="n">
        <f aca="false">COUNTIF(P35:P38,"&gt;0")</f>
        <v>4</v>
      </c>
      <c r="Q39" s="104" t="n">
        <f aca="false">IF(COUNTIF(P35:P38,"&gt;0")&gt;=3,3,IF(COUNTIF(P35:P38,"&gt;0")&gt;=2,2,IF(COUNTIF(P35:P38,"&gt;0")&gt;=1,1,0)))</f>
        <v>3</v>
      </c>
      <c r="R39" s="105" t="n">
        <f aca="false">IFERROR(AVERAGEIF(P35:P38,"&gt;0")/3*100,0)</f>
        <v>58.3333333333333</v>
      </c>
    </row>
    <row r="41" customFormat="false" ht="25.5" hidden="false" customHeight="true" outlineLevel="0" collapsed="false">
      <c r="A41" s="106" t="s">
        <v>150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</row>
    <row r="42" customFormat="false" ht="19.5" hidden="false" customHeight="true" outlineLevel="0" collapsed="false">
      <c r="A42" s="45" t="s">
        <v>57</v>
      </c>
      <c r="B42" s="107" t="s">
        <v>151</v>
      </c>
      <c r="C42" s="11" t="s">
        <v>33</v>
      </c>
      <c r="D42" s="74" t="n">
        <v>1</v>
      </c>
      <c r="E42" s="108"/>
      <c r="F42" s="108"/>
      <c r="G42" s="74" t="n">
        <v>1</v>
      </c>
      <c r="H42" s="108"/>
      <c r="I42" s="108"/>
      <c r="J42" s="74" t="n">
        <v>1</v>
      </c>
      <c r="K42" s="108"/>
      <c r="L42" s="108"/>
      <c r="M42" s="74" t="n">
        <v>1</v>
      </c>
      <c r="N42" s="108"/>
      <c r="O42" s="108"/>
      <c r="P42" s="74" t="n">
        <v>1</v>
      </c>
      <c r="Q42" s="108"/>
      <c r="R42" s="108"/>
    </row>
    <row r="43" customFormat="false" ht="19.5" hidden="false" customHeight="true" outlineLevel="0" collapsed="false">
      <c r="A43" s="45"/>
      <c r="B43" s="76" t="s">
        <v>152</v>
      </c>
      <c r="C43" s="11" t="s">
        <v>33</v>
      </c>
      <c r="D43" s="74" t="n">
        <v>2</v>
      </c>
      <c r="E43" s="77"/>
      <c r="F43" s="77"/>
      <c r="G43" s="74" t="n">
        <v>2</v>
      </c>
      <c r="H43" s="77"/>
      <c r="I43" s="77"/>
      <c r="J43" s="74" t="n">
        <v>2</v>
      </c>
      <c r="K43" s="77"/>
      <c r="L43" s="77"/>
      <c r="M43" s="74" t="n">
        <v>2</v>
      </c>
      <c r="N43" s="77"/>
      <c r="O43" s="77"/>
      <c r="P43" s="74" t="n">
        <v>2</v>
      </c>
      <c r="Q43" s="77"/>
      <c r="R43" s="77"/>
    </row>
    <row r="44" customFormat="false" ht="19.5" hidden="false" customHeight="true" outlineLevel="0" collapsed="false">
      <c r="A44" s="45"/>
      <c r="B44" s="107" t="s">
        <v>153</v>
      </c>
      <c r="C44" s="11" t="s">
        <v>33</v>
      </c>
      <c r="D44" s="74" t="n">
        <v>3</v>
      </c>
      <c r="E44" s="108"/>
      <c r="F44" s="108"/>
      <c r="G44" s="74" t="n">
        <v>3</v>
      </c>
      <c r="H44" s="108"/>
      <c r="I44" s="108"/>
      <c r="J44" s="74" t="n">
        <v>3</v>
      </c>
      <c r="K44" s="108"/>
      <c r="L44" s="108"/>
      <c r="M44" s="74" t="n">
        <v>3</v>
      </c>
      <c r="N44" s="108"/>
      <c r="O44" s="108"/>
      <c r="P44" s="74" t="n">
        <v>3</v>
      </c>
      <c r="Q44" s="108"/>
      <c r="R44" s="108"/>
    </row>
    <row r="45" customFormat="false" ht="19.5" hidden="false" customHeight="true" outlineLevel="0" collapsed="false">
      <c r="A45" s="45"/>
      <c r="B45" s="76" t="s">
        <v>154</v>
      </c>
      <c r="C45" s="11" t="s">
        <v>33</v>
      </c>
      <c r="D45" s="74" t="n">
        <v>1</v>
      </c>
      <c r="E45" s="77"/>
      <c r="F45" s="77"/>
      <c r="G45" s="74" t="n">
        <v>1</v>
      </c>
      <c r="H45" s="77"/>
      <c r="I45" s="77"/>
      <c r="J45" s="74" t="n">
        <v>1</v>
      </c>
      <c r="K45" s="77"/>
      <c r="L45" s="77"/>
      <c r="M45" s="74" t="n">
        <v>1</v>
      </c>
      <c r="N45" s="77"/>
      <c r="O45" s="77"/>
      <c r="P45" s="74" t="n">
        <v>1</v>
      </c>
      <c r="Q45" s="77"/>
      <c r="R45" s="77"/>
    </row>
    <row r="46" customFormat="false" ht="21.75" hidden="false" customHeight="true" outlineLevel="0" collapsed="false">
      <c r="A46" s="109" t="s">
        <v>130</v>
      </c>
      <c r="B46" s="109"/>
      <c r="C46" s="110"/>
      <c r="D46" s="111" t="n">
        <f aca="false">COUNTIF(D42:D45,"&gt;0")</f>
        <v>4</v>
      </c>
      <c r="E46" s="112" t="n">
        <f aca="false">IF(COUNTIF(D42:D45,"&gt;0")&gt;=3,3,IF(COUNTIF(D42:D45,"&gt;0")&gt;=2,2,IF(COUNTIF(D42:D45,"&gt;0")&gt;=1,1,0)))</f>
        <v>3</v>
      </c>
      <c r="F46" s="113" t="n">
        <f aca="false">IFERROR(AVERAGEIF(D42:D45,"&gt;0")/3*100,0)</f>
        <v>58.3333333333333</v>
      </c>
      <c r="G46" s="111" t="n">
        <f aca="false">COUNTIF(G42:G45,"&gt;0")</f>
        <v>4</v>
      </c>
      <c r="H46" s="112" t="n">
        <f aca="false">IF(COUNTIF(G42:G45,"&gt;0")&gt;=3,3,IF(COUNTIF(G42:G45,"&gt;0")&gt;=2,2,IF(COUNTIF(G42:G45,"&gt;0")&gt;=1,1,0)))</f>
        <v>3</v>
      </c>
      <c r="I46" s="113" t="n">
        <f aca="false">IFERROR(AVERAGEIF(G42:G45,"&gt;0")/3*100,0)</f>
        <v>58.3333333333333</v>
      </c>
      <c r="J46" s="111" t="n">
        <f aca="false">COUNTIF(J42:J45,"&gt;0")</f>
        <v>4</v>
      </c>
      <c r="K46" s="112" t="n">
        <f aca="false">IF(COUNTIF(J42:J45,"&gt;0")&gt;=3,3,IF(COUNTIF(J42:J45,"&gt;0")&gt;=2,2,IF(COUNTIF(J42:J45,"&gt;0")&gt;=1,1,0)))</f>
        <v>3</v>
      </c>
      <c r="L46" s="113" t="n">
        <f aca="false">IFERROR(AVERAGEIF(J42:J45,"&gt;0")/3*100,0)</f>
        <v>58.3333333333333</v>
      </c>
      <c r="M46" s="111" t="n">
        <f aca="false">COUNTIF(M42:M45,"&gt;0")</f>
        <v>4</v>
      </c>
      <c r="N46" s="112" t="n">
        <f aca="false">IF(COUNTIF(M42:M45,"&gt;0")&gt;=3,3,IF(COUNTIF(M42:M45,"&gt;0")&gt;=2,2,IF(COUNTIF(M42:M45,"&gt;0")&gt;=1,1,0)))</f>
        <v>3</v>
      </c>
      <c r="O46" s="113" t="n">
        <f aca="false">IFERROR(AVERAGEIF(M42:M45,"&gt;0")/3*100,0)</f>
        <v>58.3333333333333</v>
      </c>
      <c r="P46" s="111" t="n">
        <f aca="false">COUNTIF(P42:P45,"&gt;0")</f>
        <v>4</v>
      </c>
      <c r="Q46" s="112" t="n">
        <f aca="false">IF(COUNTIF(P42:P45,"&gt;0")&gt;=3,3,IF(COUNTIF(P42:P45,"&gt;0")&gt;=2,2,IF(COUNTIF(P42:P45,"&gt;0")&gt;=1,1,0)))</f>
        <v>3</v>
      </c>
      <c r="R46" s="113" t="n">
        <f aca="false">IFERROR(AVERAGEIF(P42:P45,"&gt;0")/3*100,0)</f>
        <v>58.3333333333333</v>
      </c>
    </row>
    <row r="48" customFormat="false" ht="25.5" hidden="false" customHeight="true" outlineLevel="0" collapsed="false">
      <c r="A48" s="114" t="s">
        <v>155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</row>
    <row r="49" customFormat="false" ht="19.5" hidden="false" customHeight="true" outlineLevel="0" collapsed="false">
      <c r="A49" s="48" t="s">
        <v>60</v>
      </c>
      <c r="B49" s="115" t="s">
        <v>156</v>
      </c>
      <c r="C49" s="11" t="s">
        <v>33</v>
      </c>
      <c r="D49" s="84" t="n">
        <v>0</v>
      </c>
      <c r="E49" s="116"/>
      <c r="F49" s="116"/>
      <c r="G49" s="74" t="n">
        <v>1</v>
      </c>
      <c r="H49" s="116"/>
      <c r="I49" s="116"/>
      <c r="J49" s="84" t="n">
        <v>0</v>
      </c>
      <c r="K49" s="116"/>
      <c r="L49" s="116"/>
      <c r="M49" s="84" t="n">
        <v>0</v>
      </c>
      <c r="N49" s="116"/>
      <c r="O49" s="116"/>
      <c r="P49" s="74" t="n">
        <v>1</v>
      </c>
      <c r="Q49" s="116"/>
      <c r="R49" s="116"/>
    </row>
    <row r="50" customFormat="false" ht="19.5" hidden="false" customHeight="true" outlineLevel="0" collapsed="false">
      <c r="A50" s="48"/>
      <c r="B50" s="76" t="s">
        <v>157</v>
      </c>
      <c r="C50" s="11" t="s">
        <v>33</v>
      </c>
      <c r="D50" s="84" t="n">
        <v>0</v>
      </c>
      <c r="E50" s="77"/>
      <c r="F50" s="77"/>
      <c r="G50" s="74" t="n">
        <v>2</v>
      </c>
      <c r="H50" s="77"/>
      <c r="I50" s="77"/>
      <c r="J50" s="84" t="n">
        <v>0</v>
      </c>
      <c r="K50" s="77"/>
      <c r="L50" s="77"/>
      <c r="M50" s="84" t="n">
        <v>0</v>
      </c>
      <c r="N50" s="77"/>
      <c r="O50" s="77"/>
      <c r="P50" s="74" t="n">
        <v>2</v>
      </c>
      <c r="Q50" s="77"/>
      <c r="R50" s="77"/>
    </row>
    <row r="51" customFormat="false" ht="19.5" hidden="false" customHeight="true" outlineLevel="0" collapsed="false">
      <c r="A51" s="48"/>
      <c r="B51" s="115" t="s">
        <v>158</v>
      </c>
      <c r="C51" s="11" t="s">
        <v>33</v>
      </c>
      <c r="D51" s="84" t="n">
        <v>0</v>
      </c>
      <c r="E51" s="116"/>
      <c r="F51" s="116"/>
      <c r="G51" s="74" t="n">
        <v>3</v>
      </c>
      <c r="H51" s="116"/>
      <c r="I51" s="116"/>
      <c r="J51" s="84" t="n">
        <v>0</v>
      </c>
      <c r="K51" s="116"/>
      <c r="L51" s="116"/>
      <c r="M51" s="84" t="n">
        <v>0</v>
      </c>
      <c r="N51" s="116"/>
      <c r="O51" s="116"/>
      <c r="P51" s="74" t="n">
        <v>3</v>
      </c>
      <c r="Q51" s="116"/>
      <c r="R51" s="116"/>
    </row>
    <row r="52" customFormat="false" ht="19.5" hidden="false" customHeight="true" outlineLevel="0" collapsed="false">
      <c r="A52" s="48"/>
      <c r="B52" s="76" t="s">
        <v>159</v>
      </c>
      <c r="C52" s="11" t="s">
        <v>33</v>
      </c>
      <c r="D52" s="84" t="n">
        <v>0</v>
      </c>
      <c r="E52" s="77"/>
      <c r="F52" s="77"/>
      <c r="G52" s="74" t="n">
        <v>1</v>
      </c>
      <c r="H52" s="77"/>
      <c r="I52" s="77"/>
      <c r="J52" s="84" t="n">
        <v>0</v>
      </c>
      <c r="K52" s="77"/>
      <c r="L52" s="77"/>
      <c r="M52" s="84" t="n">
        <v>0</v>
      </c>
      <c r="N52" s="77"/>
      <c r="O52" s="77"/>
      <c r="P52" s="74" t="n">
        <v>1</v>
      </c>
      <c r="Q52" s="77"/>
      <c r="R52" s="77"/>
    </row>
    <row r="53" customFormat="false" ht="21.75" hidden="false" customHeight="true" outlineLevel="0" collapsed="false">
      <c r="A53" s="117" t="s">
        <v>130</v>
      </c>
      <c r="B53" s="117"/>
      <c r="C53" s="118"/>
      <c r="D53" s="119" t="n">
        <f aca="false">COUNTIF(D49:D52,"&gt;0")</f>
        <v>0</v>
      </c>
      <c r="E53" s="120" t="n">
        <f aca="false">IF(COUNTIF(D49:D52,"&gt;0")&gt;=3,3,IF(COUNTIF(D49:D52,"&gt;0")&gt;=2,2,IF(COUNTIF(D49:D52,"&gt;0")&gt;=1,1,0)))</f>
        <v>0</v>
      </c>
      <c r="F53" s="121" t="n">
        <f aca="false">IFERROR(AVERAGEIF(D49:D52,"&gt;0")/3*100,0)</f>
        <v>0</v>
      </c>
      <c r="G53" s="119" t="n">
        <f aca="false">COUNTIF(G49:G52,"&gt;0")</f>
        <v>4</v>
      </c>
      <c r="H53" s="120" t="n">
        <f aca="false">IF(COUNTIF(G49:G52,"&gt;0")&gt;=3,3,IF(COUNTIF(G49:G52,"&gt;0")&gt;=2,2,IF(COUNTIF(G49:G52,"&gt;0")&gt;=1,1,0)))</f>
        <v>3</v>
      </c>
      <c r="I53" s="121" t="n">
        <f aca="false">IFERROR(AVERAGEIF(G49:G52,"&gt;0")/3*100,0)</f>
        <v>58.3333333333333</v>
      </c>
      <c r="J53" s="119" t="n">
        <f aca="false">COUNTIF(J49:J52,"&gt;0")</f>
        <v>0</v>
      </c>
      <c r="K53" s="120" t="n">
        <f aca="false">IF(COUNTIF(J49:J52,"&gt;0")&gt;=3,3,IF(COUNTIF(J49:J52,"&gt;0")&gt;=2,2,IF(COUNTIF(J49:J52,"&gt;0")&gt;=1,1,0)))</f>
        <v>0</v>
      </c>
      <c r="L53" s="121" t="n">
        <f aca="false">IFERROR(AVERAGEIF(J49:J52,"&gt;0")/3*100,0)</f>
        <v>0</v>
      </c>
      <c r="M53" s="119" t="n">
        <f aca="false">COUNTIF(M49:M52,"&gt;0")</f>
        <v>0</v>
      </c>
      <c r="N53" s="120" t="n">
        <f aca="false">IF(COUNTIF(M49:M52,"&gt;0")&gt;=3,3,IF(COUNTIF(M49:M52,"&gt;0")&gt;=2,2,IF(COUNTIF(M49:M52,"&gt;0")&gt;=1,1,0)))</f>
        <v>0</v>
      </c>
      <c r="O53" s="121" t="n">
        <f aca="false">IFERROR(AVERAGEIF(M49:M52,"&gt;0")/3*100,0)</f>
        <v>0</v>
      </c>
      <c r="P53" s="119" t="n">
        <f aca="false">COUNTIF(P49:P52,"&gt;0")</f>
        <v>4</v>
      </c>
      <c r="Q53" s="120" t="n">
        <f aca="false">IF(COUNTIF(P49:P52,"&gt;0")&gt;=3,3,IF(COUNTIF(P49:P52,"&gt;0")&gt;=2,2,IF(COUNTIF(P49:P52,"&gt;0")&gt;=1,1,0)))</f>
        <v>3</v>
      </c>
      <c r="R53" s="121" t="n">
        <f aca="false">IFERROR(AVERAGEIF(P49:P52,"&gt;0")/3*100,0)</f>
        <v>58.3333333333333</v>
      </c>
    </row>
    <row r="55" customFormat="false" ht="25.5" hidden="false" customHeight="true" outlineLevel="0" collapsed="false">
      <c r="A55" s="122" t="s">
        <v>160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</row>
    <row r="56" customFormat="false" ht="19.5" hidden="false" customHeight="true" outlineLevel="0" collapsed="false">
      <c r="A56" s="51" t="s">
        <v>63</v>
      </c>
      <c r="B56" s="123" t="s">
        <v>161</v>
      </c>
      <c r="C56" s="11" t="s">
        <v>33</v>
      </c>
      <c r="D56" s="84" t="n">
        <v>0</v>
      </c>
      <c r="E56" s="124"/>
      <c r="F56" s="124"/>
      <c r="G56" s="74" t="n">
        <v>1</v>
      </c>
      <c r="H56" s="124"/>
      <c r="I56" s="124"/>
      <c r="J56" s="84" t="n">
        <v>0</v>
      </c>
      <c r="K56" s="124"/>
      <c r="L56" s="124"/>
      <c r="M56" s="74" t="n">
        <v>1</v>
      </c>
      <c r="N56" s="124"/>
      <c r="O56" s="124"/>
      <c r="P56" s="74" t="n">
        <v>1</v>
      </c>
      <c r="Q56" s="124"/>
      <c r="R56" s="124"/>
    </row>
    <row r="57" customFormat="false" ht="19.5" hidden="false" customHeight="true" outlineLevel="0" collapsed="false">
      <c r="A57" s="51"/>
      <c r="B57" s="76" t="s">
        <v>162</v>
      </c>
      <c r="C57" s="11" t="s">
        <v>33</v>
      </c>
      <c r="D57" s="84" t="n">
        <v>0</v>
      </c>
      <c r="E57" s="77"/>
      <c r="F57" s="77"/>
      <c r="G57" s="74" t="n">
        <v>2</v>
      </c>
      <c r="H57" s="77"/>
      <c r="I57" s="77"/>
      <c r="J57" s="84" t="n">
        <v>0</v>
      </c>
      <c r="K57" s="77"/>
      <c r="L57" s="77"/>
      <c r="M57" s="74" t="n">
        <v>2</v>
      </c>
      <c r="N57" s="77"/>
      <c r="O57" s="77"/>
      <c r="P57" s="74" t="n">
        <v>2</v>
      </c>
      <c r="Q57" s="77"/>
      <c r="R57" s="77"/>
    </row>
    <row r="58" customFormat="false" ht="19.5" hidden="false" customHeight="true" outlineLevel="0" collapsed="false">
      <c r="A58" s="51"/>
      <c r="B58" s="123" t="s">
        <v>163</v>
      </c>
      <c r="C58" s="11" t="s">
        <v>33</v>
      </c>
      <c r="D58" s="84" t="n">
        <v>0</v>
      </c>
      <c r="E58" s="124"/>
      <c r="F58" s="124"/>
      <c r="G58" s="74" t="n">
        <v>3</v>
      </c>
      <c r="H58" s="124"/>
      <c r="I58" s="124"/>
      <c r="J58" s="84" t="n">
        <v>0</v>
      </c>
      <c r="K58" s="124"/>
      <c r="L58" s="124"/>
      <c r="M58" s="74" t="n">
        <v>3</v>
      </c>
      <c r="N58" s="124"/>
      <c r="O58" s="124"/>
      <c r="P58" s="74" t="n">
        <v>3</v>
      </c>
      <c r="Q58" s="124"/>
      <c r="R58" s="124"/>
    </row>
    <row r="59" customFormat="false" ht="19.5" hidden="false" customHeight="true" outlineLevel="0" collapsed="false">
      <c r="A59" s="51"/>
      <c r="B59" s="76" t="s">
        <v>164</v>
      </c>
      <c r="C59" s="11" t="s">
        <v>33</v>
      </c>
      <c r="D59" s="84" t="n">
        <v>0</v>
      </c>
      <c r="E59" s="77"/>
      <c r="F59" s="77"/>
      <c r="G59" s="74" t="n">
        <v>1</v>
      </c>
      <c r="H59" s="77"/>
      <c r="I59" s="77"/>
      <c r="J59" s="84" t="n">
        <v>0</v>
      </c>
      <c r="K59" s="77"/>
      <c r="L59" s="77"/>
      <c r="M59" s="74" t="n">
        <v>1</v>
      </c>
      <c r="N59" s="77"/>
      <c r="O59" s="77"/>
      <c r="P59" s="74" t="n">
        <v>1</v>
      </c>
      <c r="Q59" s="77"/>
      <c r="R59" s="77"/>
    </row>
    <row r="60" customFormat="false" ht="21.75" hidden="false" customHeight="true" outlineLevel="0" collapsed="false">
      <c r="A60" s="125" t="s">
        <v>130</v>
      </c>
      <c r="B60" s="125"/>
      <c r="C60" s="126"/>
      <c r="D60" s="127" t="n">
        <f aca="false">COUNTIF(D56:D59,"&gt;0")</f>
        <v>0</v>
      </c>
      <c r="E60" s="128" t="n">
        <f aca="false">IF(COUNTIF(D56:D59,"&gt;0")&gt;=3,3,IF(COUNTIF(D56:D59,"&gt;0")&gt;=2,2,IF(COUNTIF(D56:D59,"&gt;0")&gt;=1,1,0)))</f>
        <v>0</v>
      </c>
      <c r="F60" s="129" t="n">
        <f aca="false">IFERROR(AVERAGEIF(D56:D59,"&gt;0")/3*100,0)</f>
        <v>0</v>
      </c>
      <c r="G60" s="127" t="n">
        <f aca="false">COUNTIF(G56:G59,"&gt;0")</f>
        <v>4</v>
      </c>
      <c r="H60" s="128" t="n">
        <f aca="false">IF(COUNTIF(G56:G59,"&gt;0")&gt;=3,3,IF(COUNTIF(G56:G59,"&gt;0")&gt;=2,2,IF(COUNTIF(G56:G59,"&gt;0")&gt;=1,1,0)))</f>
        <v>3</v>
      </c>
      <c r="I60" s="129" t="n">
        <f aca="false">IFERROR(AVERAGEIF(G56:G59,"&gt;0")/3*100,0)</f>
        <v>58.3333333333333</v>
      </c>
      <c r="J60" s="127" t="n">
        <f aca="false">COUNTIF(J56:J59,"&gt;0")</f>
        <v>0</v>
      </c>
      <c r="K60" s="128" t="n">
        <f aca="false">IF(COUNTIF(J56:J59,"&gt;0")&gt;=3,3,IF(COUNTIF(J56:J59,"&gt;0")&gt;=2,2,IF(COUNTIF(J56:J59,"&gt;0")&gt;=1,1,0)))</f>
        <v>0</v>
      </c>
      <c r="L60" s="129" t="n">
        <f aca="false">IFERROR(AVERAGEIF(J56:J59,"&gt;0")/3*100,0)</f>
        <v>0</v>
      </c>
      <c r="M60" s="127" t="n">
        <f aca="false">COUNTIF(M56:M59,"&gt;0")</f>
        <v>4</v>
      </c>
      <c r="N60" s="128" t="n">
        <f aca="false">IF(COUNTIF(M56:M59,"&gt;0")&gt;=3,3,IF(COUNTIF(M56:M59,"&gt;0")&gt;=2,2,IF(COUNTIF(M56:M59,"&gt;0")&gt;=1,1,0)))</f>
        <v>3</v>
      </c>
      <c r="O60" s="129" t="n">
        <f aca="false">IFERROR(AVERAGEIF(M56:M59,"&gt;0")/3*100,0)</f>
        <v>58.3333333333333</v>
      </c>
      <c r="P60" s="127" t="n">
        <f aca="false">COUNTIF(P56:P59,"&gt;0")</f>
        <v>4</v>
      </c>
      <c r="Q60" s="128" t="n">
        <f aca="false">IF(COUNTIF(P56:P59,"&gt;0")&gt;=3,3,IF(COUNTIF(P56:P59,"&gt;0")&gt;=2,2,IF(COUNTIF(P56:P59,"&gt;0")&gt;=1,1,0)))</f>
        <v>3</v>
      </c>
      <c r="R60" s="129" t="n">
        <f aca="false">IFERROR(AVERAGEIF(P56:P59,"&gt;0")/3*100,0)</f>
        <v>58.3333333333333</v>
      </c>
    </row>
  </sheetData>
  <mergeCells count="28">
    <mergeCell ref="A1:U1"/>
    <mergeCell ref="A2:U2"/>
    <mergeCell ref="A4:C4"/>
    <mergeCell ref="H4:U4"/>
    <mergeCell ref="A6:U6"/>
    <mergeCell ref="A7:A10"/>
    <mergeCell ref="A11:B11"/>
    <mergeCell ref="A13:U13"/>
    <mergeCell ref="A14:A17"/>
    <mergeCell ref="A18:B18"/>
    <mergeCell ref="A20:U20"/>
    <mergeCell ref="A21:A24"/>
    <mergeCell ref="A25:B25"/>
    <mergeCell ref="A27:U27"/>
    <mergeCell ref="A28:A31"/>
    <mergeCell ref="A32:B32"/>
    <mergeCell ref="A34:U34"/>
    <mergeCell ref="A35:A38"/>
    <mergeCell ref="A39:B39"/>
    <mergeCell ref="A41:U41"/>
    <mergeCell ref="A42:A45"/>
    <mergeCell ref="A46:B46"/>
    <mergeCell ref="A48:U48"/>
    <mergeCell ref="A49:A52"/>
    <mergeCell ref="A53:B53"/>
    <mergeCell ref="A55:U55"/>
    <mergeCell ref="A56:A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21" min="4" style="1" width="9"/>
  </cols>
  <sheetData>
    <row r="1" customFormat="false" ht="36" hidden="false" customHeight="true" outlineLevel="0" collapsed="false">
      <c r="A1" s="64" t="s">
        <v>249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customFormat="false" ht="13.5" hidden="false" customHeight="true" outlineLevel="0" collapsed="false">
      <c r="A2" s="65" t="s">
        <v>101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</row>
    <row r="3" customFormat="false" ht="4.5" hidden="false" customHeight="true" outlineLevel="0" collapsed="false"/>
    <row r="4" customFormat="false" ht="18" hidden="false" customHeight="true" outlineLevel="0" collapsed="false">
      <c r="A4" s="66" t="s">
        <v>102</v>
      </c>
      <c r="B4" s="66"/>
      <c r="C4" s="66"/>
      <c r="D4" s="11" t="s">
        <v>103</v>
      </c>
      <c r="E4" s="16" t="s">
        <v>104</v>
      </c>
      <c r="F4" s="21" t="s">
        <v>105</v>
      </c>
      <c r="G4" s="26" t="s">
        <v>106</v>
      </c>
      <c r="H4" s="67" t="s">
        <v>107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</row>
    <row r="5" customFormat="false" ht="21.75" hidden="false" customHeight="true" outlineLevel="0" collapsed="false">
      <c r="A5" s="10" t="s">
        <v>39</v>
      </c>
      <c r="B5" s="10" t="s">
        <v>108</v>
      </c>
      <c r="C5" s="68" t="s">
        <v>109</v>
      </c>
      <c r="D5" s="69" t="s">
        <v>110</v>
      </c>
      <c r="E5" s="70" t="s">
        <v>111</v>
      </c>
      <c r="F5" s="71" t="s">
        <v>112</v>
      </c>
      <c r="G5" s="69" t="s">
        <v>113</v>
      </c>
      <c r="H5" s="70" t="s">
        <v>114</v>
      </c>
      <c r="I5" s="71" t="s">
        <v>115</v>
      </c>
      <c r="J5" s="69" t="s">
        <v>116</v>
      </c>
      <c r="K5" s="70" t="s">
        <v>117</v>
      </c>
      <c r="L5" s="71" t="s">
        <v>118</v>
      </c>
      <c r="M5" s="69" t="s">
        <v>119</v>
      </c>
      <c r="N5" s="70" t="s">
        <v>120</v>
      </c>
      <c r="O5" s="71" t="s">
        <v>121</v>
      </c>
      <c r="P5" s="69" t="s">
        <v>122</v>
      </c>
      <c r="Q5" s="70" t="s">
        <v>123</v>
      </c>
      <c r="R5" s="71" t="s">
        <v>124</v>
      </c>
      <c r="S5" s="69" t="s">
        <v>250</v>
      </c>
      <c r="T5" s="70" t="s">
        <v>251</v>
      </c>
      <c r="U5" s="71" t="s">
        <v>252</v>
      </c>
    </row>
    <row r="6" customFormat="false" ht="25.5" hidden="false" customHeight="true" outlineLevel="0" collapsed="false">
      <c r="A6" s="72" t="s">
        <v>125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</row>
    <row r="7" customFormat="false" ht="19.5" hidden="false" customHeight="true" outlineLevel="0" collapsed="false">
      <c r="A7" s="32" t="s">
        <v>42</v>
      </c>
      <c r="B7" s="73" t="s">
        <v>126</v>
      </c>
      <c r="C7" s="11" t="s">
        <v>33</v>
      </c>
      <c r="D7" s="74" t="n">
        <v>1</v>
      </c>
      <c r="E7" s="75"/>
      <c r="F7" s="75"/>
      <c r="G7" s="74" t="n">
        <v>1</v>
      </c>
      <c r="H7" s="75"/>
      <c r="I7" s="75"/>
      <c r="J7" s="74" t="n">
        <v>1</v>
      </c>
      <c r="K7" s="75"/>
      <c r="L7" s="75"/>
      <c r="M7" s="74" t="n">
        <v>1</v>
      </c>
      <c r="N7" s="75"/>
      <c r="O7" s="75"/>
      <c r="P7" s="74" t="n">
        <v>1</v>
      </c>
      <c r="Q7" s="75"/>
      <c r="R7" s="75"/>
      <c r="S7" s="74" t="n">
        <v>1</v>
      </c>
      <c r="T7" s="75"/>
      <c r="U7" s="75"/>
    </row>
    <row r="8" customFormat="false" ht="19.5" hidden="false" customHeight="true" outlineLevel="0" collapsed="false">
      <c r="A8" s="32"/>
      <c r="B8" s="76" t="s">
        <v>127</v>
      </c>
      <c r="C8" s="11" t="s">
        <v>33</v>
      </c>
      <c r="D8" s="74" t="n">
        <v>2</v>
      </c>
      <c r="E8" s="77"/>
      <c r="F8" s="77"/>
      <c r="G8" s="74" t="n">
        <v>2</v>
      </c>
      <c r="H8" s="77"/>
      <c r="I8" s="77"/>
      <c r="J8" s="74" t="n">
        <v>2</v>
      </c>
      <c r="K8" s="77"/>
      <c r="L8" s="77"/>
      <c r="M8" s="74" t="n">
        <v>2</v>
      </c>
      <c r="N8" s="77"/>
      <c r="O8" s="77"/>
      <c r="P8" s="74" t="n">
        <v>2</v>
      </c>
      <c r="Q8" s="77"/>
      <c r="R8" s="77"/>
      <c r="S8" s="74" t="n">
        <v>2</v>
      </c>
      <c r="T8" s="77"/>
      <c r="U8" s="77"/>
    </row>
    <row r="9" customFormat="false" ht="19.5" hidden="false" customHeight="true" outlineLevel="0" collapsed="false">
      <c r="A9" s="32"/>
      <c r="B9" s="73" t="s">
        <v>128</v>
      </c>
      <c r="C9" s="11" t="s">
        <v>33</v>
      </c>
      <c r="D9" s="74" t="n">
        <v>3</v>
      </c>
      <c r="E9" s="75"/>
      <c r="F9" s="75"/>
      <c r="G9" s="74" t="n">
        <v>3</v>
      </c>
      <c r="H9" s="75"/>
      <c r="I9" s="75"/>
      <c r="J9" s="74" t="n">
        <v>3</v>
      </c>
      <c r="K9" s="75"/>
      <c r="L9" s="75"/>
      <c r="M9" s="74" t="n">
        <v>3</v>
      </c>
      <c r="N9" s="75"/>
      <c r="O9" s="75"/>
      <c r="P9" s="74" t="n">
        <v>3</v>
      </c>
      <c r="Q9" s="75"/>
      <c r="R9" s="75"/>
      <c r="S9" s="74" t="n">
        <v>3</v>
      </c>
      <c r="T9" s="75"/>
      <c r="U9" s="75"/>
    </row>
    <row r="10" customFormat="false" ht="19.5" hidden="false" customHeight="true" outlineLevel="0" collapsed="false">
      <c r="A10" s="32"/>
      <c r="B10" s="76" t="s">
        <v>129</v>
      </c>
      <c r="C10" s="11" t="s">
        <v>33</v>
      </c>
      <c r="D10" s="74" t="n">
        <v>1</v>
      </c>
      <c r="E10" s="77"/>
      <c r="F10" s="77"/>
      <c r="G10" s="74" t="n">
        <v>1</v>
      </c>
      <c r="H10" s="77"/>
      <c r="I10" s="77"/>
      <c r="J10" s="74" t="n">
        <v>1</v>
      </c>
      <c r="K10" s="77"/>
      <c r="L10" s="77"/>
      <c r="M10" s="74" t="n">
        <v>1</v>
      </c>
      <c r="N10" s="77"/>
      <c r="O10" s="77"/>
      <c r="P10" s="74" t="n">
        <v>1</v>
      </c>
      <c r="Q10" s="77"/>
      <c r="R10" s="77"/>
      <c r="S10" s="74" t="n">
        <v>1</v>
      </c>
      <c r="T10" s="77"/>
      <c r="U10" s="77"/>
    </row>
    <row r="11" customFormat="false" ht="21.75" hidden="false" customHeight="true" outlineLevel="0" collapsed="false">
      <c r="A11" s="5" t="s">
        <v>130</v>
      </c>
      <c r="B11" s="5"/>
      <c r="C11" s="78"/>
      <c r="D11" s="79" t="n">
        <f aca="false">COUNTIF(D7:D10,"&gt;0")</f>
        <v>4</v>
      </c>
      <c r="E11" s="80" t="n">
        <f aca="false">IF(COUNTIF(D7:D10,"&gt;0")&gt;=3,3,IF(COUNTIF(D7:D10,"&gt;0")&gt;=2,2,IF(COUNTIF(D7:D10,"&gt;0")&gt;=1,1,0)))</f>
        <v>3</v>
      </c>
      <c r="F11" s="81" t="n">
        <f aca="false">IFERROR(AVERAGEIF(D7:D10,"&gt;0")/3*100,0)</f>
        <v>58.3333333333333</v>
      </c>
      <c r="G11" s="79" t="n">
        <f aca="false">COUNTIF(G7:G10,"&gt;0")</f>
        <v>4</v>
      </c>
      <c r="H11" s="80" t="n">
        <f aca="false">IF(COUNTIF(G7:G10,"&gt;0")&gt;=3,3,IF(COUNTIF(G7:G10,"&gt;0")&gt;=2,2,IF(COUNTIF(G7:G10,"&gt;0")&gt;=1,1,0)))</f>
        <v>3</v>
      </c>
      <c r="I11" s="81" t="n">
        <f aca="false">IFERROR(AVERAGEIF(G7:G10,"&gt;0")/3*100,0)</f>
        <v>58.3333333333333</v>
      </c>
      <c r="J11" s="79" t="n">
        <f aca="false">COUNTIF(J7:J10,"&gt;0")</f>
        <v>4</v>
      </c>
      <c r="K11" s="80" t="n">
        <f aca="false">IF(COUNTIF(J7:J10,"&gt;0")&gt;=3,3,IF(COUNTIF(J7:J10,"&gt;0")&gt;=2,2,IF(COUNTIF(J7:J10,"&gt;0")&gt;=1,1,0)))</f>
        <v>3</v>
      </c>
      <c r="L11" s="81" t="n">
        <f aca="false">IFERROR(AVERAGEIF(J7:J10,"&gt;0")/3*100,0)</f>
        <v>58.3333333333333</v>
      </c>
      <c r="M11" s="79" t="n">
        <f aca="false">COUNTIF(M7:M10,"&gt;0")</f>
        <v>4</v>
      </c>
      <c r="N11" s="80" t="n">
        <f aca="false">IF(COUNTIF(M7:M10,"&gt;0")&gt;=3,3,IF(COUNTIF(M7:M10,"&gt;0")&gt;=2,2,IF(COUNTIF(M7:M10,"&gt;0")&gt;=1,1,0)))</f>
        <v>3</v>
      </c>
      <c r="O11" s="81" t="n">
        <f aca="false">IFERROR(AVERAGEIF(M7:M10,"&gt;0")/3*100,0)</f>
        <v>58.3333333333333</v>
      </c>
      <c r="P11" s="79" t="n">
        <f aca="false">COUNTIF(P7:P10,"&gt;0")</f>
        <v>4</v>
      </c>
      <c r="Q11" s="80" t="n">
        <f aca="false">IF(COUNTIF(P7:P10,"&gt;0")&gt;=3,3,IF(COUNTIF(P7:P10,"&gt;0")&gt;=2,2,IF(COUNTIF(P7:P10,"&gt;0")&gt;=1,1,0)))</f>
        <v>3</v>
      </c>
      <c r="R11" s="81" t="n">
        <f aca="false">IFERROR(AVERAGEIF(P7:P10,"&gt;0")/3*100,0)</f>
        <v>58.3333333333333</v>
      </c>
      <c r="S11" s="79" t="n">
        <f aca="false">COUNTIF(S7:S10,"&gt;0")</f>
        <v>4</v>
      </c>
      <c r="T11" s="80" t="n">
        <f aca="false">IF(COUNTIF(S7:S10,"&gt;0")&gt;=3,3,IF(COUNTIF(S7:S10,"&gt;0")&gt;=2,2,IF(COUNTIF(S7:S10,"&gt;0")&gt;=1,1,0)))</f>
        <v>3</v>
      </c>
      <c r="U11" s="81" t="n">
        <f aca="false">IFERROR(AVERAGEIF(S7:S10,"&gt;0")/3*100,0)</f>
        <v>58.3333333333333</v>
      </c>
    </row>
    <row r="13" customFormat="false" ht="25.5" hidden="false" customHeight="true" outlineLevel="0" collapsed="false">
      <c r="A13" s="9" t="s">
        <v>131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9.5" hidden="false" customHeight="true" outlineLevel="0" collapsed="false">
      <c r="A14" s="35" t="s">
        <v>45</v>
      </c>
      <c r="B14" s="82" t="s">
        <v>132</v>
      </c>
      <c r="C14" s="11" t="s">
        <v>33</v>
      </c>
      <c r="D14" s="84" t="n">
        <v>0</v>
      </c>
      <c r="E14" s="83"/>
      <c r="F14" s="83"/>
      <c r="G14" s="84" t="n">
        <v>0</v>
      </c>
      <c r="H14" s="83"/>
      <c r="I14" s="83"/>
      <c r="J14" s="74" t="n">
        <v>1</v>
      </c>
      <c r="K14" s="83"/>
      <c r="L14" s="83"/>
      <c r="M14" s="84" t="n">
        <v>0</v>
      </c>
      <c r="N14" s="83"/>
      <c r="O14" s="83"/>
      <c r="P14" s="74" t="n">
        <v>1</v>
      </c>
      <c r="Q14" s="83"/>
      <c r="R14" s="83"/>
      <c r="S14" s="74" t="n">
        <v>1</v>
      </c>
      <c r="T14" s="83"/>
      <c r="U14" s="83"/>
    </row>
    <row r="15" customFormat="false" ht="19.5" hidden="false" customHeight="true" outlineLevel="0" collapsed="false">
      <c r="A15" s="35"/>
      <c r="B15" s="76" t="s">
        <v>133</v>
      </c>
      <c r="C15" s="11" t="s">
        <v>33</v>
      </c>
      <c r="D15" s="84" t="n">
        <v>0</v>
      </c>
      <c r="E15" s="77"/>
      <c r="F15" s="77"/>
      <c r="G15" s="84" t="n">
        <v>0</v>
      </c>
      <c r="H15" s="77"/>
      <c r="I15" s="77"/>
      <c r="J15" s="74" t="n">
        <v>2</v>
      </c>
      <c r="K15" s="77"/>
      <c r="L15" s="77"/>
      <c r="M15" s="84" t="n">
        <v>0</v>
      </c>
      <c r="N15" s="77"/>
      <c r="O15" s="77"/>
      <c r="P15" s="74" t="n">
        <v>2</v>
      </c>
      <c r="Q15" s="77"/>
      <c r="R15" s="77"/>
      <c r="S15" s="74" t="n">
        <v>2</v>
      </c>
      <c r="T15" s="77"/>
      <c r="U15" s="77"/>
    </row>
    <row r="16" customFormat="false" ht="19.5" hidden="false" customHeight="true" outlineLevel="0" collapsed="false">
      <c r="A16" s="35"/>
      <c r="B16" s="82" t="s">
        <v>134</v>
      </c>
      <c r="C16" s="11" t="s">
        <v>33</v>
      </c>
      <c r="D16" s="84" t="n">
        <v>0</v>
      </c>
      <c r="E16" s="83"/>
      <c r="F16" s="83"/>
      <c r="G16" s="84" t="n">
        <v>0</v>
      </c>
      <c r="H16" s="83"/>
      <c r="I16" s="83"/>
      <c r="J16" s="74" t="n">
        <v>3</v>
      </c>
      <c r="K16" s="83"/>
      <c r="L16" s="83"/>
      <c r="M16" s="84" t="n">
        <v>0</v>
      </c>
      <c r="N16" s="83"/>
      <c r="O16" s="83"/>
      <c r="P16" s="74" t="n">
        <v>3</v>
      </c>
      <c r="Q16" s="83"/>
      <c r="R16" s="83"/>
      <c r="S16" s="74" t="n">
        <v>3</v>
      </c>
      <c r="T16" s="83"/>
      <c r="U16" s="83"/>
    </row>
    <row r="17" customFormat="false" ht="19.5" hidden="false" customHeight="true" outlineLevel="0" collapsed="false">
      <c r="A17" s="35"/>
      <c r="B17" s="76" t="s">
        <v>135</v>
      </c>
      <c r="C17" s="11" t="s">
        <v>33</v>
      </c>
      <c r="D17" s="84" t="n">
        <v>0</v>
      </c>
      <c r="E17" s="77"/>
      <c r="F17" s="77"/>
      <c r="G17" s="84" t="n">
        <v>0</v>
      </c>
      <c r="H17" s="77"/>
      <c r="I17" s="77"/>
      <c r="J17" s="74" t="n">
        <v>1</v>
      </c>
      <c r="K17" s="77"/>
      <c r="L17" s="77"/>
      <c r="M17" s="84" t="n">
        <v>0</v>
      </c>
      <c r="N17" s="77"/>
      <c r="O17" s="77"/>
      <c r="P17" s="74" t="n">
        <v>1</v>
      </c>
      <c r="Q17" s="77"/>
      <c r="R17" s="77"/>
      <c r="S17" s="74" t="n">
        <v>1</v>
      </c>
      <c r="T17" s="77"/>
      <c r="U17" s="77"/>
    </row>
    <row r="18" customFormat="false" ht="21.75" hidden="false" customHeight="true" outlineLevel="0" collapsed="false">
      <c r="A18" s="85" t="s">
        <v>130</v>
      </c>
      <c r="B18" s="85"/>
      <c r="C18" s="86"/>
      <c r="D18" s="87" t="n">
        <f aca="false">COUNTIF(D14:D17,"&gt;0")</f>
        <v>0</v>
      </c>
      <c r="E18" s="88" t="n">
        <f aca="false">IF(COUNTIF(D14:D17,"&gt;0")&gt;=3,3,IF(COUNTIF(D14:D17,"&gt;0")&gt;=2,2,IF(COUNTIF(D14:D17,"&gt;0")&gt;=1,1,0)))</f>
        <v>0</v>
      </c>
      <c r="F18" s="89" t="n">
        <f aca="false">IFERROR(AVERAGEIF(D14:D17,"&gt;0")/3*100,0)</f>
        <v>0</v>
      </c>
      <c r="G18" s="87" t="n">
        <f aca="false">COUNTIF(G14:G17,"&gt;0")</f>
        <v>0</v>
      </c>
      <c r="H18" s="88" t="n">
        <f aca="false">IF(COUNTIF(G14:G17,"&gt;0")&gt;=3,3,IF(COUNTIF(G14:G17,"&gt;0")&gt;=2,2,IF(COUNTIF(G14:G17,"&gt;0")&gt;=1,1,0)))</f>
        <v>0</v>
      </c>
      <c r="I18" s="89" t="n">
        <f aca="false">IFERROR(AVERAGEIF(G14:G17,"&gt;0")/3*100,0)</f>
        <v>0</v>
      </c>
      <c r="J18" s="87" t="n">
        <f aca="false">COUNTIF(J14:J17,"&gt;0")</f>
        <v>4</v>
      </c>
      <c r="K18" s="88" t="n">
        <f aca="false">IF(COUNTIF(J14:J17,"&gt;0")&gt;=3,3,IF(COUNTIF(J14:J17,"&gt;0")&gt;=2,2,IF(COUNTIF(J14:J17,"&gt;0")&gt;=1,1,0)))</f>
        <v>3</v>
      </c>
      <c r="L18" s="89" t="n">
        <f aca="false">IFERROR(AVERAGEIF(J14:J17,"&gt;0")/3*100,0)</f>
        <v>58.3333333333333</v>
      </c>
      <c r="M18" s="87" t="n">
        <f aca="false">COUNTIF(M14:M17,"&gt;0")</f>
        <v>0</v>
      </c>
      <c r="N18" s="88" t="n">
        <f aca="false">IF(COUNTIF(M14:M17,"&gt;0")&gt;=3,3,IF(COUNTIF(M14:M17,"&gt;0")&gt;=2,2,IF(COUNTIF(M14:M17,"&gt;0")&gt;=1,1,0)))</f>
        <v>0</v>
      </c>
      <c r="O18" s="89" t="n">
        <f aca="false">IFERROR(AVERAGEIF(M14:M17,"&gt;0")/3*100,0)</f>
        <v>0</v>
      </c>
      <c r="P18" s="87" t="n">
        <f aca="false">COUNTIF(P14:P17,"&gt;0")</f>
        <v>4</v>
      </c>
      <c r="Q18" s="88" t="n">
        <f aca="false">IF(COUNTIF(P14:P17,"&gt;0")&gt;=3,3,IF(COUNTIF(P14:P17,"&gt;0")&gt;=2,2,IF(COUNTIF(P14:P17,"&gt;0")&gt;=1,1,0)))</f>
        <v>3</v>
      </c>
      <c r="R18" s="89" t="n">
        <f aca="false">IFERROR(AVERAGEIF(P14:P17,"&gt;0")/3*100,0)</f>
        <v>58.3333333333333</v>
      </c>
      <c r="S18" s="87" t="n">
        <f aca="false">COUNTIF(S14:S17,"&gt;0")</f>
        <v>4</v>
      </c>
      <c r="T18" s="88" t="n">
        <f aca="false">IF(COUNTIF(S14:S17,"&gt;0")&gt;=3,3,IF(COUNTIF(S14:S17,"&gt;0")&gt;=2,2,IF(COUNTIF(S14:S17,"&gt;0")&gt;=1,1,0)))</f>
        <v>3</v>
      </c>
      <c r="U18" s="89" t="n">
        <f aca="false">IFERROR(AVERAGEIF(S14:S17,"&gt;0")/3*100,0)</f>
        <v>58.3333333333333</v>
      </c>
    </row>
    <row r="20" customFormat="false" ht="25.5" hidden="false" customHeight="true" outlineLevel="0" collapsed="false">
      <c r="A20" s="54" t="s">
        <v>136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customFormat="false" ht="19.5" hidden="false" customHeight="true" outlineLevel="0" collapsed="false">
      <c r="A21" s="38" t="s">
        <v>48</v>
      </c>
      <c r="B21" s="29" t="s">
        <v>137</v>
      </c>
      <c r="C21" s="11" t="s">
        <v>33</v>
      </c>
      <c r="D21" s="84" t="n">
        <v>0</v>
      </c>
      <c r="E21" s="28"/>
      <c r="F21" s="28"/>
      <c r="G21" s="84" t="n">
        <v>0</v>
      </c>
      <c r="H21" s="28"/>
      <c r="I21" s="28"/>
      <c r="J21" s="74" t="n">
        <v>1</v>
      </c>
      <c r="K21" s="28"/>
      <c r="L21" s="28"/>
      <c r="M21" s="84" t="n">
        <v>0</v>
      </c>
      <c r="N21" s="28"/>
      <c r="O21" s="28"/>
      <c r="P21" s="84" t="n">
        <v>0</v>
      </c>
      <c r="Q21" s="28"/>
      <c r="R21" s="28"/>
      <c r="S21" s="74" t="n">
        <v>1</v>
      </c>
      <c r="T21" s="28"/>
      <c r="U21" s="28"/>
    </row>
    <row r="22" customFormat="false" ht="19.5" hidden="false" customHeight="true" outlineLevel="0" collapsed="false">
      <c r="A22" s="38"/>
      <c r="B22" s="76" t="s">
        <v>138</v>
      </c>
      <c r="C22" s="11" t="s">
        <v>33</v>
      </c>
      <c r="D22" s="84" t="n">
        <v>0</v>
      </c>
      <c r="E22" s="77"/>
      <c r="F22" s="77"/>
      <c r="G22" s="84" t="n">
        <v>0</v>
      </c>
      <c r="H22" s="77"/>
      <c r="I22" s="77"/>
      <c r="J22" s="74" t="n">
        <v>2</v>
      </c>
      <c r="K22" s="77"/>
      <c r="L22" s="77"/>
      <c r="M22" s="84" t="n">
        <v>0</v>
      </c>
      <c r="N22" s="77"/>
      <c r="O22" s="77"/>
      <c r="P22" s="84" t="n">
        <v>0</v>
      </c>
      <c r="Q22" s="77"/>
      <c r="R22" s="77"/>
      <c r="S22" s="74" t="n">
        <v>2</v>
      </c>
      <c r="T22" s="77"/>
      <c r="U22" s="77"/>
    </row>
    <row r="23" customFormat="false" ht="19.5" hidden="false" customHeight="true" outlineLevel="0" collapsed="false">
      <c r="A23" s="38"/>
      <c r="B23" s="29" t="s">
        <v>139</v>
      </c>
      <c r="C23" s="11" t="s">
        <v>33</v>
      </c>
      <c r="D23" s="84" t="n">
        <v>0</v>
      </c>
      <c r="E23" s="28"/>
      <c r="F23" s="28"/>
      <c r="G23" s="84" t="n">
        <v>0</v>
      </c>
      <c r="H23" s="28"/>
      <c r="I23" s="28"/>
      <c r="J23" s="74" t="n">
        <v>3</v>
      </c>
      <c r="K23" s="28"/>
      <c r="L23" s="28"/>
      <c r="M23" s="84" t="n">
        <v>0</v>
      </c>
      <c r="N23" s="28"/>
      <c r="O23" s="28"/>
      <c r="P23" s="84" t="n">
        <v>0</v>
      </c>
      <c r="Q23" s="28"/>
      <c r="R23" s="28"/>
      <c r="S23" s="74" t="n">
        <v>3</v>
      </c>
      <c r="T23" s="28"/>
      <c r="U23" s="28"/>
    </row>
    <row r="24" customFormat="false" ht="19.5" hidden="false" customHeight="true" outlineLevel="0" collapsed="false">
      <c r="A24" s="38"/>
      <c r="B24" s="76" t="s">
        <v>140</v>
      </c>
      <c r="C24" s="11" t="s">
        <v>33</v>
      </c>
      <c r="D24" s="84" t="n">
        <v>0</v>
      </c>
      <c r="E24" s="77"/>
      <c r="F24" s="77"/>
      <c r="G24" s="84" t="n">
        <v>0</v>
      </c>
      <c r="H24" s="77"/>
      <c r="I24" s="77"/>
      <c r="J24" s="74" t="n">
        <v>1</v>
      </c>
      <c r="K24" s="77"/>
      <c r="L24" s="77"/>
      <c r="M24" s="84" t="n">
        <v>0</v>
      </c>
      <c r="N24" s="77"/>
      <c r="O24" s="77"/>
      <c r="P24" s="84" t="n">
        <v>0</v>
      </c>
      <c r="Q24" s="77"/>
      <c r="R24" s="77"/>
      <c r="S24" s="74" t="n">
        <v>1</v>
      </c>
      <c r="T24" s="77"/>
      <c r="U24" s="77"/>
    </row>
    <row r="25" customFormat="false" ht="21.75" hidden="false" customHeight="true" outlineLevel="0" collapsed="false">
      <c r="A25" s="90" t="s">
        <v>130</v>
      </c>
      <c r="B25" s="90"/>
      <c r="C25" s="91"/>
      <c r="D25" s="92" t="n">
        <f aca="false">COUNTIF(D21:D24,"&gt;0")</f>
        <v>0</v>
      </c>
      <c r="E25" s="93" t="n">
        <f aca="false">IF(COUNTIF(D21:D24,"&gt;0")&gt;=3,3,IF(COUNTIF(D21:D24,"&gt;0")&gt;=2,2,IF(COUNTIF(D21:D24,"&gt;0")&gt;=1,1,0)))</f>
        <v>0</v>
      </c>
      <c r="F25" s="94" t="n">
        <f aca="false">IFERROR(AVERAGEIF(D21:D24,"&gt;0")/3*100,0)</f>
        <v>0</v>
      </c>
      <c r="G25" s="92" t="n">
        <f aca="false">COUNTIF(G21:G24,"&gt;0")</f>
        <v>0</v>
      </c>
      <c r="H25" s="93" t="n">
        <f aca="false">IF(COUNTIF(G21:G24,"&gt;0")&gt;=3,3,IF(COUNTIF(G21:G24,"&gt;0")&gt;=2,2,IF(COUNTIF(G21:G24,"&gt;0")&gt;=1,1,0)))</f>
        <v>0</v>
      </c>
      <c r="I25" s="94" t="n">
        <f aca="false">IFERROR(AVERAGEIF(G21:G24,"&gt;0")/3*100,0)</f>
        <v>0</v>
      </c>
      <c r="J25" s="92" t="n">
        <f aca="false">COUNTIF(J21:J24,"&gt;0")</f>
        <v>4</v>
      </c>
      <c r="K25" s="93" t="n">
        <f aca="false">IF(COUNTIF(J21:J24,"&gt;0")&gt;=3,3,IF(COUNTIF(J21:J24,"&gt;0")&gt;=2,2,IF(COUNTIF(J21:J24,"&gt;0")&gt;=1,1,0)))</f>
        <v>3</v>
      </c>
      <c r="L25" s="94" t="n">
        <f aca="false">IFERROR(AVERAGEIF(J21:J24,"&gt;0")/3*100,0)</f>
        <v>58.3333333333333</v>
      </c>
      <c r="M25" s="92" t="n">
        <f aca="false">COUNTIF(M21:M24,"&gt;0")</f>
        <v>0</v>
      </c>
      <c r="N25" s="93" t="n">
        <f aca="false">IF(COUNTIF(M21:M24,"&gt;0")&gt;=3,3,IF(COUNTIF(M21:M24,"&gt;0")&gt;=2,2,IF(COUNTIF(M21:M24,"&gt;0")&gt;=1,1,0)))</f>
        <v>0</v>
      </c>
      <c r="O25" s="94" t="n">
        <f aca="false">IFERROR(AVERAGEIF(M21:M24,"&gt;0")/3*100,0)</f>
        <v>0</v>
      </c>
      <c r="P25" s="92" t="n">
        <f aca="false">COUNTIF(P21:P24,"&gt;0")</f>
        <v>0</v>
      </c>
      <c r="Q25" s="93" t="n">
        <f aca="false">IF(COUNTIF(P21:P24,"&gt;0")&gt;=3,3,IF(COUNTIF(P21:P24,"&gt;0")&gt;=2,2,IF(COUNTIF(P21:P24,"&gt;0")&gt;=1,1,0)))</f>
        <v>0</v>
      </c>
      <c r="R25" s="94" t="n">
        <f aca="false">IFERROR(AVERAGEIF(P21:P24,"&gt;0")/3*100,0)</f>
        <v>0</v>
      </c>
      <c r="S25" s="92" t="n">
        <f aca="false">COUNTIF(S21:S24,"&gt;0")</f>
        <v>4</v>
      </c>
      <c r="T25" s="93" t="n">
        <f aca="false">IF(COUNTIF(S21:S24,"&gt;0")&gt;=3,3,IF(COUNTIF(S21:S24,"&gt;0")&gt;=2,2,IF(COUNTIF(S21:S24,"&gt;0")&gt;=1,1,0)))</f>
        <v>3</v>
      </c>
      <c r="U25" s="94" t="n">
        <f aca="false">IFERROR(AVERAGEIF(S21:S24,"&gt;0")/3*100,0)</f>
        <v>58.3333333333333</v>
      </c>
    </row>
    <row r="27" customFormat="false" ht="25.5" hidden="false" customHeight="true" outlineLevel="0" collapsed="false">
      <c r="A27" s="61" t="s">
        <v>141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</row>
    <row r="28" customFormat="false" ht="19.5" hidden="false" customHeight="true" outlineLevel="0" collapsed="false">
      <c r="A28" s="40" t="s">
        <v>51</v>
      </c>
      <c r="B28" s="19" t="s">
        <v>142</v>
      </c>
      <c r="C28" s="11" t="s">
        <v>33</v>
      </c>
      <c r="D28" s="84" t="n">
        <v>0</v>
      </c>
      <c r="E28" s="18"/>
      <c r="F28" s="18"/>
      <c r="G28" s="74" t="n">
        <v>1</v>
      </c>
      <c r="H28" s="18"/>
      <c r="I28" s="18"/>
      <c r="J28" s="74" t="n">
        <v>1</v>
      </c>
      <c r="K28" s="18"/>
      <c r="L28" s="18"/>
      <c r="M28" s="74" t="n">
        <v>1</v>
      </c>
      <c r="N28" s="18"/>
      <c r="O28" s="18"/>
      <c r="P28" s="74" t="n">
        <v>1</v>
      </c>
      <c r="Q28" s="18"/>
      <c r="R28" s="18"/>
      <c r="S28" s="74" t="n">
        <v>1</v>
      </c>
      <c r="T28" s="18"/>
      <c r="U28" s="18"/>
    </row>
    <row r="29" customFormat="false" ht="19.5" hidden="false" customHeight="true" outlineLevel="0" collapsed="false">
      <c r="A29" s="40"/>
      <c r="B29" s="76" t="s">
        <v>143</v>
      </c>
      <c r="C29" s="11" t="s">
        <v>33</v>
      </c>
      <c r="D29" s="84" t="n">
        <v>0</v>
      </c>
      <c r="E29" s="77"/>
      <c r="F29" s="77"/>
      <c r="G29" s="74" t="n">
        <v>2</v>
      </c>
      <c r="H29" s="77"/>
      <c r="I29" s="77"/>
      <c r="J29" s="74" t="n">
        <v>2</v>
      </c>
      <c r="K29" s="77"/>
      <c r="L29" s="77"/>
      <c r="M29" s="74" t="n">
        <v>2</v>
      </c>
      <c r="N29" s="77"/>
      <c r="O29" s="77"/>
      <c r="P29" s="74" t="n">
        <v>2</v>
      </c>
      <c r="Q29" s="77"/>
      <c r="R29" s="77"/>
      <c r="S29" s="74" t="n">
        <v>2</v>
      </c>
      <c r="T29" s="77"/>
      <c r="U29" s="77"/>
    </row>
    <row r="30" customFormat="false" ht="19.5" hidden="false" customHeight="true" outlineLevel="0" collapsed="false">
      <c r="A30" s="40"/>
      <c r="B30" s="19" t="s">
        <v>144</v>
      </c>
      <c r="C30" s="11" t="s">
        <v>33</v>
      </c>
      <c r="D30" s="84" t="n">
        <v>0</v>
      </c>
      <c r="E30" s="18"/>
      <c r="F30" s="18"/>
      <c r="G30" s="74" t="n">
        <v>3</v>
      </c>
      <c r="H30" s="18"/>
      <c r="I30" s="18"/>
      <c r="J30" s="74" t="n">
        <v>3</v>
      </c>
      <c r="K30" s="18"/>
      <c r="L30" s="18"/>
      <c r="M30" s="74" t="n">
        <v>3</v>
      </c>
      <c r="N30" s="18"/>
      <c r="O30" s="18"/>
      <c r="P30" s="74" t="n">
        <v>3</v>
      </c>
      <c r="Q30" s="18"/>
      <c r="R30" s="18"/>
      <c r="S30" s="74" t="n">
        <v>3</v>
      </c>
      <c r="T30" s="18"/>
      <c r="U30" s="18"/>
    </row>
    <row r="31" customFormat="false" ht="19.5" hidden="false" customHeight="true" outlineLevel="0" collapsed="false">
      <c r="A31" s="40"/>
      <c r="B31" s="76" t="s">
        <v>145</v>
      </c>
      <c r="C31" s="11" t="s">
        <v>33</v>
      </c>
      <c r="D31" s="84" t="n">
        <v>0</v>
      </c>
      <c r="E31" s="77"/>
      <c r="F31" s="77"/>
      <c r="G31" s="74" t="n">
        <v>1</v>
      </c>
      <c r="H31" s="77"/>
      <c r="I31" s="77"/>
      <c r="J31" s="74" t="n">
        <v>1</v>
      </c>
      <c r="K31" s="77"/>
      <c r="L31" s="77"/>
      <c r="M31" s="74" t="n">
        <v>1</v>
      </c>
      <c r="N31" s="77"/>
      <c r="O31" s="77"/>
      <c r="P31" s="74" t="n">
        <v>1</v>
      </c>
      <c r="Q31" s="77"/>
      <c r="R31" s="77"/>
      <c r="S31" s="74" t="n">
        <v>1</v>
      </c>
      <c r="T31" s="77"/>
      <c r="U31" s="77"/>
    </row>
    <row r="32" customFormat="false" ht="21.75" hidden="false" customHeight="true" outlineLevel="0" collapsed="false">
      <c r="A32" s="6" t="s">
        <v>130</v>
      </c>
      <c r="B32" s="6"/>
      <c r="C32" s="95"/>
      <c r="D32" s="96" t="n">
        <f aca="false">COUNTIF(D28:D31,"&gt;0")</f>
        <v>0</v>
      </c>
      <c r="E32" s="97" t="n">
        <f aca="false">IF(COUNTIF(D28:D31,"&gt;0")&gt;=3,3,IF(COUNTIF(D28:D31,"&gt;0")&gt;=2,2,IF(COUNTIF(D28:D31,"&gt;0")&gt;=1,1,0)))</f>
        <v>0</v>
      </c>
      <c r="F32" s="98" t="n">
        <f aca="false">IFERROR(AVERAGEIF(D28:D31,"&gt;0")/3*100,0)</f>
        <v>0</v>
      </c>
      <c r="G32" s="96" t="n">
        <f aca="false">COUNTIF(G28:G31,"&gt;0")</f>
        <v>4</v>
      </c>
      <c r="H32" s="97" t="n">
        <f aca="false">IF(COUNTIF(G28:G31,"&gt;0")&gt;=3,3,IF(COUNTIF(G28:G31,"&gt;0")&gt;=2,2,IF(COUNTIF(G28:G31,"&gt;0")&gt;=1,1,0)))</f>
        <v>3</v>
      </c>
      <c r="I32" s="98" t="n">
        <f aca="false">IFERROR(AVERAGEIF(G28:G31,"&gt;0")/3*100,0)</f>
        <v>58.3333333333333</v>
      </c>
      <c r="J32" s="96" t="n">
        <f aca="false">COUNTIF(J28:J31,"&gt;0")</f>
        <v>4</v>
      </c>
      <c r="K32" s="97" t="n">
        <f aca="false">IF(COUNTIF(J28:J31,"&gt;0")&gt;=3,3,IF(COUNTIF(J28:J31,"&gt;0")&gt;=2,2,IF(COUNTIF(J28:J31,"&gt;0")&gt;=1,1,0)))</f>
        <v>3</v>
      </c>
      <c r="L32" s="98" t="n">
        <f aca="false">IFERROR(AVERAGEIF(J28:J31,"&gt;0")/3*100,0)</f>
        <v>58.3333333333333</v>
      </c>
      <c r="M32" s="96" t="n">
        <f aca="false">COUNTIF(M28:M31,"&gt;0")</f>
        <v>4</v>
      </c>
      <c r="N32" s="97" t="n">
        <f aca="false">IF(COUNTIF(M28:M31,"&gt;0")&gt;=3,3,IF(COUNTIF(M28:M31,"&gt;0")&gt;=2,2,IF(COUNTIF(M28:M31,"&gt;0")&gt;=1,1,0)))</f>
        <v>3</v>
      </c>
      <c r="O32" s="98" t="n">
        <f aca="false">IFERROR(AVERAGEIF(M28:M31,"&gt;0")/3*100,0)</f>
        <v>58.3333333333333</v>
      </c>
      <c r="P32" s="96" t="n">
        <f aca="false">COUNTIF(P28:P31,"&gt;0")</f>
        <v>4</v>
      </c>
      <c r="Q32" s="97" t="n">
        <f aca="false">IF(COUNTIF(P28:P31,"&gt;0")&gt;=3,3,IF(COUNTIF(P28:P31,"&gt;0")&gt;=2,2,IF(COUNTIF(P28:P31,"&gt;0")&gt;=1,1,0)))</f>
        <v>3</v>
      </c>
      <c r="R32" s="98" t="n">
        <f aca="false">IFERROR(AVERAGEIF(P28:P31,"&gt;0")/3*100,0)</f>
        <v>58.3333333333333</v>
      </c>
      <c r="S32" s="96" t="n">
        <f aca="false">COUNTIF(S28:S31,"&gt;0")</f>
        <v>4</v>
      </c>
      <c r="T32" s="97" t="n">
        <f aca="false">IF(COUNTIF(S28:S31,"&gt;0")&gt;=3,3,IF(COUNTIF(S28:S31,"&gt;0")&gt;=2,2,IF(COUNTIF(S28:S31,"&gt;0")&gt;=1,1,0)))</f>
        <v>3</v>
      </c>
      <c r="U32" s="98" t="n">
        <f aca="false">IFERROR(AVERAGEIF(S28:S31,"&gt;0")/3*100,0)</f>
        <v>58.3333333333333</v>
      </c>
    </row>
    <row r="34" customFormat="false" ht="25.5" hidden="false" customHeight="true" outlineLevel="0" collapsed="false">
      <c r="A34" s="4" t="s">
        <v>146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customFormat="false" ht="19.5" hidden="false" customHeight="true" outlineLevel="0" collapsed="false">
      <c r="A35" s="42" t="s">
        <v>54</v>
      </c>
      <c r="B35" s="99" t="s">
        <v>147</v>
      </c>
      <c r="C35" s="11" t="s">
        <v>33</v>
      </c>
      <c r="D35" s="74" t="n">
        <v>1</v>
      </c>
      <c r="E35" s="100"/>
      <c r="F35" s="100"/>
      <c r="G35" s="74" t="n">
        <v>1</v>
      </c>
      <c r="H35" s="100"/>
      <c r="I35" s="100"/>
      <c r="J35" s="74" t="n">
        <v>1</v>
      </c>
      <c r="K35" s="100"/>
      <c r="L35" s="100"/>
      <c r="M35" s="74" t="n">
        <v>1</v>
      </c>
      <c r="N35" s="100"/>
      <c r="O35" s="100"/>
      <c r="P35" s="74" t="n">
        <v>1</v>
      </c>
      <c r="Q35" s="100"/>
      <c r="R35" s="100"/>
      <c r="S35" s="74" t="n">
        <v>1</v>
      </c>
      <c r="T35" s="100"/>
      <c r="U35" s="100"/>
    </row>
    <row r="36" customFormat="false" ht="19.5" hidden="false" customHeight="true" outlineLevel="0" collapsed="false">
      <c r="A36" s="42"/>
      <c r="B36" s="76" t="s">
        <v>148</v>
      </c>
      <c r="C36" s="11" t="s">
        <v>33</v>
      </c>
      <c r="D36" s="74" t="n">
        <v>2</v>
      </c>
      <c r="E36" s="77"/>
      <c r="F36" s="77"/>
      <c r="G36" s="74" t="n">
        <v>2</v>
      </c>
      <c r="H36" s="77"/>
      <c r="I36" s="77"/>
      <c r="J36" s="74" t="n">
        <v>2</v>
      </c>
      <c r="K36" s="77"/>
      <c r="L36" s="77"/>
      <c r="M36" s="74" t="n">
        <v>2</v>
      </c>
      <c r="N36" s="77"/>
      <c r="O36" s="77"/>
      <c r="P36" s="74" t="n">
        <v>2</v>
      </c>
      <c r="Q36" s="77"/>
      <c r="R36" s="77"/>
      <c r="S36" s="74" t="n">
        <v>2</v>
      </c>
      <c r="T36" s="77"/>
      <c r="U36" s="77"/>
    </row>
    <row r="37" customFormat="false" ht="19.5" hidden="false" customHeight="true" outlineLevel="0" collapsed="false">
      <c r="A37" s="42"/>
      <c r="B37" s="99" t="s">
        <v>149</v>
      </c>
      <c r="C37" s="11" t="s">
        <v>33</v>
      </c>
      <c r="D37" s="74" t="n">
        <v>3</v>
      </c>
      <c r="E37" s="100"/>
      <c r="F37" s="100"/>
      <c r="G37" s="74" t="n">
        <v>3</v>
      </c>
      <c r="H37" s="100"/>
      <c r="I37" s="100"/>
      <c r="J37" s="74" t="n">
        <v>3</v>
      </c>
      <c r="K37" s="100"/>
      <c r="L37" s="100"/>
      <c r="M37" s="74" t="n">
        <v>3</v>
      </c>
      <c r="N37" s="100"/>
      <c r="O37" s="100"/>
      <c r="P37" s="74" t="n">
        <v>3</v>
      </c>
      <c r="Q37" s="100"/>
      <c r="R37" s="100"/>
      <c r="S37" s="74" t="n">
        <v>3</v>
      </c>
      <c r="T37" s="100"/>
      <c r="U37" s="100"/>
    </row>
    <row r="38" customFormat="false" ht="19.5" hidden="false" customHeight="true" outlineLevel="0" collapsed="false">
      <c r="A38" s="42"/>
      <c r="B38" s="76" t="s">
        <v>145</v>
      </c>
      <c r="C38" s="11" t="s">
        <v>33</v>
      </c>
      <c r="D38" s="74" t="n">
        <v>1</v>
      </c>
      <c r="E38" s="77"/>
      <c r="F38" s="77"/>
      <c r="G38" s="74" t="n">
        <v>1</v>
      </c>
      <c r="H38" s="77"/>
      <c r="I38" s="77"/>
      <c r="J38" s="74" t="n">
        <v>1</v>
      </c>
      <c r="K38" s="77"/>
      <c r="L38" s="77"/>
      <c r="M38" s="74" t="n">
        <v>1</v>
      </c>
      <c r="N38" s="77"/>
      <c r="O38" s="77"/>
      <c r="P38" s="74" t="n">
        <v>1</v>
      </c>
      <c r="Q38" s="77"/>
      <c r="R38" s="77"/>
      <c r="S38" s="74" t="n">
        <v>1</v>
      </c>
      <c r="T38" s="77"/>
      <c r="U38" s="77"/>
    </row>
    <row r="39" customFormat="false" ht="21.75" hidden="false" customHeight="true" outlineLevel="0" collapsed="false">
      <c r="A39" s="101" t="s">
        <v>130</v>
      </c>
      <c r="B39" s="101"/>
      <c r="C39" s="102"/>
      <c r="D39" s="103" t="n">
        <f aca="false">COUNTIF(D35:D38,"&gt;0")</f>
        <v>4</v>
      </c>
      <c r="E39" s="104" t="n">
        <f aca="false">IF(COUNTIF(D35:D38,"&gt;0")&gt;=3,3,IF(COUNTIF(D35:D38,"&gt;0")&gt;=2,2,IF(COUNTIF(D35:D38,"&gt;0")&gt;=1,1,0)))</f>
        <v>3</v>
      </c>
      <c r="F39" s="105" t="n">
        <f aca="false">IFERROR(AVERAGEIF(D35:D38,"&gt;0")/3*100,0)</f>
        <v>58.3333333333333</v>
      </c>
      <c r="G39" s="103" t="n">
        <f aca="false">COUNTIF(G35:G38,"&gt;0")</f>
        <v>4</v>
      </c>
      <c r="H39" s="104" t="n">
        <f aca="false">IF(COUNTIF(G35:G38,"&gt;0")&gt;=3,3,IF(COUNTIF(G35:G38,"&gt;0")&gt;=2,2,IF(COUNTIF(G35:G38,"&gt;0")&gt;=1,1,0)))</f>
        <v>3</v>
      </c>
      <c r="I39" s="105" t="n">
        <f aca="false">IFERROR(AVERAGEIF(G35:G38,"&gt;0")/3*100,0)</f>
        <v>58.3333333333333</v>
      </c>
      <c r="J39" s="103" t="n">
        <f aca="false">COUNTIF(J35:J38,"&gt;0")</f>
        <v>4</v>
      </c>
      <c r="K39" s="104" t="n">
        <f aca="false">IF(COUNTIF(J35:J38,"&gt;0")&gt;=3,3,IF(COUNTIF(J35:J38,"&gt;0")&gt;=2,2,IF(COUNTIF(J35:J38,"&gt;0")&gt;=1,1,0)))</f>
        <v>3</v>
      </c>
      <c r="L39" s="105" t="n">
        <f aca="false">IFERROR(AVERAGEIF(J35:J38,"&gt;0")/3*100,0)</f>
        <v>58.3333333333333</v>
      </c>
      <c r="M39" s="103" t="n">
        <f aca="false">COUNTIF(M35:M38,"&gt;0")</f>
        <v>4</v>
      </c>
      <c r="N39" s="104" t="n">
        <f aca="false">IF(COUNTIF(M35:M38,"&gt;0")&gt;=3,3,IF(COUNTIF(M35:M38,"&gt;0")&gt;=2,2,IF(COUNTIF(M35:M38,"&gt;0")&gt;=1,1,0)))</f>
        <v>3</v>
      </c>
      <c r="O39" s="105" t="n">
        <f aca="false">IFERROR(AVERAGEIF(M35:M38,"&gt;0")/3*100,0)</f>
        <v>58.3333333333333</v>
      </c>
      <c r="P39" s="103" t="n">
        <f aca="false">COUNTIF(P35:P38,"&gt;0")</f>
        <v>4</v>
      </c>
      <c r="Q39" s="104" t="n">
        <f aca="false">IF(COUNTIF(P35:P38,"&gt;0")&gt;=3,3,IF(COUNTIF(P35:P38,"&gt;0")&gt;=2,2,IF(COUNTIF(P35:P38,"&gt;0")&gt;=1,1,0)))</f>
        <v>3</v>
      </c>
      <c r="R39" s="105" t="n">
        <f aca="false">IFERROR(AVERAGEIF(P35:P38,"&gt;0")/3*100,0)</f>
        <v>58.3333333333333</v>
      </c>
      <c r="S39" s="103" t="n">
        <f aca="false">COUNTIF(S35:S38,"&gt;0")</f>
        <v>4</v>
      </c>
      <c r="T39" s="104" t="n">
        <f aca="false">IF(COUNTIF(S35:S38,"&gt;0")&gt;=3,3,IF(COUNTIF(S35:S38,"&gt;0")&gt;=2,2,IF(COUNTIF(S35:S38,"&gt;0")&gt;=1,1,0)))</f>
        <v>3</v>
      </c>
      <c r="U39" s="105" t="n">
        <f aca="false">IFERROR(AVERAGEIF(S35:S38,"&gt;0")/3*100,0)</f>
        <v>58.3333333333333</v>
      </c>
    </row>
    <row r="41" customFormat="false" ht="25.5" hidden="false" customHeight="true" outlineLevel="0" collapsed="false">
      <c r="A41" s="106" t="s">
        <v>150</v>
      </c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 customFormat="false" ht="19.5" hidden="false" customHeight="true" outlineLevel="0" collapsed="false">
      <c r="A42" s="45" t="s">
        <v>57</v>
      </c>
      <c r="B42" s="107" t="s">
        <v>151</v>
      </c>
      <c r="C42" s="11" t="s">
        <v>33</v>
      </c>
      <c r="D42" s="74" t="n">
        <v>1</v>
      </c>
      <c r="E42" s="108"/>
      <c r="F42" s="108"/>
      <c r="G42" s="74" t="n">
        <v>1</v>
      </c>
      <c r="H42" s="108"/>
      <c r="I42" s="108"/>
      <c r="J42" s="74" t="n">
        <v>1</v>
      </c>
      <c r="K42" s="108"/>
      <c r="L42" s="108"/>
      <c r="M42" s="74" t="n">
        <v>1</v>
      </c>
      <c r="N42" s="108"/>
      <c r="O42" s="108"/>
      <c r="P42" s="74" t="n">
        <v>1</v>
      </c>
      <c r="Q42" s="108"/>
      <c r="R42" s="108"/>
      <c r="S42" s="74" t="n">
        <v>1</v>
      </c>
      <c r="T42" s="108"/>
      <c r="U42" s="108"/>
    </row>
    <row r="43" customFormat="false" ht="19.5" hidden="false" customHeight="true" outlineLevel="0" collapsed="false">
      <c r="A43" s="45"/>
      <c r="B43" s="76" t="s">
        <v>152</v>
      </c>
      <c r="C43" s="11" t="s">
        <v>33</v>
      </c>
      <c r="D43" s="74" t="n">
        <v>2</v>
      </c>
      <c r="E43" s="77"/>
      <c r="F43" s="77"/>
      <c r="G43" s="74" t="n">
        <v>2</v>
      </c>
      <c r="H43" s="77"/>
      <c r="I43" s="77"/>
      <c r="J43" s="74" t="n">
        <v>2</v>
      </c>
      <c r="K43" s="77"/>
      <c r="L43" s="77"/>
      <c r="M43" s="74" t="n">
        <v>2</v>
      </c>
      <c r="N43" s="77"/>
      <c r="O43" s="77"/>
      <c r="P43" s="74" t="n">
        <v>2</v>
      </c>
      <c r="Q43" s="77"/>
      <c r="R43" s="77"/>
      <c r="S43" s="74" t="n">
        <v>2</v>
      </c>
      <c r="T43" s="77"/>
      <c r="U43" s="77"/>
    </row>
    <row r="44" customFormat="false" ht="19.5" hidden="false" customHeight="true" outlineLevel="0" collapsed="false">
      <c r="A44" s="45"/>
      <c r="B44" s="107" t="s">
        <v>153</v>
      </c>
      <c r="C44" s="11" t="s">
        <v>33</v>
      </c>
      <c r="D44" s="74" t="n">
        <v>3</v>
      </c>
      <c r="E44" s="108"/>
      <c r="F44" s="108"/>
      <c r="G44" s="74" t="n">
        <v>3</v>
      </c>
      <c r="H44" s="108"/>
      <c r="I44" s="108"/>
      <c r="J44" s="74" t="n">
        <v>3</v>
      </c>
      <c r="K44" s="108"/>
      <c r="L44" s="108"/>
      <c r="M44" s="74" t="n">
        <v>3</v>
      </c>
      <c r="N44" s="108"/>
      <c r="O44" s="108"/>
      <c r="P44" s="74" t="n">
        <v>3</v>
      </c>
      <c r="Q44" s="108"/>
      <c r="R44" s="108"/>
      <c r="S44" s="74" t="n">
        <v>3</v>
      </c>
      <c r="T44" s="108"/>
      <c r="U44" s="108"/>
    </row>
    <row r="45" customFormat="false" ht="19.5" hidden="false" customHeight="true" outlineLevel="0" collapsed="false">
      <c r="A45" s="45"/>
      <c r="B45" s="76" t="s">
        <v>154</v>
      </c>
      <c r="C45" s="11" t="s">
        <v>33</v>
      </c>
      <c r="D45" s="74" t="n">
        <v>1</v>
      </c>
      <c r="E45" s="77"/>
      <c r="F45" s="77"/>
      <c r="G45" s="74" t="n">
        <v>1</v>
      </c>
      <c r="H45" s="77"/>
      <c r="I45" s="77"/>
      <c r="J45" s="74" t="n">
        <v>1</v>
      </c>
      <c r="K45" s="77"/>
      <c r="L45" s="77"/>
      <c r="M45" s="74" t="n">
        <v>1</v>
      </c>
      <c r="N45" s="77"/>
      <c r="O45" s="77"/>
      <c r="P45" s="74" t="n">
        <v>1</v>
      </c>
      <c r="Q45" s="77"/>
      <c r="R45" s="77"/>
      <c r="S45" s="74" t="n">
        <v>1</v>
      </c>
      <c r="T45" s="77"/>
      <c r="U45" s="77"/>
    </row>
    <row r="46" customFormat="false" ht="21.75" hidden="false" customHeight="true" outlineLevel="0" collapsed="false">
      <c r="A46" s="109" t="s">
        <v>130</v>
      </c>
      <c r="B46" s="109"/>
      <c r="C46" s="110"/>
      <c r="D46" s="111" t="n">
        <f aca="false">COUNTIF(D42:D45,"&gt;0")</f>
        <v>4</v>
      </c>
      <c r="E46" s="112" t="n">
        <f aca="false">IF(COUNTIF(D42:D45,"&gt;0")&gt;=3,3,IF(COUNTIF(D42:D45,"&gt;0")&gt;=2,2,IF(COUNTIF(D42:D45,"&gt;0")&gt;=1,1,0)))</f>
        <v>3</v>
      </c>
      <c r="F46" s="113" t="n">
        <f aca="false">IFERROR(AVERAGEIF(D42:D45,"&gt;0")/3*100,0)</f>
        <v>58.3333333333333</v>
      </c>
      <c r="G46" s="111" t="n">
        <f aca="false">COUNTIF(G42:G45,"&gt;0")</f>
        <v>4</v>
      </c>
      <c r="H46" s="112" t="n">
        <f aca="false">IF(COUNTIF(G42:G45,"&gt;0")&gt;=3,3,IF(COUNTIF(G42:G45,"&gt;0")&gt;=2,2,IF(COUNTIF(G42:G45,"&gt;0")&gt;=1,1,0)))</f>
        <v>3</v>
      </c>
      <c r="I46" s="113" t="n">
        <f aca="false">IFERROR(AVERAGEIF(G42:G45,"&gt;0")/3*100,0)</f>
        <v>58.3333333333333</v>
      </c>
      <c r="J46" s="111" t="n">
        <f aca="false">COUNTIF(J42:J45,"&gt;0")</f>
        <v>4</v>
      </c>
      <c r="K46" s="112" t="n">
        <f aca="false">IF(COUNTIF(J42:J45,"&gt;0")&gt;=3,3,IF(COUNTIF(J42:J45,"&gt;0")&gt;=2,2,IF(COUNTIF(J42:J45,"&gt;0")&gt;=1,1,0)))</f>
        <v>3</v>
      </c>
      <c r="L46" s="113" t="n">
        <f aca="false">IFERROR(AVERAGEIF(J42:J45,"&gt;0")/3*100,0)</f>
        <v>58.3333333333333</v>
      </c>
      <c r="M46" s="111" t="n">
        <f aca="false">COUNTIF(M42:M45,"&gt;0")</f>
        <v>4</v>
      </c>
      <c r="N46" s="112" t="n">
        <f aca="false">IF(COUNTIF(M42:M45,"&gt;0")&gt;=3,3,IF(COUNTIF(M42:M45,"&gt;0")&gt;=2,2,IF(COUNTIF(M42:M45,"&gt;0")&gt;=1,1,0)))</f>
        <v>3</v>
      </c>
      <c r="O46" s="113" t="n">
        <f aca="false">IFERROR(AVERAGEIF(M42:M45,"&gt;0")/3*100,0)</f>
        <v>58.3333333333333</v>
      </c>
      <c r="P46" s="111" t="n">
        <f aca="false">COUNTIF(P42:P45,"&gt;0")</f>
        <v>4</v>
      </c>
      <c r="Q46" s="112" t="n">
        <f aca="false">IF(COUNTIF(P42:P45,"&gt;0")&gt;=3,3,IF(COUNTIF(P42:P45,"&gt;0")&gt;=2,2,IF(COUNTIF(P42:P45,"&gt;0")&gt;=1,1,0)))</f>
        <v>3</v>
      </c>
      <c r="R46" s="113" t="n">
        <f aca="false">IFERROR(AVERAGEIF(P42:P45,"&gt;0")/3*100,0)</f>
        <v>58.3333333333333</v>
      </c>
      <c r="S46" s="111" t="n">
        <f aca="false">COUNTIF(S42:S45,"&gt;0")</f>
        <v>4</v>
      </c>
      <c r="T46" s="112" t="n">
        <f aca="false">IF(COUNTIF(S42:S45,"&gt;0")&gt;=3,3,IF(COUNTIF(S42:S45,"&gt;0")&gt;=2,2,IF(COUNTIF(S42:S45,"&gt;0")&gt;=1,1,0)))</f>
        <v>3</v>
      </c>
      <c r="U46" s="113" t="n">
        <f aca="false">IFERROR(AVERAGEIF(S42:S45,"&gt;0")/3*100,0)</f>
        <v>58.3333333333333</v>
      </c>
    </row>
    <row r="48" customFormat="false" ht="25.5" hidden="false" customHeight="true" outlineLevel="0" collapsed="false">
      <c r="A48" s="114" t="s">
        <v>155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</row>
    <row r="49" customFormat="false" ht="19.5" hidden="false" customHeight="true" outlineLevel="0" collapsed="false">
      <c r="A49" s="48" t="s">
        <v>60</v>
      </c>
      <c r="B49" s="115" t="s">
        <v>156</v>
      </c>
      <c r="C49" s="11" t="s">
        <v>33</v>
      </c>
      <c r="D49" s="74" t="n">
        <v>1</v>
      </c>
      <c r="E49" s="116"/>
      <c r="F49" s="116"/>
      <c r="G49" s="74" t="n">
        <v>1</v>
      </c>
      <c r="H49" s="116"/>
      <c r="I49" s="116"/>
      <c r="J49" s="74" t="n">
        <v>1</v>
      </c>
      <c r="K49" s="116"/>
      <c r="L49" s="116"/>
      <c r="M49" s="74" t="n">
        <v>1</v>
      </c>
      <c r="N49" s="116"/>
      <c r="O49" s="116"/>
      <c r="P49" s="74" t="n">
        <v>1</v>
      </c>
      <c r="Q49" s="116"/>
      <c r="R49" s="116"/>
      <c r="S49" s="74" t="n">
        <v>1</v>
      </c>
      <c r="T49" s="116"/>
      <c r="U49" s="116"/>
    </row>
    <row r="50" customFormat="false" ht="19.5" hidden="false" customHeight="true" outlineLevel="0" collapsed="false">
      <c r="A50" s="48"/>
      <c r="B50" s="76" t="s">
        <v>157</v>
      </c>
      <c r="C50" s="11" t="s">
        <v>33</v>
      </c>
      <c r="D50" s="74" t="n">
        <v>2</v>
      </c>
      <c r="E50" s="77"/>
      <c r="F50" s="77"/>
      <c r="G50" s="74" t="n">
        <v>2</v>
      </c>
      <c r="H50" s="77"/>
      <c r="I50" s="77"/>
      <c r="J50" s="74" t="n">
        <v>2</v>
      </c>
      <c r="K50" s="77"/>
      <c r="L50" s="77"/>
      <c r="M50" s="74" t="n">
        <v>2</v>
      </c>
      <c r="N50" s="77"/>
      <c r="O50" s="77"/>
      <c r="P50" s="74" t="n">
        <v>2</v>
      </c>
      <c r="Q50" s="77"/>
      <c r="R50" s="77"/>
      <c r="S50" s="74" t="n">
        <v>2</v>
      </c>
      <c r="T50" s="77"/>
      <c r="U50" s="77"/>
    </row>
    <row r="51" customFormat="false" ht="19.5" hidden="false" customHeight="true" outlineLevel="0" collapsed="false">
      <c r="A51" s="48"/>
      <c r="B51" s="115" t="s">
        <v>158</v>
      </c>
      <c r="C51" s="11" t="s">
        <v>33</v>
      </c>
      <c r="D51" s="74" t="n">
        <v>3</v>
      </c>
      <c r="E51" s="116"/>
      <c r="F51" s="116"/>
      <c r="G51" s="74" t="n">
        <v>3</v>
      </c>
      <c r="H51" s="116"/>
      <c r="I51" s="116"/>
      <c r="J51" s="74" t="n">
        <v>3</v>
      </c>
      <c r="K51" s="116"/>
      <c r="L51" s="116"/>
      <c r="M51" s="74" t="n">
        <v>3</v>
      </c>
      <c r="N51" s="116"/>
      <c r="O51" s="116"/>
      <c r="P51" s="74" t="n">
        <v>3</v>
      </c>
      <c r="Q51" s="116"/>
      <c r="R51" s="116"/>
      <c r="S51" s="74" t="n">
        <v>3</v>
      </c>
      <c r="T51" s="116"/>
      <c r="U51" s="116"/>
    </row>
    <row r="52" customFormat="false" ht="19.5" hidden="false" customHeight="true" outlineLevel="0" collapsed="false">
      <c r="A52" s="48"/>
      <c r="B52" s="76" t="s">
        <v>159</v>
      </c>
      <c r="C52" s="11" t="s">
        <v>33</v>
      </c>
      <c r="D52" s="74" t="n">
        <v>1</v>
      </c>
      <c r="E52" s="77"/>
      <c r="F52" s="77"/>
      <c r="G52" s="74" t="n">
        <v>1</v>
      </c>
      <c r="H52" s="77"/>
      <c r="I52" s="77"/>
      <c r="J52" s="74" t="n">
        <v>1</v>
      </c>
      <c r="K52" s="77"/>
      <c r="L52" s="77"/>
      <c r="M52" s="74" t="n">
        <v>1</v>
      </c>
      <c r="N52" s="77"/>
      <c r="O52" s="77"/>
      <c r="P52" s="74" t="n">
        <v>1</v>
      </c>
      <c r="Q52" s="77"/>
      <c r="R52" s="77"/>
      <c r="S52" s="74" t="n">
        <v>1</v>
      </c>
      <c r="T52" s="77"/>
      <c r="U52" s="77"/>
    </row>
    <row r="53" customFormat="false" ht="21.75" hidden="false" customHeight="true" outlineLevel="0" collapsed="false">
      <c r="A53" s="117" t="s">
        <v>130</v>
      </c>
      <c r="B53" s="117"/>
      <c r="C53" s="118"/>
      <c r="D53" s="119" t="n">
        <f aca="false">COUNTIF(D49:D52,"&gt;0")</f>
        <v>4</v>
      </c>
      <c r="E53" s="120" t="n">
        <f aca="false">IF(COUNTIF(D49:D52,"&gt;0")&gt;=3,3,IF(COUNTIF(D49:D52,"&gt;0")&gt;=2,2,IF(COUNTIF(D49:D52,"&gt;0")&gt;=1,1,0)))</f>
        <v>3</v>
      </c>
      <c r="F53" s="121" t="n">
        <f aca="false">IFERROR(AVERAGEIF(D49:D52,"&gt;0")/3*100,0)</f>
        <v>58.3333333333333</v>
      </c>
      <c r="G53" s="119" t="n">
        <f aca="false">COUNTIF(G49:G52,"&gt;0")</f>
        <v>4</v>
      </c>
      <c r="H53" s="120" t="n">
        <f aca="false">IF(COUNTIF(G49:G52,"&gt;0")&gt;=3,3,IF(COUNTIF(G49:G52,"&gt;0")&gt;=2,2,IF(COUNTIF(G49:G52,"&gt;0")&gt;=1,1,0)))</f>
        <v>3</v>
      </c>
      <c r="I53" s="121" t="n">
        <f aca="false">IFERROR(AVERAGEIF(G49:G52,"&gt;0")/3*100,0)</f>
        <v>58.3333333333333</v>
      </c>
      <c r="J53" s="119" t="n">
        <f aca="false">COUNTIF(J49:J52,"&gt;0")</f>
        <v>4</v>
      </c>
      <c r="K53" s="120" t="n">
        <f aca="false">IF(COUNTIF(J49:J52,"&gt;0")&gt;=3,3,IF(COUNTIF(J49:J52,"&gt;0")&gt;=2,2,IF(COUNTIF(J49:J52,"&gt;0")&gt;=1,1,0)))</f>
        <v>3</v>
      </c>
      <c r="L53" s="121" t="n">
        <f aca="false">IFERROR(AVERAGEIF(J49:J52,"&gt;0")/3*100,0)</f>
        <v>58.3333333333333</v>
      </c>
      <c r="M53" s="119" t="n">
        <f aca="false">COUNTIF(M49:M52,"&gt;0")</f>
        <v>4</v>
      </c>
      <c r="N53" s="120" t="n">
        <f aca="false">IF(COUNTIF(M49:M52,"&gt;0")&gt;=3,3,IF(COUNTIF(M49:M52,"&gt;0")&gt;=2,2,IF(COUNTIF(M49:M52,"&gt;0")&gt;=1,1,0)))</f>
        <v>3</v>
      </c>
      <c r="O53" s="121" t="n">
        <f aca="false">IFERROR(AVERAGEIF(M49:M52,"&gt;0")/3*100,0)</f>
        <v>58.3333333333333</v>
      </c>
      <c r="P53" s="119" t="n">
        <f aca="false">COUNTIF(P49:P52,"&gt;0")</f>
        <v>4</v>
      </c>
      <c r="Q53" s="120" t="n">
        <f aca="false">IF(COUNTIF(P49:P52,"&gt;0")&gt;=3,3,IF(COUNTIF(P49:P52,"&gt;0")&gt;=2,2,IF(COUNTIF(P49:P52,"&gt;0")&gt;=1,1,0)))</f>
        <v>3</v>
      </c>
      <c r="R53" s="121" t="n">
        <f aca="false">IFERROR(AVERAGEIF(P49:P52,"&gt;0")/3*100,0)</f>
        <v>58.3333333333333</v>
      </c>
      <c r="S53" s="119" t="n">
        <f aca="false">COUNTIF(S49:S52,"&gt;0")</f>
        <v>4</v>
      </c>
      <c r="T53" s="120" t="n">
        <f aca="false">IF(COUNTIF(S49:S52,"&gt;0")&gt;=3,3,IF(COUNTIF(S49:S52,"&gt;0")&gt;=2,2,IF(COUNTIF(S49:S52,"&gt;0")&gt;=1,1,0)))</f>
        <v>3</v>
      </c>
      <c r="U53" s="121" t="n">
        <f aca="false">IFERROR(AVERAGEIF(S49:S52,"&gt;0")/3*100,0)</f>
        <v>58.3333333333333</v>
      </c>
    </row>
    <row r="55" customFormat="false" ht="25.5" hidden="false" customHeight="true" outlineLevel="0" collapsed="false">
      <c r="A55" s="122" t="s">
        <v>160</v>
      </c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</row>
    <row r="56" customFormat="false" ht="19.5" hidden="false" customHeight="true" outlineLevel="0" collapsed="false">
      <c r="A56" s="51" t="s">
        <v>63</v>
      </c>
      <c r="B56" s="123" t="s">
        <v>161</v>
      </c>
      <c r="C56" s="11" t="s">
        <v>33</v>
      </c>
      <c r="D56" s="74" t="n">
        <v>1</v>
      </c>
      <c r="E56" s="124"/>
      <c r="F56" s="124"/>
      <c r="G56" s="74" t="n">
        <v>1</v>
      </c>
      <c r="H56" s="124"/>
      <c r="I56" s="124"/>
      <c r="J56" s="74" t="n">
        <v>1</v>
      </c>
      <c r="K56" s="124"/>
      <c r="L56" s="124"/>
      <c r="M56" s="74" t="n">
        <v>1</v>
      </c>
      <c r="N56" s="124"/>
      <c r="O56" s="124"/>
      <c r="P56" s="74" t="n">
        <v>1</v>
      </c>
      <c r="Q56" s="124"/>
      <c r="R56" s="124"/>
      <c r="S56" s="74" t="n">
        <v>1</v>
      </c>
      <c r="T56" s="124"/>
      <c r="U56" s="124"/>
    </row>
    <row r="57" customFormat="false" ht="19.5" hidden="false" customHeight="true" outlineLevel="0" collapsed="false">
      <c r="A57" s="51"/>
      <c r="B57" s="76" t="s">
        <v>162</v>
      </c>
      <c r="C57" s="11" t="s">
        <v>33</v>
      </c>
      <c r="D57" s="74" t="n">
        <v>2</v>
      </c>
      <c r="E57" s="77"/>
      <c r="F57" s="77"/>
      <c r="G57" s="74" t="n">
        <v>2</v>
      </c>
      <c r="H57" s="77"/>
      <c r="I57" s="77"/>
      <c r="J57" s="74" t="n">
        <v>2</v>
      </c>
      <c r="K57" s="77"/>
      <c r="L57" s="77"/>
      <c r="M57" s="74" t="n">
        <v>2</v>
      </c>
      <c r="N57" s="77"/>
      <c r="O57" s="77"/>
      <c r="P57" s="74" t="n">
        <v>2</v>
      </c>
      <c r="Q57" s="77"/>
      <c r="R57" s="77"/>
      <c r="S57" s="74" t="n">
        <v>2</v>
      </c>
      <c r="T57" s="77"/>
      <c r="U57" s="77"/>
    </row>
    <row r="58" customFormat="false" ht="19.5" hidden="false" customHeight="true" outlineLevel="0" collapsed="false">
      <c r="A58" s="51"/>
      <c r="B58" s="123" t="s">
        <v>163</v>
      </c>
      <c r="C58" s="11" t="s">
        <v>33</v>
      </c>
      <c r="D58" s="74" t="n">
        <v>3</v>
      </c>
      <c r="E58" s="124"/>
      <c r="F58" s="124"/>
      <c r="G58" s="74" t="n">
        <v>3</v>
      </c>
      <c r="H58" s="124"/>
      <c r="I58" s="124"/>
      <c r="J58" s="74" t="n">
        <v>3</v>
      </c>
      <c r="K58" s="124"/>
      <c r="L58" s="124"/>
      <c r="M58" s="74" t="n">
        <v>3</v>
      </c>
      <c r="N58" s="124"/>
      <c r="O58" s="124"/>
      <c r="P58" s="74" t="n">
        <v>3</v>
      </c>
      <c r="Q58" s="124"/>
      <c r="R58" s="124"/>
      <c r="S58" s="74" t="n">
        <v>3</v>
      </c>
      <c r="T58" s="124"/>
      <c r="U58" s="124"/>
    </row>
    <row r="59" customFormat="false" ht="19.5" hidden="false" customHeight="true" outlineLevel="0" collapsed="false">
      <c r="A59" s="51"/>
      <c r="B59" s="76" t="s">
        <v>164</v>
      </c>
      <c r="C59" s="11" t="s">
        <v>33</v>
      </c>
      <c r="D59" s="74" t="n">
        <v>1</v>
      </c>
      <c r="E59" s="77"/>
      <c r="F59" s="77"/>
      <c r="G59" s="74" t="n">
        <v>1</v>
      </c>
      <c r="H59" s="77"/>
      <c r="I59" s="77"/>
      <c r="J59" s="74" t="n">
        <v>1</v>
      </c>
      <c r="K59" s="77"/>
      <c r="L59" s="77"/>
      <c r="M59" s="74" t="n">
        <v>1</v>
      </c>
      <c r="N59" s="77"/>
      <c r="O59" s="77"/>
      <c r="P59" s="74" t="n">
        <v>1</v>
      </c>
      <c r="Q59" s="77"/>
      <c r="R59" s="77"/>
      <c r="S59" s="74" t="n">
        <v>1</v>
      </c>
      <c r="T59" s="77"/>
      <c r="U59" s="77"/>
    </row>
    <row r="60" customFormat="false" ht="21.75" hidden="false" customHeight="true" outlineLevel="0" collapsed="false">
      <c r="A60" s="125" t="s">
        <v>130</v>
      </c>
      <c r="B60" s="125"/>
      <c r="C60" s="126"/>
      <c r="D60" s="127" t="n">
        <f aca="false">COUNTIF(D56:D59,"&gt;0")</f>
        <v>4</v>
      </c>
      <c r="E60" s="128" t="n">
        <f aca="false">IF(COUNTIF(D56:D59,"&gt;0")&gt;=3,3,IF(COUNTIF(D56:D59,"&gt;0")&gt;=2,2,IF(COUNTIF(D56:D59,"&gt;0")&gt;=1,1,0)))</f>
        <v>3</v>
      </c>
      <c r="F60" s="129" t="n">
        <f aca="false">IFERROR(AVERAGEIF(D56:D59,"&gt;0")/3*100,0)</f>
        <v>58.3333333333333</v>
      </c>
      <c r="G60" s="127" t="n">
        <f aca="false">COUNTIF(G56:G59,"&gt;0")</f>
        <v>4</v>
      </c>
      <c r="H60" s="128" t="n">
        <f aca="false">IF(COUNTIF(G56:G59,"&gt;0")&gt;=3,3,IF(COUNTIF(G56:G59,"&gt;0")&gt;=2,2,IF(COUNTIF(G56:G59,"&gt;0")&gt;=1,1,0)))</f>
        <v>3</v>
      </c>
      <c r="I60" s="129" t="n">
        <f aca="false">IFERROR(AVERAGEIF(G56:G59,"&gt;0")/3*100,0)</f>
        <v>58.3333333333333</v>
      </c>
      <c r="J60" s="127" t="n">
        <f aca="false">COUNTIF(J56:J59,"&gt;0")</f>
        <v>4</v>
      </c>
      <c r="K60" s="128" t="n">
        <f aca="false">IF(COUNTIF(J56:J59,"&gt;0")&gt;=3,3,IF(COUNTIF(J56:J59,"&gt;0")&gt;=2,2,IF(COUNTIF(J56:J59,"&gt;0")&gt;=1,1,0)))</f>
        <v>3</v>
      </c>
      <c r="L60" s="129" t="n">
        <f aca="false">IFERROR(AVERAGEIF(J56:J59,"&gt;0")/3*100,0)</f>
        <v>58.3333333333333</v>
      </c>
      <c r="M60" s="127" t="n">
        <f aca="false">COUNTIF(M56:M59,"&gt;0")</f>
        <v>4</v>
      </c>
      <c r="N60" s="128" t="n">
        <f aca="false">IF(COUNTIF(M56:M59,"&gt;0")&gt;=3,3,IF(COUNTIF(M56:M59,"&gt;0")&gt;=2,2,IF(COUNTIF(M56:M59,"&gt;0")&gt;=1,1,0)))</f>
        <v>3</v>
      </c>
      <c r="O60" s="129" t="n">
        <f aca="false">IFERROR(AVERAGEIF(M56:M59,"&gt;0")/3*100,0)</f>
        <v>58.3333333333333</v>
      </c>
      <c r="P60" s="127" t="n">
        <f aca="false">COUNTIF(P56:P59,"&gt;0")</f>
        <v>4</v>
      </c>
      <c r="Q60" s="128" t="n">
        <f aca="false">IF(COUNTIF(P56:P59,"&gt;0")&gt;=3,3,IF(COUNTIF(P56:P59,"&gt;0")&gt;=2,2,IF(COUNTIF(P56:P59,"&gt;0")&gt;=1,1,0)))</f>
        <v>3</v>
      </c>
      <c r="R60" s="129" t="n">
        <f aca="false">IFERROR(AVERAGEIF(P56:P59,"&gt;0")/3*100,0)</f>
        <v>58.3333333333333</v>
      </c>
      <c r="S60" s="127" t="n">
        <f aca="false">COUNTIF(S56:S59,"&gt;0")</f>
        <v>4</v>
      </c>
      <c r="T60" s="128" t="n">
        <f aca="false">IF(COUNTIF(S56:S59,"&gt;0")&gt;=3,3,IF(COUNTIF(S56:S59,"&gt;0")&gt;=2,2,IF(COUNTIF(S56:S59,"&gt;0")&gt;=1,1,0)))</f>
        <v>3</v>
      </c>
      <c r="U60" s="129" t="n">
        <f aca="false">IFERROR(AVERAGEIF(S56:S59,"&gt;0")/3*100,0)</f>
        <v>58.3333333333333</v>
      </c>
    </row>
  </sheetData>
  <mergeCells count="28">
    <mergeCell ref="A1:X1"/>
    <mergeCell ref="A2:X2"/>
    <mergeCell ref="A4:C4"/>
    <mergeCell ref="H4:X4"/>
    <mergeCell ref="A6:X6"/>
    <mergeCell ref="A7:A10"/>
    <mergeCell ref="A11:B11"/>
    <mergeCell ref="A13:X13"/>
    <mergeCell ref="A14:A17"/>
    <mergeCell ref="A18:B18"/>
    <mergeCell ref="A20:X20"/>
    <mergeCell ref="A21:A24"/>
    <mergeCell ref="A25:B25"/>
    <mergeCell ref="A27:X27"/>
    <mergeCell ref="A28:A31"/>
    <mergeCell ref="A32:B32"/>
    <mergeCell ref="A34:X34"/>
    <mergeCell ref="A35:A38"/>
    <mergeCell ref="A39:B39"/>
    <mergeCell ref="A41:X41"/>
    <mergeCell ref="A42:A45"/>
    <mergeCell ref="A46:B46"/>
    <mergeCell ref="A48:X48"/>
    <mergeCell ref="A49:A52"/>
    <mergeCell ref="A53:B53"/>
    <mergeCell ref="A55:X55"/>
    <mergeCell ref="A56:A59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2026-05-12T05:57:21Z</dcterms:created>
  <dc:creator>openpyxl</dc:creator>
  <dc:description/>
  <dc:language>en-US</dc:language>
  <cp:lastModifiedBy/>
  <dcterms:modified xsi:type="dcterms:W3CDTF">2026-05-12T05:58:04Z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