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lines" sheetId="1" state="visible" r:id="rId3"/>
    <sheet name="CS301" sheetId="2" state="visible" r:id="rId4"/>
    <sheet name="CS302" sheetId="3" state="visible" r:id="rId5"/>
    <sheet name="Course Summary" sheetId="4" state="visible" r:id="rId6"/>
    <sheet name="CS303" sheetId="5" state="visible" r:id="rId7"/>
    <sheet name="CO-PO Mapping" sheetId="6" state="visible" r:id="rId8"/>
    <sheet name="CS304" sheetId="7" state="visible" r:id="rId9"/>
    <sheet name="CS305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<sst xmlns="http://schemas.openxmlformats.org/spreadsheetml/2006/main" count="442" uniqueCount="171">
  <si>
    <t xml:space="preserve">CO–PO MAPPING: CONTACT HOURS METHOD (L-T-P-S)  —  Auto-Calculation Workbook</t>
  </si>
  <si>
    <t xml:space="preserve">Based on: NBA OBE Guidelines  |  Method A: Contact Hours Percentage Method</t>
  </si>
  <si>
    <t xml:space="preserve">MAPPING LEVEL CRITERIA  (Source: CO-PO Mapping Guidelines Document)</t>
  </si>
  <si>
    <t xml:space="preserve">Level</t>
  </si>
  <si>
    <t xml:space="preserve">Symbol</t>
  </si>
  <si>
    <t xml:space="preserve">Contact Hours %</t>
  </si>
  <si>
    <t xml:space="preserve">Meaning</t>
  </si>
  <si>
    <t xml:space="preserve">Example</t>
  </si>
  <si>
    <t xml:space="preserve">No Mapping</t>
  </si>
  <si>
    <t xml:space="preserve">—</t>
  </si>
  <si>
    <t xml:space="preserve">&lt; 5%</t>
  </si>
  <si>
    <t xml:space="preserve">CO does not contribute to PO</t>
  </si>
  <si>
    <t xml:space="preserve">CO coverage &lt; 3.6 hrs in 72 hr course</t>
  </si>
  <si>
    <t xml:space="preserve">Low</t>
  </si>
  <si>
    <t xml:space="preserve">1</t>
  </si>
  <si>
    <t xml:space="preserve">5% – 15%</t>
  </si>
  <si>
    <t xml:space="preserve">Small contribution</t>
  </si>
  <si>
    <t xml:space="preserve">3.6 – 10.8 hrs of 72 total</t>
  </si>
  <si>
    <t xml:space="preserve">Medium</t>
  </si>
  <si>
    <t xml:space="preserve">2</t>
  </si>
  <si>
    <t xml:space="preserve">15% – 25%</t>
  </si>
  <si>
    <t xml:space="preserve">Moderate contribution</t>
  </si>
  <si>
    <t xml:space="preserve">10.8 – 18 hrs of 72 total (e.g. 20.8% = Level 2)</t>
  </si>
  <si>
    <t xml:space="preserve">High</t>
  </si>
  <si>
    <t xml:space="preserve">3</t>
  </si>
  <si>
    <t xml:space="preserve">&gt; 25%</t>
  </si>
  <si>
    <t xml:space="preserve">Strong contribution</t>
  </si>
  <si>
    <t xml:space="preserve">More than 18 hrs of 72 total</t>
  </si>
  <si>
    <t xml:space="preserve">FORMULA USED IN THIS WORKBOOK</t>
  </si>
  <si>
    <t xml:space="preserve">Component</t>
  </si>
  <si>
    <t xml:space="preserve">Formula / Logic</t>
  </si>
  <si>
    <t xml:space="preserve">Notes</t>
  </si>
  <si>
    <t xml:space="preserve">Total Course Hours</t>
  </si>
  <si>
    <t xml:space="preserve">(L × 15 wks) + (T × 15 wks) + (P × 15 wks × 2) + (S × 15 wks)</t>
  </si>
  <si>
    <t xml:space="preserve">CO Total Hours</t>
  </si>
  <si>
    <t xml:space="preserve">CO_L + CO_T + (CO_P × 2) + CO_S</t>
  </si>
  <si>
    <t xml:space="preserve">CO Percentage</t>
  </si>
  <si>
    <t xml:space="preserve">(CO Total Hours / Total Course Hours) × 100</t>
  </si>
  <si>
    <t xml:space="preserve">Key formula for mapping level</t>
  </si>
  <si>
    <t xml:space="preserve">Mapping Level</t>
  </si>
  <si>
    <t xml:space="preserve">IF(CO%&gt;25, 3, IF(CO%&gt;15, 2, IF(CO%&gt;5, 1, 0)))</t>
  </si>
  <si>
    <t xml:space="preserve">0 = No Mapping, 1=Low, 2=Medium, 3=High</t>
  </si>
  <si>
    <t xml:space="preserve">Mapping Symbol</t>
  </si>
  <si>
    <t xml:space="preserve">IF(level=0,"—", IF(level=1,"1", IF(level=2,"2","3")))</t>
  </si>
  <si>
    <t xml:space="preserve">Display value in CO-PO matrix</t>
  </si>
  <si>
    <t xml:space="preserve">HOW TO USE THIS WORKBOOK — STEPS</t>
  </si>
  <si>
    <t xml:space="preserve">1. Open each Course sheet (CS301–CS305)  →  Edit Contact Hours per CO in YELLOW cells (L, T, P, S columns)</t>
  </si>
  <si>
    <t xml:space="preserve">2. Edit course-level L-T-P-S structure in Row 6 (yellow) if your institution uses different weekly contact hours</t>
  </si>
  <si>
    <t xml:space="preserve">3. CO Total Hours, CO%, and Mapping Level ALL auto-calculate instantly</t>
  </si>
  <si>
    <t xml:space="preserve">4. Open 'CO-PO Mapping' sheet  →  Mapping values auto-pulled from all course sheets</t>
  </si>
  <si>
    <t xml:space="preserve">5. 'Course Summary' sheet shows all courses side-by-side with department totals</t>
  </si>
  <si>
    <t xml:space="preserve">6. Change any contact hour → all mapping levels, percentages, and summaries update automatically</t>
  </si>
  <si>
    <t xml:space="preserve">CONTACT HOURS CO–PO MAPPING — Data Structures &amp; Algorithms (CS301)</t>
  </si>
  <si>
    <t xml:space="preserve">Method: CO% = (CO Contact Hours / Total Course Hours) × 100  |  Level: &lt;5%=–  5–15%=1  15–25%=2  &gt;25%=3  |  Edit YELLOW cells only</t>
  </si>
  <si>
    <t xml:space="preserve">Course L-T-P-S Structure</t>
  </si>
  <si>
    <t xml:space="preserve">L (lec/wk)</t>
  </si>
  <si>
    <t xml:space="preserve">T (tut/wk)</t>
  </si>
  <si>
    <t xml:space="preserve">P (prac/wk)</t>
  </si>
  <si>
    <t xml:space="preserve">S (skill/wk)</t>
  </si>
  <si>
    <t xml:space="preserve">Weeks</t>
  </si>
  <si>
    <t xml:space="preserve">Total Hrs</t>
  </si>
  <si>
    <t xml:space="preserve">Weekly Hours →</t>
  </si>
  <si>
    <t xml:space="preserve">CO</t>
  </si>
  <si>
    <t xml:space="preserve">Topic Description</t>
  </si>
  <si>
    <t xml:space="preserve">L hrs</t>
  </si>
  <si>
    <t xml:space="preserve">T hrs</t>
  </si>
  <si>
    <t xml:space="preserve">P hrs</t>
  </si>
  <si>
    <t xml:space="preserve">S hrs</t>
  </si>
  <si>
    <t xml:space="preserve">CO Total
Hours</t>
  </si>
  <si>
    <t xml:space="preserve">CO %
of Total</t>
  </si>
  <si>
    <t xml:space="preserve">Level
(0-3)</t>
  </si>
  <si>
    <t xml:space="preserve">CO–PO MAPPING LEVEL (Auto from CO%)</t>
  </si>
  <si>
    <t xml:space="preserve">CO–PSO MAPPING</t>
  </si>
  <si>
    <t xml:space="preserve">PO1</t>
  </si>
  <si>
    <t xml:space="preserve">PO2</t>
  </si>
  <si>
    <t xml:space="preserve">PO3</t>
  </si>
  <si>
    <t xml:space="preserve">PO4</t>
  </si>
  <si>
    <t xml:space="preserve">PO5</t>
  </si>
  <si>
    <t xml:space="preserve">PO6</t>
  </si>
  <si>
    <t xml:space="preserve">PO7</t>
  </si>
  <si>
    <t xml:space="preserve">PO8</t>
  </si>
  <si>
    <t xml:space="preserve">PO9</t>
  </si>
  <si>
    <t xml:space="preserve">PO10</t>
  </si>
  <si>
    <t xml:space="preserve">PO11</t>
  </si>
  <si>
    <t xml:space="preserve">PO12</t>
  </si>
  <si>
    <t xml:space="preserve">PSO1</t>
  </si>
  <si>
    <t xml:space="preserve">PSO2</t>
  </si>
  <si>
    <t xml:space="preserve">PSO3</t>
  </si>
  <si>
    <t xml:space="preserve">CO1</t>
  </si>
  <si>
    <t xml:space="preserve">Arrays, Linked Lists, Stacks</t>
  </si>
  <si>
    <t xml:space="preserve">CO2</t>
  </si>
  <si>
    <t xml:space="preserve">Trees, Binary Search</t>
  </si>
  <si>
    <t xml:space="preserve">CO3</t>
  </si>
  <si>
    <t xml:space="preserve">Graphs, BFS, DFS</t>
  </si>
  <si>
    <t xml:space="preserve">CO4</t>
  </si>
  <si>
    <t xml:space="preserve">Sorting &amp; Searching</t>
  </si>
  <si>
    <t xml:space="preserve">CO5</t>
  </si>
  <si>
    <t xml:space="preserve">Hashing, Complexity</t>
  </si>
  <si>
    <t xml:space="preserve">COURSE TOTALS</t>
  </si>
  <si>
    <t xml:space="preserve">Verification: Total CO hrs vs Course total hrs</t>
  </si>
  <si>
    <t xml:space="preserve">Sum of CO hours should equal Total Course Hours. Adjust CO L/T/P/S if not matching.</t>
  </si>
  <si>
    <t xml:space="preserve">NOTE: The PO mapping columns (K–Z) show the same level for all POs by default (based on CO%). Faculty should override specific PO columns to 0 (or —) where the CO has no logical connection to that PO. The CO-PO Mapping summary sheet reads from this sheet automatically.</t>
  </si>
  <si>
    <t xml:space="preserve">CONTACT HOURS CO–PO MAPPING — Database Management Systems (CS302)</t>
  </si>
  <si>
    <t xml:space="preserve">ER Model, Relational Algebra</t>
  </si>
  <si>
    <t xml:space="preserve">SQL, DDL, DML</t>
  </si>
  <si>
    <t xml:space="preserve">Normalization</t>
  </si>
  <si>
    <t xml:space="preserve">Transaction Management</t>
  </si>
  <si>
    <t xml:space="preserve">Indexing, Query Optimization</t>
  </si>
  <si>
    <t xml:space="preserve">CONTACT HOURS SUMMARY — ALL COURSES  (L-T-P-S Method)</t>
  </si>
  <si>
    <t xml:space="preserve">All values auto-calculated from course sheets. Edit hours in individual course sheets — this summary updates instantly.</t>
  </si>
  <si>
    <t xml:space="preserve">#</t>
  </si>
  <si>
    <t xml:space="preserve">Course Name</t>
  </si>
  <si>
    <t xml:space="preserve">Code</t>
  </si>
  <si>
    <t xml:space="preserve">Credits</t>
  </si>
  <si>
    <t xml:space="preserve">L</t>
  </si>
  <si>
    <t xml:space="preserve">T</t>
  </si>
  <si>
    <t xml:space="preserve">P</t>
  </si>
  <si>
    <t xml:space="preserve">S</t>
  </si>
  <si>
    <t xml:space="preserve">CS301</t>
  </si>
  <si>
    <t xml:space="preserve">CS302</t>
  </si>
  <si>
    <t xml:space="preserve">CS303</t>
  </si>
  <si>
    <t xml:space="preserve">CS304</t>
  </si>
  <si>
    <t xml:space="preserve">CS305</t>
  </si>
  <si>
    <t xml:space="preserve">Data Structures &amp; Algorithms</t>
  </si>
  <si>
    <t xml:space="preserve">Database Management Systems</t>
  </si>
  <si>
    <t xml:space="preserve">Computer Networks</t>
  </si>
  <si>
    <t xml:space="preserve">Operating Systems</t>
  </si>
  <si>
    <t xml:space="preserve">Machine Learning</t>
  </si>
  <si>
    <t xml:space="preserve">CO-LEVEL CONTACT HOURS BREAKDOWN</t>
  </si>
  <si>
    <t xml:space="preserve">Topic</t>
  </si>
  <si>
    <t xml:space="preserve">CS301
L-T-P-S</t>
  </si>
  <si>
    <t xml:space="preserve">CO%</t>
  </si>
  <si>
    <t xml:space="preserve">CS302
L-T-P-S</t>
  </si>
  <si>
    <t xml:space="preserve">CS303
L-T-P-S</t>
  </si>
  <si>
    <t xml:space="preserve">CS304
L-T-P-S</t>
  </si>
  <si>
    <t xml:space="preserve">CS305
L-T-P-S</t>
  </si>
  <si>
    <t xml:space="preserve">See course sheet</t>
  </si>
  <si>
    <t xml:space="preserve">CO6</t>
  </si>
  <si>
    <t xml:space="preserve">TOTAL COURSE HOURS</t>
  </si>
  <si>
    <t xml:space="preserve">100%</t>
  </si>
  <si>
    <t xml:space="preserve">CONTACT HOURS CO–PO MAPPING — Computer Networks (CS303)</t>
  </si>
  <si>
    <t xml:space="preserve">OSI &amp; TCP/IP Model</t>
  </si>
  <si>
    <t xml:space="preserve">Data Link &amp; MAC Protocols</t>
  </si>
  <si>
    <t xml:space="preserve">Network Layer, IP, Routing</t>
  </si>
  <si>
    <t xml:space="preserve">Transport Layer, TCP/UDP</t>
  </si>
  <si>
    <t xml:space="preserve">Application Layer, DNS/HTTP</t>
  </si>
  <si>
    <t xml:space="preserve">CO–PO MAPPING MATRIX  (Contact Hours Method)  —  All values auto-linked from course sheets</t>
  </si>
  <si>
    <t xml:space="preserve">Level: — = No Mapping  |  1 = Low (5–15%)  |  2 = Medium (15–25%)  |  3 = High (&gt;25%)  |  Edit contact hours in course sheets — this matrix updates automatically</t>
  </si>
  <si>
    <t xml:space="preserve">MAPPING CRITERIA →</t>
  </si>
  <si>
    <t xml:space="preserve">— No Mapping (&lt;5%)</t>
  </si>
  <si>
    <t xml:space="preserve">1 Low (5–15%)</t>
  </si>
  <si>
    <t xml:space="preserve">2 Medium (15–25%)</t>
  </si>
  <si>
    <t xml:space="preserve">3 High (&gt;25%)</t>
  </si>
  <si>
    <t xml:space="preserve">Course</t>
  </si>
  <si>
    <t xml:space="preserve">CO % of
Total Hrs</t>
  </si>
  <si>
    <t xml:space="preserve">PROGRAMME OUTCOMES</t>
  </si>
  <si>
    <t xml:space="preserve">PROGRAMME SPECIFIC OUTCOMES</t>
  </si>
  <si>
    <t xml:space="preserve">PROGRAMME-LEVEL AVERAGE CO%</t>
  </si>
  <si>
    <t xml:space="preserve">CONTACT HOURS CO–PO MAPPING — Operating Systems (CS304)</t>
  </si>
  <si>
    <t xml:space="preserve">Processes, Threads, Scheduling</t>
  </si>
  <si>
    <t xml:space="preserve">Synchronization, Deadlocks</t>
  </si>
  <si>
    <t xml:space="preserve">Memory Management, Paging</t>
  </si>
  <si>
    <t xml:space="preserve">File Systems</t>
  </si>
  <si>
    <t xml:space="preserve">I/O Management</t>
  </si>
  <si>
    <t xml:space="preserve">CONTACT HOURS CO–PO MAPPING — Machine Learning (CS305)</t>
  </si>
  <si>
    <t xml:space="preserve">Supervised Learning Basics</t>
  </si>
  <si>
    <t xml:space="preserve">Regression &amp; Classification</t>
  </si>
  <si>
    <t xml:space="preserve">Neural Networks, Deep Learning</t>
  </si>
  <si>
    <t xml:space="preserve">Unsupervised Learning, Clustering</t>
  </si>
  <si>
    <t xml:space="preserve">Model Evaluation &amp; Optimization</t>
  </si>
  <si>
    <t xml:space="preserve">Applied ML Projects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</si>
</sst>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0.00"/>
    <numFmt numFmtId="168" formatCode="@"/>
    <numFmt numFmtId="169" formatCode="0.0\%"/>
    <numFmt numFmtId="170" formatCode="0.00\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375623"/>
      <name val="Arial"/>
      <family val="0"/>
      <charset val="1"/>
    </font>
    <font>
      <i val="true"/>
      <sz val="8"/>
      <color rgb="FF40404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0"/>
      <color rgb="FF40404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E0F2F1"/>
      </patternFill>
    </fill>
    <fill>
      <patternFill patternType="solid">
        <fgColor rgb="FFFCE4D6"/>
        <bgColor rgb="FFFFF2CC"/>
      </patternFill>
    </fill>
    <fill>
      <patternFill patternType="solid">
        <fgColor rgb="FFFFF8DC"/>
        <bgColor rgb="FFFFF2CC"/>
      </patternFill>
    </fill>
    <fill>
      <patternFill patternType="solid">
        <fgColor rgb="FFE2EFDA"/>
        <bgColor rgb="FFE0F2F1"/>
      </patternFill>
    </fill>
    <fill>
      <patternFill patternType="solid">
        <fgColor rgb="FF00695C"/>
        <bgColor rgb="FF008080"/>
      </patternFill>
    </fill>
    <fill>
      <patternFill patternType="solid">
        <fgColor rgb="FFFFFFFF"/>
        <bgColor rgb="FFFFF8DC"/>
      </patternFill>
    </fill>
    <fill>
      <patternFill patternType="solid">
        <fgColor rgb="FF375623"/>
        <bgColor rgb="FF404040"/>
      </patternFill>
    </fill>
    <fill>
      <patternFill patternType="solid">
        <fgColor rgb="FFFFF2CC"/>
        <bgColor rgb="FFFFF8DC"/>
      </patternFill>
    </fill>
    <fill>
      <patternFill patternType="solid">
        <fgColor rgb="FFBDD7EE"/>
        <bgColor rgb="FF99CCFF"/>
      </patternFill>
    </fill>
    <fill>
      <patternFill patternType="solid">
        <fgColor rgb="FFE0F2F1"/>
        <bgColor rgb="FFDEEAF1"/>
      </patternFill>
    </fill>
    <fill>
      <patternFill patternType="solid">
        <fgColor rgb="FFDEEAF1"/>
        <bgColor rgb="FFE0F2F1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thin">
        <color rgb="FF595959"/>
      </top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>
        <color rgb="FF595959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F2F2F2"/>
      <rgbColor rgb="FF808080"/>
      <rgbColor rgb="FF9999FF"/>
      <rgbColor rgb="FF7030A0"/>
      <rgbColor rgb="FFFFF8DC"/>
      <rgbColor rgb="FFE0F2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75623"/>
      <rgbColor rgb="FF993300"/>
      <rgbColor rgb="FF993366"/>
      <rgbColor rgb="FF55555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8" min="5" style="1" width="18"/>
  </cols>
  <sheetData>
    <row r="1" customFormat="false" ht="4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9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9.5" hidden="false" customHeight="true" outlineLevel="0" collapsed="false">
      <c r="A6" s="6" t="s">
        <v>8</v>
      </c>
      <c r="B6" s="7" t="s">
        <v>9</v>
      </c>
      <c r="C6" s="6" t="s">
        <v>10</v>
      </c>
      <c r="D6" s="8" t="s">
        <v>11</v>
      </c>
      <c r="E6" s="9" t="s">
        <v>12</v>
      </c>
      <c r="F6" s="9"/>
      <c r="G6" s="9"/>
      <c r="H6" s="9"/>
    </row>
    <row r="7" customFormat="false" ht="19.5" hidden="false" customHeight="true" outlineLevel="0" collapsed="false">
      <c r="A7" s="10" t="s">
        <v>13</v>
      </c>
      <c r="B7" s="11" t="s">
        <v>14</v>
      </c>
      <c r="C7" s="10" t="s">
        <v>15</v>
      </c>
      <c r="D7" s="12" t="s">
        <v>16</v>
      </c>
      <c r="E7" s="13" t="s">
        <v>17</v>
      </c>
      <c r="F7" s="13"/>
      <c r="G7" s="13"/>
      <c r="H7" s="13"/>
    </row>
    <row r="8" customFormat="false" ht="19.5" hidden="false" customHeight="true" outlineLevel="0" collapsed="false">
      <c r="A8" s="14" t="s">
        <v>18</v>
      </c>
      <c r="B8" s="15" t="s">
        <v>19</v>
      </c>
      <c r="C8" s="14" t="s">
        <v>20</v>
      </c>
      <c r="D8" s="16" t="s">
        <v>21</v>
      </c>
      <c r="E8" s="17" t="s">
        <v>22</v>
      </c>
      <c r="F8" s="17"/>
      <c r="G8" s="17"/>
      <c r="H8" s="17"/>
    </row>
    <row r="9" customFormat="false" ht="19.5" hidden="false" customHeight="true" outlineLevel="0" collapsed="false">
      <c r="A9" s="18" t="s">
        <v>23</v>
      </c>
      <c r="B9" s="19" t="s">
        <v>24</v>
      </c>
      <c r="C9" s="18" t="s">
        <v>25</v>
      </c>
      <c r="D9" s="20" t="s">
        <v>26</v>
      </c>
      <c r="E9" s="21" t="s">
        <v>27</v>
      </c>
      <c r="F9" s="21"/>
      <c r="G9" s="21"/>
      <c r="H9" s="21"/>
    </row>
    <row r="11" customFormat="false" ht="21.75" hidden="false" customHeight="true" outlineLevel="0" collapsed="false">
      <c r="A11" s="22" t="s">
        <v>28</v>
      </c>
      <c r="B11" s="22"/>
      <c r="C11" s="22"/>
      <c r="D11" s="22"/>
      <c r="E11" s="22"/>
      <c r="F11" s="22"/>
      <c r="G11" s="22"/>
      <c r="H11" s="22"/>
    </row>
    <row r="12" customFormat="false" ht="18" hidden="false" customHeight="true" outlineLevel="0" collapsed="false">
      <c r="A12" s="5" t="s">
        <v>29</v>
      </c>
      <c r="B12" s="5" t="s">
        <v>30</v>
      </c>
      <c r="C12" s="5" t="s">
        <v>31</v>
      </c>
    </row>
    <row r="13" customFormat="false" ht="19.5" hidden="false" customHeight="true" outlineLevel="0" collapsed="false">
      <c r="A13" s="23" t="s">
        <v>32</v>
      </c>
      <c r="B13" s="24" t="s">
        <v>33</v>
      </c>
      <c r="C13" s="24"/>
    </row>
    <row r="14" customFormat="false" ht="19.5" hidden="false" customHeight="true" outlineLevel="0" collapsed="false">
      <c r="A14" s="25" t="s">
        <v>34</v>
      </c>
      <c r="B14" s="26" t="s">
        <v>35</v>
      </c>
      <c r="C14" s="26"/>
    </row>
    <row r="15" customFormat="false" ht="19.5" hidden="false" customHeight="true" outlineLevel="0" collapsed="false">
      <c r="A15" s="23" t="s">
        <v>36</v>
      </c>
      <c r="B15" s="27" t="s">
        <v>37</v>
      </c>
      <c r="C15" s="28" t="s">
        <v>38</v>
      </c>
    </row>
    <row r="16" customFormat="false" ht="19.5" hidden="false" customHeight="true" outlineLevel="0" collapsed="false">
      <c r="A16" s="25" t="s">
        <v>39</v>
      </c>
      <c r="B16" s="29" t="s">
        <v>40</v>
      </c>
      <c r="C16" s="30" t="s">
        <v>41</v>
      </c>
    </row>
    <row r="17" customFormat="false" ht="19.5" hidden="false" customHeight="true" outlineLevel="0" collapsed="false">
      <c r="A17" s="23" t="s">
        <v>42</v>
      </c>
      <c r="B17" s="27" t="s">
        <v>43</v>
      </c>
      <c r="C17" s="28" t="s">
        <v>44</v>
      </c>
    </row>
    <row r="19" customFormat="false" ht="21.75" hidden="false" customHeight="true" outlineLevel="0" collapsed="false">
      <c r="A19" s="31" t="s">
        <v>45</v>
      </c>
      <c r="B19" s="31"/>
      <c r="C19" s="31"/>
      <c r="D19" s="31"/>
      <c r="E19" s="31"/>
      <c r="F19" s="31"/>
      <c r="G19" s="31"/>
      <c r="H19" s="31"/>
    </row>
    <row r="20" customFormat="false" ht="18" hidden="false" customHeight="true" outlineLevel="0" collapsed="false">
      <c r="A20" s="32" t="s">
        <v>46</v>
      </c>
      <c r="B20" s="32"/>
      <c r="C20" s="32"/>
      <c r="D20" s="32"/>
      <c r="E20" s="32"/>
      <c r="F20" s="32"/>
      <c r="G20" s="32"/>
      <c r="H20" s="32"/>
    </row>
    <row r="21" customFormat="false" ht="18" hidden="false" customHeight="true" outlineLevel="0" collapsed="false">
      <c r="A21" s="33" t="s">
        <v>47</v>
      </c>
      <c r="B21" s="33"/>
      <c r="C21" s="33"/>
      <c r="D21" s="33"/>
      <c r="E21" s="33"/>
      <c r="F21" s="33"/>
      <c r="G21" s="33"/>
      <c r="H21" s="33"/>
    </row>
    <row r="22" customFormat="false" ht="18" hidden="false" customHeight="true" outlineLevel="0" collapsed="false">
      <c r="A22" s="32" t="s">
        <v>48</v>
      </c>
      <c r="B22" s="32"/>
      <c r="C22" s="32"/>
      <c r="D22" s="32"/>
      <c r="E22" s="32"/>
      <c r="F22" s="32"/>
      <c r="G22" s="32"/>
      <c r="H22" s="32"/>
    </row>
    <row r="23" customFormat="false" ht="18" hidden="false" customHeight="true" outlineLevel="0" collapsed="false">
      <c r="A23" s="33" t="s">
        <v>49</v>
      </c>
      <c r="B23" s="33"/>
      <c r="C23" s="33"/>
      <c r="D23" s="33"/>
      <c r="E23" s="33"/>
      <c r="F23" s="33"/>
      <c r="G23" s="33"/>
      <c r="H23" s="33"/>
    </row>
    <row r="24" customFormat="false" ht="18" hidden="false" customHeight="true" outlineLevel="0" collapsed="false">
      <c r="A24" s="32" t="s">
        <v>50</v>
      </c>
      <c r="B24" s="32"/>
      <c r="C24" s="32"/>
      <c r="D24" s="32"/>
      <c r="E24" s="32"/>
      <c r="F24" s="32"/>
      <c r="G24" s="32"/>
      <c r="H24" s="32"/>
    </row>
    <row r="25" customFormat="false" ht="18" hidden="false" customHeight="true" outlineLevel="0" collapsed="false">
      <c r="A25" s="33" t="s">
        <v>51</v>
      </c>
      <c r="B25" s="33"/>
      <c r="C25" s="33"/>
      <c r="D25" s="33"/>
      <c r="E25" s="33"/>
      <c r="F25" s="33"/>
      <c r="G25" s="33"/>
      <c r="H25" s="33"/>
    </row>
  </sheetData>
  <mergeCells count="17">
    <mergeCell ref="A1:H1"/>
    <mergeCell ref="A2:H2"/>
    <mergeCell ref="A4:H4"/>
    <mergeCell ref="E6:H6"/>
    <mergeCell ref="E7:H7"/>
    <mergeCell ref="E8:H8"/>
    <mergeCell ref="E9:H9"/>
    <mergeCell ref="A11:H11"/>
    <mergeCell ref="B13:C13"/>
    <mergeCell ref="B14:C14"/>
    <mergeCell ref="A19:H19"/>
    <mergeCell ref="A20:H20"/>
    <mergeCell ref="A21:H21"/>
    <mergeCell ref="A22:H22"/>
    <mergeCell ref="A23:H23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"/>
    <col collapsed="false" customWidth="true" hidden="false" outlineLevel="0" max="6" min="3" style="1" width="8"/>
    <col collapsed="false" customWidth="true" hidden="false" outlineLevel="0" max="8" min="7" style="1" width="10"/>
    <col collapsed="false" customWidth="true" hidden="false" outlineLevel="0" max="10" min="9" style="1" width="9"/>
    <col collapsed="false" customWidth="true" hidden="false" outlineLevel="0" max="25" min="11" style="1" width="8"/>
  </cols>
  <sheetData>
    <row r="1" customFormat="false" ht="36" hidden="false" customHeight="true" outlineLevel="0" collapsed="false">
      <c r="A1" s="34" t="s">
        <v>52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customFormat="false" ht="13.5" hidden="false" customHeight="true" outlineLevel="0" collapsed="false">
      <c r="A2" s="35" t="s">
        <v>53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customFormat="false" ht="4.5" hidden="false" customHeight="true" outlineLevel="0" collapsed="false"/>
    <row r="4" customFormat="false" ht="21.75" hidden="false" customHeight="true" outlineLevel="0" collapsed="false">
      <c r="A4" s="36" t="s">
        <v>54</v>
      </c>
      <c r="B4" s="36"/>
      <c r="C4" s="37" t="s">
        <v>55</v>
      </c>
      <c r="D4" s="37" t="s">
        <v>56</v>
      </c>
      <c r="E4" s="37" t="s">
        <v>57</v>
      </c>
      <c r="F4" s="37" t="s">
        <v>58</v>
      </c>
      <c r="G4" s="37" t="s">
        <v>59</v>
      </c>
      <c r="H4" s="37" t="s">
        <v>60</v>
      </c>
    </row>
    <row r="5" customFormat="false" ht="19.5" hidden="false" customHeight="true" outlineLevel="0" collapsed="false">
      <c r="A5" s="36" t="s">
        <v>61</v>
      </c>
      <c r="B5" s="36"/>
      <c r="C5" s="38" t="n">
        <v>3</v>
      </c>
      <c r="D5" s="38" t="n">
        <v>1</v>
      </c>
      <c r="E5" s="38" t="n">
        <v>2</v>
      </c>
      <c r="F5" s="38" t="n">
        <v>0</v>
      </c>
      <c r="G5" s="38" t="n">
        <v>15</v>
      </c>
      <c r="H5" s="39" t="n">
        <f aca="false">C5*G5+D5*G5+E5*G5*2+F5*G5</f>
        <v>120</v>
      </c>
    </row>
    <row r="6" customFormat="false" ht="7.5" hidden="false" customHeight="true" outlineLevel="0" collapsed="false"/>
    <row r="7" customFormat="false" ht="25.5" hidden="false" customHeight="true" outlineLevel="0" collapsed="false">
      <c r="A7" s="40" t="s">
        <v>62</v>
      </c>
      <c r="B7" s="40" t="s">
        <v>63</v>
      </c>
      <c r="C7" s="41" t="s">
        <v>64</v>
      </c>
      <c r="D7" s="41" t="s">
        <v>65</v>
      </c>
      <c r="E7" s="41" t="s">
        <v>66</v>
      </c>
      <c r="F7" s="41" t="s">
        <v>67</v>
      </c>
      <c r="G7" s="42" t="s">
        <v>68</v>
      </c>
      <c r="H7" s="42" t="s">
        <v>69</v>
      </c>
      <c r="I7" s="43" t="s">
        <v>70</v>
      </c>
      <c r="J7" s="43" t="s">
        <v>4</v>
      </c>
      <c r="K7" s="44" t="s">
        <v>71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5" t="s">
        <v>72</v>
      </c>
      <c r="X7" s="45"/>
      <c r="Y7" s="45"/>
    </row>
    <row r="8" customFormat="false" ht="19.5" hidden="false" customHeight="true" outlineLevel="0" collapsed="false">
      <c r="A8" s="40"/>
      <c r="B8" s="40"/>
      <c r="C8" s="40"/>
      <c r="D8" s="40"/>
      <c r="E8" s="40"/>
      <c r="F8" s="40"/>
      <c r="G8" s="40"/>
      <c r="H8" s="40"/>
      <c r="I8" s="40"/>
      <c r="J8" s="40"/>
      <c r="K8" s="46" t="s">
        <v>73</v>
      </c>
      <c r="L8" s="46" t="s">
        <v>74</v>
      </c>
      <c r="M8" s="46" t="s">
        <v>75</v>
      </c>
      <c r="N8" s="46" t="s">
        <v>76</v>
      </c>
      <c r="O8" s="46" t="s">
        <v>77</v>
      </c>
      <c r="P8" s="46" t="s">
        <v>78</v>
      </c>
      <c r="Q8" s="46" t="s">
        <v>79</v>
      </c>
      <c r="R8" s="46" t="s">
        <v>80</v>
      </c>
      <c r="S8" s="46" t="s">
        <v>81</v>
      </c>
      <c r="T8" s="46" t="s">
        <v>82</v>
      </c>
      <c r="U8" s="46" t="s">
        <v>83</v>
      </c>
      <c r="V8" s="46" t="s">
        <v>84</v>
      </c>
      <c r="W8" s="47" t="s">
        <v>85</v>
      </c>
      <c r="X8" s="47" t="s">
        <v>86</v>
      </c>
      <c r="Y8" s="47" t="s">
        <v>87</v>
      </c>
    </row>
    <row r="9" customFormat="false" ht="19.5" hidden="false" customHeight="true" outlineLevel="0" collapsed="false">
      <c r="A9" s="48" t="s">
        <v>88</v>
      </c>
      <c r="B9" s="28" t="s">
        <v>89</v>
      </c>
      <c r="C9" s="49" t="n">
        <v>10</v>
      </c>
      <c r="D9" s="49" t="n">
        <v>2</v>
      </c>
      <c r="E9" s="49" t="n">
        <v>4</v>
      </c>
      <c r="F9" s="49" t="n">
        <v>0</v>
      </c>
      <c r="G9" s="50" t="n">
        <f aca="false">C9+D9+E9*2+F9</f>
        <v>20</v>
      </c>
      <c r="H9" s="51" t="n">
        <f aca="false">IFERROR(G9/H$5*100,0)</f>
        <v>16.6666666666667</v>
      </c>
      <c r="I9" s="52" t="n">
        <f aca="false">IFERROR(IF(H9&gt;25,3,IF(H9&gt;15,2,IF(H9&gt;5,1,0))),0)</f>
        <v>2</v>
      </c>
      <c r="J9" s="53" t="str">
        <f aca="false">IF(I9=0,"—",IF(I9=1,"1",IF(I9=2,"2","3")))</f>
        <v>2</v>
      </c>
      <c r="K9" s="54" t="n">
        <f aca="false">IF(I9=0,"—",I9)</f>
        <v>2</v>
      </c>
      <c r="L9" s="54" t="n">
        <f aca="false">IF(I9=0,"—",I9)</f>
        <v>2</v>
      </c>
      <c r="M9" s="54" t="n">
        <f aca="false">IF(I9=0,"—",I9)</f>
        <v>2</v>
      </c>
      <c r="N9" s="54" t="n">
        <f aca="false">IF(I9=0,"—",I9)</f>
        <v>2</v>
      </c>
      <c r="O9" s="54" t="n">
        <f aca="false">IF(I9=0,"—",I9)</f>
        <v>2</v>
      </c>
      <c r="P9" s="54" t="n">
        <f aca="false">IF(I9=0,"—",I9)</f>
        <v>2</v>
      </c>
      <c r="Q9" s="54" t="n">
        <f aca="false">IF(I9=0,"—",I9)</f>
        <v>2</v>
      </c>
      <c r="R9" s="54" t="n">
        <f aca="false">IF(I9=0,"—",I9)</f>
        <v>2</v>
      </c>
      <c r="S9" s="54" t="n">
        <f aca="false">IF(I9=0,"—",I9)</f>
        <v>2</v>
      </c>
      <c r="T9" s="54" t="n">
        <f aca="false">IF(I9=0,"—",I9)</f>
        <v>2</v>
      </c>
      <c r="U9" s="54" t="n">
        <f aca="false">IF(I9=0,"—",I9)</f>
        <v>2</v>
      </c>
      <c r="V9" s="54" t="n">
        <f aca="false">IF(I9=0,"—",I9)</f>
        <v>2</v>
      </c>
      <c r="W9" s="54" t="n">
        <f aca="false">IF(I9=0,"—",I9)</f>
        <v>2</v>
      </c>
      <c r="X9" s="54" t="n">
        <f aca="false">IF(I9=0,"—",I9)</f>
        <v>2</v>
      </c>
      <c r="Y9" s="54" t="n">
        <f aca="false">IF(I9=0,"—",I9)</f>
        <v>2</v>
      </c>
    </row>
    <row r="10" customFormat="false" ht="19.5" hidden="false" customHeight="true" outlineLevel="0" collapsed="false">
      <c r="A10" s="48" t="s">
        <v>90</v>
      </c>
      <c r="B10" s="30" t="s">
        <v>91</v>
      </c>
      <c r="C10" s="49" t="n">
        <v>8</v>
      </c>
      <c r="D10" s="49" t="n">
        <v>2</v>
      </c>
      <c r="E10" s="49" t="n">
        <v>4</v>
      </c>
      <c r="F10" s="49" t="n">
        <v>0</v>
      </c>
      <c r="G10" s="50" t="n">
        <f aca="false">C10+D10+E10*2+F10</f>
        <v>18</v>
      </c>
      <c r="H10" s="51" t="n">
        <f aca="false">IFERROR(G10/H$5*100,0)</f>
        <v>15</v>
      </c>
      <c r="I10" s="52" t="n">
        <f aca="false">IFERROR(IF(H10&gt;25,3,IF(H10&gt;15,2,IF(H10&gt;5,1,0))),0)</f>
        <v>1</v>
      </c>
      <c r="J10" s="53" t="str">
        <f aca="false">IF(I10=0,"—",IF(I10=1,"1",IF(I10=2,"2","3")))</f>
        <v>1</v>
      </c>
      <c r="K10" s="55" t="n">
        <f aca="false">IF(I10=0,"—",I10)</f>
        <v>1</v>
      </c>
      <c r="L10" s="55" t="n">
        <f aca="false">IF(I10=0,"—",I10)</f>
        <v>1</v>
      </c>
      <c r="M10" s="55" t="n">
        <f aca="false">IF(I10=0,"—",I10)</f>
        <v>1</v>
      </c>
      <c r="N10" s="55" t="n">
        <f aca="false">IF(I10=0,"—",I10)</f>
        <v>1</v>
      </c>
      <c r="O10" s="55" t="n">
        <f aca="false">IF(I10=0,"—",I10)</f>
        <v>1</v>
      </c>
      <c r="P10" s="55" t="n">
        <f aca="false">IF(I10=0,"—",I10)</f>
        <v>1</v>
      </c>
      <c r="Q10" s="55" t="n">
        <f aca="false">IF(I10=0,"—",I10)</f>
        <v>1</v>
      </c>
      <c r="R10" s="55" t="n">
        <f aca="false">IF(I10=0,"—",I10)</f>
        <v>1</v>
      </c>
      <c r="S10" s="55" t="n">
        <f aca="false">IF(I10=0,"—",I10)</f>
        <v>1</v>
      </c>
      <c r="T10" s="55" t="n">
        <f aca="false">IF(I10=0,"—",I10)</f>
        <v>1</v>
      </c>
      <c r="U10" s="55" t="n">
        <f aca="false">IF(I10=0,"—",I10)</f>
        <v>1</v>
      </c>
      <c r="V10" s="55" t="n">
        <f aca="false">IF(I10=0,"—",I10)</f>
        <v>1</v>
      </c>
      <c r="W10" s="55" t="n">
        <f aca="false">IF(I10=0,"—",I10)</f>
        <v>1</v>
      </c>
      <c r="X10" s="55" t="n">
        <f aca="false">IF(I10=0,"—",I10)</f>
        <v>1</v>
      </c>
      <c r="Y10" s="55" t="n">
        <f aca="false">IF(I10=0,"—",I10)</f>
        <v>1</v>
      </c>
    </row>
    <row r="11" customFormat="false" ht="19.5" hidden="false" customHeight="true" outlineLevel="0" collapsed="false">
      <c r="A11" s="48" t="s">
        <v>92</v>
      </c>
      <c r="B11" s="28" t="s">
        <v>93</v>
      </c>
      <c r="C11" s="49" t="n">
        <v>7</v>
      </c>
      <c r="D11" s="49" t="n">
        <v>1</v>
      </c>
      <c r="E11" s="49" t="n">
        <v>4</v>
      </c>
      <c r="F11" s="49" t="n">
        <v>0</v>
      </c>
      <c r="G11" s="50" t="n">
        <f aca="false">C11+D11+E11*2+F11</f>
        <v>16</v>
      </c>
      <c r="H11" s="51" t="n">
        <f aca="false">IFERROR(G11/H$5*100,0)</f>
        <v>13.3333333333333</v>
      </c>
      <c r="I11" s="52" t="n">
        <f aca="false">IFERROR(IF(H11&gt;25,3,IF(H11&gt;15,2,IF(H11&gt;5,1,0))),0)</f>
        <v>1</v>
      </c>
      <c r="J11" s="53" t="str">
        <f aca="false">IF(I11=0,"—",IF(I11=1,"1",IF(I11=2,"2","3")))</f>
        <v>1</v>
      </c>
      <c r="K11" s="54" t="n">
        <f aca="false">IF(I11=0,"—",I11)</f>
        <v>1</v>
      </c>
      <c r="L11" s="54" t="n">
        <f aca="false">IF(I11=0,"—",I11)</f>
        <v>1</v>
      </c>
      <c r="M11" s="54" t="n">
        <f aca="false">IF(I11=0,"—",I11)</f>
        <v>1</v>
      </c>
      <c r="N11" s="54" t="n">
        <f aca="false">IF(I11=0,"—",I11)</f>
        <v>1</v>
      </c>
      <c r="O11" s="54" t="n">
        <f aca="false">IF(I11=0,"—",I11)</f>
        <v>1</v>
      </c>
      <c r="P11" s="54" t="n">
        <f aca="false">IF(I11=0,"—",I11)</f>
        <v>1</v>
      </c>
      <c r="Q11" s="54" t="n">
        <f aca="false">IF(I11=0,"—",I11)</f>
        <v>1</v>
      </c>
      <c r="R11" s="54" t="n">
        <f aca="false">IF(I11=0,"—",I11)</f>
        <v>1</v>
      </c>
      <c r="S11" s="54" t="n">
        <f aca="false">IF(I11=0,"—",I11)</f>
        <v>1</v>
      </c>
      <c r="T11" s="54" t="n">
        <f aca="false">IF(I11=0,"—",I11)</f>
        <v>1</v>
      </c>
      <c r="U11" s="54" t="n">
        <f aca="false">IF(I11=0,"—",I11)</f>
        <v>1</v>
      </c>
      <c r="V11" s="54" t="n">
        <f aca="false">IF(I11=0,"—",I11)</f>
        <v>1</v>
      </c>
      <c r="W11" s="54" t="n">
        <f aca="false">IF(I11=0,"—",I11)</f>
        <v>1</v>
      </c>
      <c r="X11" s="54" t="n">
        <f aca="false">IF(I11=0,"—",I11)</f>
        <v>1</v>
      </c>
      <c r="Y11" s="54" t="n">
        <f aca="false">IF(I11=0,"—",I11)</f>
        <v>1</v>
      </c>
    </row>
    <row r="12" customFormat="false" ht="19.5" hidden="false" customHeight="true" outlineLevel="0" collapsed="false">
      <c r="A12" s="48" t="s">
        <v>94</v>
      </c>
      <c r="B12" s="30" t="s">
        <v>95</v>
      </c>
      <c r="C12" s="49" t="n">
        <v>8</v>
      </c>
      <c r="D12" s="49" t="n">
        <v>1</v>
      </c>
      <c r="E12" s="49" t="n">
        <v>2</v>
      </c>
      <c r="F12" s="49" t="n">
        <v>0</v>
      </c>
      <c r="G12" s="50" t="n">
        <f aca="false">C12+D12+E12*2+F12</f>
        <v>13</v>
      </c>
      <c r="H12" s="51" t="n">
        <f aca="false">IFERROR(G12/H$5*100,0)</f>
        <v>10.8333333333333</v>
      </c>
      <c r="I12" s="52" t="n">
        <f aca="false">IFERROR(IF(H12&gt;25,3,IF(H12&gt;15,2,IF(H12&gt;5,1,0))),0)</f>
        <v>1</v>
      </c>
      <c r="J12" s="53" t="str">
        <f aca="false">IF(I12=0,"—",IF(I12=1,"1",IF(I12=2,"2","3")))</f>
        <v>1</v>
      </c>
      <c r="K12" s="55" t="n">
        <f aca="false">IF(I12=0,"—",I12)</f>
        <v>1</v>
      </c>
      <c r="L12" s="55" t="n">
        <f aca="false">IF(I12=0,"—",I12)</f>
        <v>1</v>
      </c>
      <c r="M12" s="55" t="n">
        <f aca="false">IF(I12=0,"—",I12)</f>
        <v>1</v>
      </c>
      <c r="N12" s="55" t="n">
        <f aca="false">IF(I12=0,"—",I12)</f>
        <v>1</v>
      </c>
      <c r="O12" s="55" t="n">
        <f aca="false">IF(I12=0,"—",I12)</f>
        <v>1</v>
      </c>
      <c r="P12" s="55" t="n">
        <f aca="false">IF(I12=0,"—",I12)</f>
        <v>1</v>
      </c>
      <c r="Q12" s="55" t="n">
        <f aca="false">IF(I12=0,"—",I12)</f>
        <v>1</v>
      </c>
      <c r="R12" s="55" t="n">
        <f aca="false">IF(I12=0,"—",I12)</f>
        <v>1</v>
      </c>
      <c r="S12" s="55" t="n">
        <f aca="false">IF(I12=0,"—",I12)</f>
        <v>1</v>
      </c>
      <c r="T12" s="55" t="n">
        <f aca="false">IF(I12=0,"—",I12)</f>
        <v>1</v>
      </c>
      <c r="U12" s="55" t="n">
        <f aca="false">IF(I12=0,"—",I12)</f>
        <v>1</v>
      </c>
      <c r="V12" s="55" t="n">
        <f aca="false">IF(I12=0,"—",I12)</f>
        <v>1</v>
      </c>
      <c r="W12" s="55" t="n">
        <f aca="false">IF(I12=0,"—",I12)</f>
        <v>1</v>
      </c>
      <c r="X12" s="55" t="n">
        <f aca="false">IF(I12=0,"—",I12)</f>
        <v>1</v>
      </c>
      <c r="Y12" s="55" t="n">
        <f aca="false">IF(I12=0,"—",I12)</f>
        <v>1</v>
      </c>
    </row>
    <row r="13" customFormat="false" ht="19.5" hidden="false" customHeight="true" outlineLevel="0" collapsed="false">
      <c r="A13" s="48" t="s">
        <v>96</v>
      </c>
      <c r="B13" s="28" t="s">
        <v>97</v>
      </c>
      <c r="C13" s="49" t="n">
        <v>7</v>
      </c>
      <c r="D13" s="49" t="n">
        <v>2</v>
      </c>
      <c r="E13" s="49" t="n">
        <v>2</v>
      </c>
      <c r="F13" s="49" t="n">
        <v>0</v>
      </c>
      <c r="G13" s="50" t="n">
        <f aca="false">C13+D13+E13*2+F13</f>
        <v>13</v>
      </c>
      <c r="H13" s="51" t="n">
        <f aca="false">IFERROR(G13/H$5*100,0)</f>
        <v>10.8333333333333</v>
      </c>
      <c r="I13" s="52" t="n">
        <f aca="false">IFERROR(IF(H13&gt;25,3,IF(H13&gt;15,2,IF(H13&gt;5,1,0))),0)</f>
        <v>1</v>
      </c>
      <c r="J13" s="53" t="str">
        <f aca="false">IF(I13=0,"—",IF(I13=1,"1",IF(I13=2,"2","3")))</f>
        <v>1</v>
      </c>
      <c r="K13" s="54" t="n">
        <f aca="false">IF(I13=0,"—",I13)</f>
        <v>1</v>
      </c>
      <c r="L13" s="54" t="n">
        <f aca="false">IF(I13=0,"—",I13)</f>
        <v>1</v>
      </c>
      <c r="M13" s="54" t="n">
        <f aca="false">IF(I13=0,"—",I13)</f>
        <v>1</v>
      </c>
      <c r="N13" s="54" t="n">
        <f aca="false">IF(I13=0,"—",I13)</f>
        <v>1</v>
      </c>
      <c r="O13" s="54" t="n">
        <f aca="false">IF(I13=0,"—",I13)</f>
        <v>1</v>
      </c>
      <c r="P13" s="54" t="n">
        <f aca="false">IF(I13=0,"—",I13)</f>
        <v>1</v>
      </c>
      <c r="Q13" s="54" t="n">
        <f aca="false">IF(I13=0,"—",I13)</f>
        <v>1</v>
      </c>
      <c r="R13" s="54" t="n">
        <f aca="false">IF(I13=0,"—",I13)</f>
        <v>1</v>
      </c>
      <c r="S13" s="54" t="n">
        <f aca="false">IF(I13=0,"—",I13)</f>
        <v>1</v>
      </c>
      <c r="T13" s="54" t="n">
        <f aca="false">IF(I13=0,"—",I13)</f>
        <v>1</v>
      </c>
      <c r="U13" s="54" t="n">
        <f aca="false">IF(I13=0,"—",I13)</f>
        <v>1</v>
      </c>
      <c r="V13" s="54" t="n">
        <f aca="false">IF(I13=0,"—",I13)</f>
        <v>1</v>
      </c>
      <c r="W13" s="54" t="n">
        <f aca="false">IF(I13=0,"—",I13)</f>
        <v>1</v>
      </c>
      <c r="X13" s="54" t="n">
        <f aca="false">IF(I13=0,"—",I13)</f>
        <v>1</v>
      </c>
      <c r="Y13" s="54" t="n">
        <f aca="false">IF(I13=0,"—",I13)</f>
        <v>1</v>
      </c>
    </row>
    <row r="15" customFormat="false" ht="21.75" hidden="false" customHeight="true" outlineLevel="0" collapsed="false">
      <c r="A15" s="56" t="s">
        <v>98</v>
      </c>
      <c r="B15" s="56"/>
      <c r="C15" s="57" t="n">
        <f aca="false">SUM(C9:C13)</f>
        <v>40</v>
      </c>
      <c r="D15" s="57" t="n">
        <f aca="false">SUM(D9:D13)</f>
        <v>8</v>
      </c>
      <c r="E15" s="57" t="n">
        <f aca="false">SUM(E9:E13)</f>
        <v>16</v>
      </c>
      <c r="F15" s="57" t="n">
        <f aca="false">SUM(F9:F13)</f>
        <v>0</v>
      </c>
      <c r="G15" s="57" t="n">
        <f aca="false">SUM(G9:G13)</f>
        <v>80</v>
      </c>
      <c r="H15" s="57" t="n">
        <f aca="false">SUM(H9:H13)</f>
        <v>66.6666666666667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</row>
    <row r="17" customFormat="false" ht="19.5" hidden="false" customHeight="true" outlineLevel="0" collapsed="false">
      <c r="A17" s="59" t="s">
        <v>99</v>
      </c>
      <c r="B17" s="59"/>
      <c r="C17" s="59"/>
      <c r="D17" s="59"/>
      <c r="E17" s="59"/>
      <c r="F17" s="59"/>
      <c r="G17" s="60" t="n">
        <f aca="false">G15</f>
        <v>80</v>
      </c>
      <c r="H17" s="61" t="n">
        <f aca="false">H5</f>
        <v>120</v>
      </c>
      <c r="I17" s="62" t="str">
        <f aca="false">IF(ABS(G17-H17)&lt;0.5,"OK","Check Hours")</f>
        <v>Check Hours</v>
      </c>
      <c r="J17" s="63" t="s">
        <v>100</v>
      </c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</row>
    <row r="19" customFormat="false" ht="18" hidden="false" customHeight="true" outlineLevel="0" collapsed="false">
      <c r="A19" s="64" t="s">
        <v>101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</sheetData>
  <mergeCells count="20">
    <mergeCell ref="A1:Y1"/>
    <mergeCell ref="A2:Y2"/>
    <mergeCell ref="A4:B4"/>
    <mergeCell ref="A5:B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V7"/>
    <mergeCell ref="W7:Y7"/>
    <mergeCell ref="A15:B15"/>
    <mergeCell ref="A17:F17"/>
    <mergeCell ref="J17:Y17"/>
    <mergeCell ref="A19:Y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"/>
    <col collapsed="false" customWidth="true" hidden="false" outlineLevel="0" max="6" min="3" style="1" width="8"/>
    <col collapsed="false" customWidth="true" hidden="false" outlineLevel="0" max="8" min="7" style="1" width="10"/>
    <col collapsed="false" customWidth="true" hidden="false" outlineLevel="0" max="10" min="9" style="1" width="9"/>
    <col collapsed="false" customWidth="true" hidden="false" outlineLevel="0" max="25" min="11" style="1" width="8"/>
  </cols>
  <sheetData>
    <row r="1" customFormat="false" ht="36" hidden="false" customHeight="true" outlineLevel="0" collapsed="false">
      <c r="A1" s="34" t="s">
        <v>102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customFormat="false" ht="13.5" hidden="false" customHeight="true" outlineLevel="0" collapsed="false">
      <c r="A2" s="35" t="s">
        <v>53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customFormat="false" ht="4.5" hidden="false" customHeight="true" outlineLevel="0" collapsed="false"/>
    <row r="4" customFormat="false" ht="21.75" hidden="false" customHeight="true" outlineLevel="0" collapsed="false">
      <c r="A4" s="36" t="s">
        <v>54</v>
      </c>
      <c r="B4" s="36"/>
      <c r="C4" s="37" t="s">
        <v>55</v>
      </c>
      <c r="D4" s="37" t="s">
        <v>56</v>
      </c>
      <c r="E4" s="37" t="s">
        <v>57</v>
      </c>
      <c r="F4" s="37" t="s">
        <v>58</v>
      </c>
      <c r="G4" s="37" t="s">
        <v>59</v>
      </c>
      <c r="H4" s="37" t="s">
        <v>60</v>
      </c>
    </row>
    <row r="5" customFormat="false" ht="19.5" hidden="false" customHeight="true" outlineLevel="0" collapsed="false">
      <c r="A5" s="36" t="s">
        <v>61</v>
      </c>
      <c r="B5" s="36"/>
      <c r="C5" s="38" t="n">
        <v>3</v>
      </c>
      <c r="D5" s="38" t="n">
        <v>1</v>
      </c>
      <c r="E5" s="38" t="n">
        <v>2</v>
      </c>
      <c r="F5" s="38" t="n">
        <v>0</v>
      </c>
      <c r="G5" s="38" t="n">
        <v>15</v>
      </c>
      <c r="H5" s="39" t="n">
        <f aca="false">C5*G5+D5*G5+E5*G5*2+F5*G5</f>
        <v>120</v>
      </c>
    </row>
    <row r="6" customFormat="false" ht="7.5" hidden="false" customHeight="true" outlineLevel="0" collapsed="false"/>
    <row r="7" customFormat="false" ht="25.5" hidden="false" customHeight="true" outlineLevel="0" collapsed="false">
      <c r="A7" s="40" t="s">
        <v>62</v>
      </c>
      <c r="B7" s="40" t="s">
        <v>63</v>
      </c>
      <c r="C7" s="41" t="s">
        <v>64</v>
      </c>
      <c r="D7" s="41" t="s">
        <v>65</v>
      </c>
      <c r="E7" s="41" t="s">
        <v>66</v>
      </c>
      <c r="F7" s="41" t="s">
        <v>67</v>
      </c>
      <c r="G7" s="42" t="s">
        <v>68</v>
      </c>
      <c r="H7" s="42" t="s">
        <v>69</v>
      </c>
      <c r="I7" s="43" t="s">
        <v>70</v>
      </c>
      <c r="J7" s="43" t="s">
        <v>4</v>
      </c>
      <c r="K7" s="44" t="s">
        <v>71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5" t="s">
        <v>72</v>
      </c>
      <c r="X7" s="45"/>
      <c r="Y7" s="45"/>
    </row>
    <row r="8" customFormat="false" ht="19.5" hidden="false" customHeight="true" outlineLevel="0" collapsed="false">
      <c r="A8" s="40"/>
      <c r="B8" s="40"/>
      <c r="C8" s="40"/>
      <c r="D8" s="40"/>
      <c r="E8" s="40"/>
      <c r="F8" s="40"/>
      <c r="G8" s="40"/>
      <c r="H8" s="40"/>
      <c r="I8" s="40"/>
      <c r="J8" s="40"/>
      <c r="K8" s="46" t="s">
        <v>73</v>
      </c>
      <c r="L8" s="46" t="s">
        <v>74</v>
      </c>
      <c r="M8" s="46" t="s">
        <v>75</v>
      </c>
      <c r="N8" s="46" t="s">
        <v>76</v>
      </c>
      <c r="O8" s="46" t="s">
        <v>77</v>
      </c>
      <c r="P8" s="46" t="s">
        <v>78</v>
      </c>
      <c r="Q8" s="46" t="s">
        <v>79</v>
      </c>
      <c r="R8" s="46" t="s">
        <v>80</v>
      </c>
      <c r="S8" s="46" t="s">
        <v>81</v>
      </c>
      <c r="T8" s="46" t="s">
        <v>82</v>
      </c>
      <c r="U8" s="46" t="s">
        <v>83</v>
      </c>
      <c r="V8" s="46" t="s">
        <v>84</v>
      </c>
      <c r="W8" s="47" t="s">
        <v>85</v>
      </c>
      <c r="X8" s="47" t="s">
        <v>86</v>
      </c>
      <c r="Y8" s="47" t="s">
        <v>87</v>
      </c>
    </row>
    <row r="9" customFormat="false" ht="19.5" hidden="false" customHeight="true" outlineLevel="0" collapsed="false">
      <c r="A9" s="48" t="s">
        <v>88</v>
      </c>
      <c r="B9" s="28" t="s">
        <v>103</v>
      </c>
      <c r="C9" s="49" t="n">
        <v>9</v>
      </c>
      <c r="D9" s="49" t="n">
        <v>2</v>
      </c>
      <c r="E9" s="49" t="n">
        <v>2</v>
      </c>
      <c r="F9" s="49" t="n">
        <v>0</v>
      </c>
      <c r="G9" s="50" t="n">
        <f aca="false">C9+D9+E9*2+F9</f>
        <v>15</v>
      </c>
      <c r="H9" s="51" t="n">
        <f aca="false">IFERROR(G9/H$5*100,0)</f>
        <v>12.5</v>
      </c>
      <c r="I9" s="52" t="n">
        <f aca="false">IFERROR(IF(H9&gt;25,3,IF(H9&gt;15,2,IF(H9&gt;5,1,0))),0)</f>
        <v>1</v>
      </c>
      <c r="J9" s="53" t="str">
        <f aca="false">IF(I9=0,"—",IF(I9=1,"1",IF(I9=2,"2","3")))</f>
        <v>1</v>
      </c>
      <c r="K9" s="54" t="n">
        <f aca="false">IF(I9=0,"—",I9)</f>
        <v>1</v>
      </c>
      <c r="L9" s="54" t="n">
        <f aca="false">IF(I9=0,"—",I9)</f>
        <v>1</v>
      </c>
      <c r="M9" s="54" t="n">
        <f aca="false">IF(I9=0,"—",I9)</f>
        <v>1</v>
      </c>
      <c r="N9" s="54" t="n">
        <f aca="false">IF(I9=0,"—",I9)</f>
        <v>1</v>
      </c>
      <c r="O9" s="54" t="n">
        <f aca="false">IF(I9=0,"—",I9)</f>
        <v>1</v>
      </c>
      <c r="P9" s="54" t="n">
        <f aca="false">IF(I9=0,"—",I9)</f>
        <v>1</v>
      </c>
      <c r="Q9" s="54" t="n">
        <f aca="false">IF(I9=0,"—",I9)</f>
        <v>1</v>
      </c>
      <c r="R9" s="54" t="n">
        <f aca="false">IF(I9=0,"—",I9)</f>
        <v>1</v>
      </c>
      <c r="S9" s="54" t="n">
        <f aca="false">IF(I9=0,"—",I9)</f>
        <v>1</v>
      </c>
      <c r="T9" s="54" t="n">
        <f aca="false">IF(I9=0,"—",I9)</f>
        <v>1</v>
      </c>
      <c r="U9" s="54" t="n">
        <f aca="false">IF(I9=0,"—",I9)</f>
        <v>1</v>
      </c>
      <c r="V9" s="54" t="n">
        <f aca="false">IF(I9=0,"—",I9)</f>
        <v>1</v>
      </c>
      <c r="W9" s="54" t="n">
        <f aca="false">IF(I9=0,"—",I9)</f>
        <v>1</v>
      </c>
      <c r="X9" s="54" t="n">
        <f aca="false">IF(I9=0,"—",I9)</f>
        <v>1</v>
      </c>
      <c r="Y9" s="54" t="n">
        <f aca="false">IF(I9=0,"—",I9)</f>
        <v>1</v>
      </c>
    </row>
    <row r="10" customFormat="false" ht="19.5" hidden="false" customHeight="true" outlineLevel="0" collapsed="false">
      <c r="A10" s="48" t="s">
        <v>90</v>
      </c>
      <c r="B10" s="30" t="s">
        <v>104</v>
      </c>
      <c r="C10" s="49" t="n">
        <v>8</v>
      </c>
      <c r="D10" s="49" t="n">
        <v>2</v>
      </c>
      <c r="E10" s="49" t="n">
        <v>6</v>
      </c>
      <c r="F10" s="49" t="n">
        <v>0</v>
      </c>
      <c r="G10" s="50" t="n">
        <f aca="false">C10+D10+E10*2+F10</f>
        <v>22</v>
      </c>
      <c r="H10" s="51" t="n">
        <f aca="false">IFERROR(G10/H$5*100,0)</f>
        <v>18.3333333333333</v>
      </c>
      <c r="I10" s="52" t="n">
        <f aca="false">IFERROR(IF(H10&gt;25,3,IF(H10&gt;15,2,IF(H10&gt;5,1,0))),0)</f>
        <v>2</v>
      </c>
      <c r="J10" s="53" t="str">
        <f aca="false">IF(I10=0,"—",IF(I10=1,"1",IF(I10=2,"2","3")))</f>
        <v>2</v>
      </c>
      <c r="K10" s="55" t="n">
        <f aca="false">IF(I10=0,"—",I10)</f>
        <v>2</v>
      </c>
      <c r="L10" s="55" t="n">
        <f aca="false">IF(I10=0,"—",I10)</f>
        <v>2</v>
      </c>
      <c r="M10" s="55" t="n">
        <f aca="false">IF(I10=0,"—",I10)</f>
        <v>2</v>
      </c>
      <c r="N10" s="55" t="n">
        <f aca="false">IF(I10=0,"—",I10)</f>
        <v>2</v>
      </c>
      <c r="O10" s="55" t="n">
        <f aca="false">IF(I10=0,"—",I10)</f>
        <v>2</v>
      </c>
      <c r="P10" s="55" t="n">
        <f aca="false">IF(I10=0,"—",I10)</f>
        <v>2</v>
      </c>
      <c r="Q10" s="55" t="n">
        <f aca="false">IF(I10=0,"—",I10)</f>
        <v>2</v>
      </c>
      <c r="R10" s="55" t="n">
        <f aca="false">IF(I10=0,"—",I10)</f>
        <v>2</v>
      </c>
      <c r="S10" s="55" t="n">
        <f aca="false">IF(I10=0,"—",I10)</f>
        <v>2</v>
      </c>
      <c r="T10" s="55" t="n">
        <f aca="false">IF(I10=0,"—",I10)</f>
        <v>2</v>
      </c>
      <c r="U10" s="55" t="n">
        <f aca="false">IF(I10=0,"—",I10)</f>
        <v>2</v>
      </c>
      <c r="V10" s="55" t="n">
        <f aca="false">IF(I10=0,"—",I10)</f>
        <v>2</v>
      </c>
      <c r="W10" s="55" t="n">
        <f aca="false">IF(I10=0,"—",I10)</f>
        <v>2</v>
      </c>
      <c r="X10" s="55" t="n">
        <f aca="false">IF(I10=0,"—",I10)</f>
        <v>2</v>
      </c>
      <c r="Y10" s="55" t="n">
        <f aca="false">IF(I10=0,"—",I10)</f>
        <v>2</v>
      </c>
    </row>
    <row r="11" customFormat="false" ht="19.5" hidden="false" customHeight="true" outlineLevel="0" collapsed="false">
      <c r="A11" s="48" t="s">
        <v>92</v>
      </c>
      <c r="B11" s="28" t="s">
        <v>105</v>
      </c>
      <c r="C11" s="49" t="n">
        <v>8</v>
      </c>
      <c r="D11" s="49" t="n">
        <v>2</v>
      </c>
      <c r="E11" s="49" t="n">
        <v>2</v>
      </c>
      <c r="F11" s="49" t="n">
        <v>0</v>
      </c>
      <c r="G11" s="50" t="n">
        <f aca="false">C11+D11+E11*2+F11</f>
        <v>14</v>
      </c>
      <c r="H11" s="51" t="n">
        <f aca="false">IFERROR(G11/H$5*100,0)</f>
        <v>11.6666666666667</v>
      </c>
      <c r="I11" s="52" t="n">
        <f aca="false">IFERROR(IF(H11&gt;25,3,IF(H11&gt;15,2,IF(H11&gt;5,1,0))),0)</f>
        <v>1</v>
      </c>
      <c r="J11" s="53" t="str">
        <f aca="false">IF(I11=0,"—",IF(I11=1,"1",IF(I11=2,"2","3")))</f>
        <v>1</v>
      </c>
      <c r="K11" s="54" t="n">
        <f aca="false">IF(I11=0,"—",I11)</f>
        <v>1</v>
      </c>
      <c r="L11" s="54" t="n">
        <f aca="false">IF(I11=0,"—",I11)</f>
        <v>1</v>
      </c>
      <c r="M11" s="54" t="n">
        <f aca="false">IF(I11=0,"—",I11)</f>
        <v>1</v>
      </c>
      <c r="N11" s="54" t="n">
        <f aca="false">IF(I11=0,"—",I11)</f>
        <v>1</v>
      </c>
      <c r="O11" s="54" t="n">
        <f aca="false">IF(I11=0,"—",I11)</f>
        <v>1</v>
      </c>
      <c r="P11" s="54" t="n">
        <f aca="false">IF(I11=0,"—",I11)</f>
        <v>1</v>
      </c>
      <c r="Q11" s="54" t="n">
        <f aca="false">IF(I11=0,"—",I11)</f>
        <v>1</v>
      </c>
      <c r="R11" s="54" t="n">
        <f aca="false">IF(I11=0,"—",I11)</f>
        <v>1</v>
      </c>
      <c r="S11" s="54" t="n">
        <f aca="false">IF(I11=0,"—",I11)</f>
        <v>1</v>
      </c>
      <c r="T11" s="54" t="n">
        <f aca="false">IF(I11=0,"—",I11)</f>
        <v>1</v>
      </c>
      <c r="U11" s="54" t="n">
        <f aca="false">IF(I11=0,"—",I11)</f>
        <v>1</v>
      </c>
      <c r="V11" s="54" t="n">
        <f aca="false">IF(I11=0,"—",I11)</f>
        <v>1</v>
      </c>
      <c r="W11" s="54" t="n">
        <f aca="false">IF(I11=0,"—",I11)</f>
        <v>1</v>
      </c>
      <c r="X11" s="54" t="n">
        <f aca="false">IF(I11=0,"—",I11)</f>
        <v>1</v>
      </c>
      <c r="Y11" s="54" t="n">
        <f aca="false">IF(I11=0,"—",I11)</f>
        <v>1</v>
      </c>
    </row>
    <row r="12" customFormat="false" ht="19.5" hidden="false" customHeight="true" outlineLevel="0" collapsed="false">
      <c r="A12" s="48" t="s">
        <v>94</v>
      </c>
      <c r="B12" s="30" t="s">
        <v>106</v>
      </c>
      <c r="C12" s="49" t="n">
        <v>7</v>
      </c>
      <c r="D12" s="49" t="n">
        <v>1</v>
      </c>
      <c r="E12" s="49" t="n">
        <v>2</v>
      </c>
      <c r="F12" s="49" t="n">
        <v>0</v>
      </c>
      <c r="G12" s="50" t="n">
        <f aca="false">C12+D12+E12*2+F12</f>
        <v>12</v>
      </c>
      <c r="H12" s="51" t="n">
        <f aca="false">IFERROR(G12/H$5*100,0)</f>
        <v>10</v>
      </c>
      <c r="I12" s="52" t="n">
        <f aca="false">IFERROR(IF(H12&gt;25,3,IF(H12&gt;15,2,IF(H12&gt;5,1,0))),0)</f>
        <v>1</v>
      </c>
      <c r="J12" s="53" t="str">
        <f aca="false">IF(I12=0,"—",IF(I12=1,"1",IF(I12=2,"2","3")))</f>
        <v>1</v>
      </c>
      <c r="K12" s="55" t="n">
        <f aca="false">IF(I12=0,"—",I12)</f>
        <v>1</v>
      </c>
      <c r="L12" s="55" t="n">
        <f aca="false">IF(I12=0,"—",I12)</f>
        <v>1</v>
      </c>
      <c r="M12" s="55" t="n">
        <f aca="false">IF(I12=0,"—",I12)</f>
        <v>1</v>
      </c>
      <c r="N12" s="55" t="n">
        <f aca="false">IF(I12=0,"—",I12)</f>
        <v>1</v>
      </c>
      <c r="O12" s="55" t="n">
        <f aca="false">IF(I12=0,"—",I12)</f>
        <v>1</v>
      </c>
      <c r="P12" s="55" t="n">
        <f aca="false">IF(I12=0,"—",I12)</f>
        <v>1</v>
      </c>
      <c r="Q12" s="55" t="n">
        <f aca="false">IF(I12=0,"—",I12)</f>
        <v>1</v>
      </c>
      <c r="R12" s="55" t="n">
        <f aca="false">IF(I12=0,"—",I12)</f>
        <v>1</v>
      </c>
      <c r="S12" s="55" t="n">
        <f aca="false">IF(I12=0,"—",I12)</f>
        <v>1</v>
      </c>
      <c r="T12" s="55" t="n">
        <f aca="false">IF(I12=0,"—",I12)</f>
        <v>1</v>
      </c>
      <c r="U12" s="55" t="n">
        <f aca="false">IF(I12=0,"—",I12)</f>
        <v>1</v>
      </c>
      <c r="V12" s="55" t="n">
        <f aca="false">IF(I12=0,"—",I12)</f>
        <v>1</v>
      </c>
      <c r="W12" s="55" t="n">
        <f aca="false">IF(I12=0,"—",I12)</f>
        <v>1</v>
      </c>
      <c r="X12" s="55" t="n">
        <f aca="false">IF(I12=0,"—",I12)</f>
        <v>1</v>
      </c>
      <c r="Y12" s="55" t="n">
        <f aca="false">IF(I12=0,"—",I12)</f>
        <v>1</v>
      </c>
    </row>
    <row r="13" customFormat="false" ht="19.5" hidden="false" customHeight="true" outlineLevel="0" collapsed="false">
      <c r="A13" s="48" t="s">
        <v>96</v>
      </c>
      <c r="B13" s="28" t="s">
        <v>107</v>
      </c>
      <c r="C13" s="49" t="n">
        <v>8</v>
      </c>
      <c r="D13" s="49" t="n">
        <v>1</v>
      </c>
      <c r="E13" s="49" t="n">
        <v>2</v>
      </c>
      <c r="F13" s="49" t="n">
        <v>0</v>
      </c>
      <c r="G13" s="50" t="n">
        <f aca="false">C13+D13+E13*2+F13</f>
        <v>13</v>
      </c>
      <c r="H13" s="51" t="n">
        <f aca="false">IFERROR(G13/H$5*100,0)</f>
        <v>10.8333333333333</v>
      </c>
      <c r="I13" s="52" t="n">
        <f aca="false">IFERROR(IF(H13&gt;25,3,IF(H13&gt;15,2,IF(H13&gt;5,1,0))),0)</f>
        <v>1</v>
      </c>
      <c r="J13" s="53" t="str">
        <f aca="false">IF(I13=0,"—",IF(I13=1,"1",IF(I13=2,"2","3")))</f>
        <v>1</v>
      </c>
      <c r="K13" s="54" t="n">
        <f aca="false">IF(I13=0,"—",I13)</f>
        <v>1</v>
      </c>
      <c r="L13" s="54" t="n">
        <f aca="false">IF(I13=0,"—",I13)</f>
        <v>1</v>
      </c>
      <c r="M13" s="54" t="n">
        <f aca="false">IF(I13=0,"—",I13)</f>
        <v>1</v>
      </c>
      <c r="N13" s="54" t="n">
        <f aca="false">IF(I13=0,"—",I13)</f>
        <v>1</v>
      </c>
      <c r="O13" s="54" t="n">
        <f aca="false">IF(I13=0,"—",I13)</f>
        <v>1</v>
      </c>
      <c r="P13" s="54" t="n">
        <f aca="false">IF(I13=0,"—",I13)</f>
        <v>1</v>
      </c>
      <c r="Q13" s="54" t="n">
        <f aca="false">IF(I13=0,"—",I13)</f>
        <v>1</v>
      </c>
      <c r="R13" s="54" t="n">
        <f aca="false">IF(I13=0,"—",I13)</f>
        <v>1</v>
      </c>
      <c r="S13" s="54" t="n">
        <f aca="false">IF(I13=0,"—",I13)</f>
        <v>1</v>
      </c>
      <c r="T13" s="54" t="n">
        <f aca="false">IF(I13=0,"—",I13)</f>
        <v>1</v>
      </c>
      <c r="U13" s="54" t="n">
        <f aca="false">IF(I13=0,"—",I13)</f>
        <v>1</v>
      </c>
      <c r="V13" s="54" t="n">
        <f aca="false">IF(I13=0,"—",I13)</f>
        <v>1</v>
      </c>
      <c r="W13" s="54" t="n">
        <f aca="false">IF(I13=0,"—",I13)</f>
        <v>1</v>
      </c>
      <c r="X13" s="54" t="n">
        <f aca="false">IF(I13=0,"—",I13)</f>
        <v>1</v>
      </c>
      <c r="Y13" s="54" t="n">
        <f aca="false">IF(I13=0,"—",I13)</f>
        <v>1</v>
      </c>
    </row>
    <row r="15" customFormat="false" ht="21.75" hidden="false" customHeight="true" outlineLevel="0" collapsed="false">
      <c r="A15" s="56" t="s">
        <v>98</v>
      </c>
      <c r="B15" s="56"/>
      <c r="C15" s="57" t="n">
        <f aca="false">SUM(C9:C13)</f>
        <v>40</v>
      </c>
      <c r="D15" s="57" t="n">
        <f aca="false">SUM(D9:D13)</f>
        <v>8</v>
      </c>
      <c r="E15" s="57" t="n">
        <f aca="false">SUM(E9:E13)</f>
        <v>14</v>
      </c>
      <c r="F15" s="57" t="n">
        <f aca="false">SUM(F9:F13)</f>
        <v>0</v>
      </c>
      <c r="G15" s="57" t="n">
        <f aca="false">SUM(G9:G13)</f>
        <v>76</v>
      </c>
      <c r="H15" s="57" t="n">
        <f aca="false">SUM(H9:H13)</f>
        <v>63.3333333333333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</row>
    <row r="17" customFormat="false" ht="19.5" hidden="false" customHeight="true" outlineLevel="0" collapsed="false">
      <c r="A17" s="59" t="s">
        <v>99</v>
      </c>
      <c r="B17" s="59"/>
      <c r="C17" s="59"/>
      <c r="D17" s="59"/>
      <c r="E17" s="59"/>
      <c r="F17" s="59"/>
      <c r="G17" s="60" t="n">
        <f aca="false">G15</f>
        <v>76</v>
      </c>
      <c r="H17" s="61" t="n">
        <f aca="false">H5</f>
        <v>120</v>
      </c>
      <c r="I17" s="62" t="str">
        <f aca="false">IF(ABS(G17-H17)&lt;0.5,"OK","Check Hours")</f>
        <v>Check Hours</v>
      </c>
      <c r="J17" s="63" t="s">
        <v>100</v>
      </c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</row>
    <row r="19" customFormat="false" ht="18" hidden="false" customHeight="true" outlineLevel="0" collapsed="false">
      <c r="A19" s="64" t="s">
        <v>101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</sheetData>
  <mergeCells count="20">
    <mergeCell ref="A1:Y1"/>
    <mergeCell ref="A2:Y2"/>
    <mergeCell ref="A4:B4"/>
    <mergeCell ref="A5:B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V7"/>
    <mergeCell ref="W7:Y7"/>
    <mergeCell ref="A15:B15"/>
    <mergeCell ref="A17:F17"/>
    <mergeCell ref="J17:Y17"/>
    <mergeCell ref="A19:Y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28"/>
    <col collapsed="false" customWidth="true" hidden="false" outlineLevel="0" max="17" min="4" style="1" width="10"/>
  </cols>
  <sheetData>
    <row r="1" customFormat="false" ht="39.75" hidden="false" customHeight="true" outlineLevel="0" collapsed="false">
      <c r="A1" s="65" t="s">
        <v>108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</row>
    <row r="2" customFormat="false" ht="13.5" hidden="false" customHeight="true" outlineLevel="0" collapsed="false">
      <c r="A2" s="66" t="s">
        <v>109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</row>
    <row r="3" customFormat="false" ht="7.5" hidden="false" customHeight="true" outlineLevel="0" collapsed="false"/>
    <row r="4" customFormat="false" ht="24" hidden="false" customHeight="true" outlineLevel="0" collapsed="false">
      <c r="A4" s="37" t="s">
        <v>110</v>
      </c>
      <c r="B4" s="37" t="s">
        <v>111</v>
      </c>
      <c r="C4" s="37" t="s">
        <v>112</v>
      </c>
      <c r="D4" s="37" t="s">
        <v>113</v>
      </c>
      <c r="E4" s="37" t="s">
        <v>114</v>
      </c>
      <c r="F4" s="37" t="s">
        <v>115</v>
      </c>
      <c r="G4" s="37" t="s">
        <v>116</v>
      </c>
      <c r="H4" s="37" t="s">
        <v>117</v>
      </c>
      <c r="I4" s="37" t="s">
        <v>59</v>
      </c>
      <c r="J4" s="37" t="s">
        <v>60</v>
      </c>
      <c r="K4" s="44" t="s">
        <v>118</v>
      </c>
      <c r="L4" s="44"/>
      <c r="M4" s="44" t="s">
        <v>119</v>
      </c>
      <c r="N4" s="44"/>
      <c r="O4" s="44" t="s">
        <v>120</v>
      </c>
      <c r="P4" s="44"/>
      <c r="Q4" s="44" t="s">
        <v>121</v>
      </c>
      <c r="R4" s="44"/>
      <c r="S4" s="44" t="s">
        <v>122</v>
      </c>
      <c r="T4" s="44"/>
    </row>
    <row r="5" customFormat="false" ht="19.5" hidden="false" customHeight="true" outlineLevel="0" collapsed="false">
      <c r="A5" s="67" t="n">
        <v>1</v>
      </c>
      <c r="B5" s="28" t="s">
        <v>123</v>
      </c>
      <c r="C5" s="23" t="s">
        <v>118</v>
      </c>
      <c r="D5" s="8" t="n">
        <v>4</v>
      </c>
      <c r="E5" s="68" t="n">
        <f aca="false">CS301!C5</f>
        <v>3</v>
      </c>
      <c r="F5" s="68" t="n">
        <f aca="false">CS301!D5</f>
        <v>1</v>
      </c>
      <c r="G5" s="68" t="n">
        <f aca="false">CS301!E5</f>
        <v>2</v>
      </c>
      <c r="H5" s="68" t="n">
        <f aca="false">CS301!F5</f>
        <v>0</v>
      </c>
      <c r="I5" s="68" t="n">
        <f aca="false">CS301!G5</f>
        <v>15</v>
      </c>
      <c r="J5" s="69" t="n">
        <f aca="false">CS301!H5</f>
        <v>120</v>
      </c>
    </row>
    <row r="6" customFormat="false" ht="19.5" hidden="false" customHeight="true" outlineLevel="0" collapsed="false">
      <c r="A6" s="70" t="n">
        <v>2</v>
      </c>
      <c r="B6" s="30" t="s">
        <v>124</v>
      </c>
      <c r="C6" s="25" t="s">
        <v>119</v>
      </c>
      <c r="D6" s="71" t="n">
        <v>4</v>
      </c>
      <c r="E6" s="72" t="n">
        <f aca="false">CS302!C5</f>
        <v>3</v>
      </c>
      <c r="F6" s="72" t="n">
        <f aca="false">CS302!D5</f>
        <v>1</v>
      </c>
      <c r="G6" s="72" t="n">
        <f aca="false">CS302!E5</f>
        <v>2</v>
      </c>
      <c r="H6" s="72" t="n">
        <f aca="false">CS302!F5</f>
        <v>0</v>
      </c>
      <c r="I6" s="72" t="n">
        <f aca="false">CS302!G5</f>
        <v>15</v>
      </c>
      <c r="J6" s="69" t="n">
        <f aca="false">CS302!H5</f>
        <v>120</v>
      </c>
    </row>
    <row r="7" customFormat="false" ht="19.5" hidden="false" customHeight="true" outlineLevel="0" collapsed="false">
      <c r="A7" s="67" t="n">
        <v>3</v>
      </c>
      <c r="B7" s="28" t="s">
        <v>125</v>
      </c>
      <c r="C7" s="23" t="s">
        <v>120</v>
      </c>
      <c r="D7" s="8" t="n">
        <v>4</v>
      </c>
      <c r="E7" s="68" t="n">
        <f aca="false">CS303!C5</f>
        <v>3</v>
      </c>
      <c r="F7" s="68" t="n">
        <f aca="false">CS303!D5</f>
        <v>1</v>
      </c>
      <c r="G7" s="68" t="n">
        <f aca="false">CS303!E5</f>
        <v>2</v>
      </c>
      <c r="H7" s="68" t="n">
        <f aca="false">CS303!F5</f>
        <v>0</v>
      </c>
      <c r="I7" s="68" t="n">
        <f aca="false">CS303!G5</f>
        <v>15</v>
      </c>
      <c r="J7" s="69" t="n">
        <f aca="false">CS303!H5</f>
        <v>120</v>
      </c>
    </row>
    <row r="8" customFormat="false" ht="19.5" hidden="false" customHeight="true" outlineLevel="0" collapsed="false">
      <c r="A8" s="70" t="n">
        <v>4</v>
      </c>
      <c r="B8" s="30" t="s">
        <v>126</v>
      </c>
      <c r="C8" s="25" t="s">
        <v>121</v>
      </c>
      <c r="D8" s="71" t="n">
        <v>4</v>
      </c>
      <c r="E8" s="72" t="n">
        <f aca="false">CS304!C5</f>
        <v>3</v>
      </c>
      <c r="F8" s="72" t="n">
        <f aca="false">CS304!D5</f>
        <v>1</v>
      </c>
      <c r="G8" s="72" t="n">
        <f aca="false">CS304!E5</f>
        <v>2</v>
      </c>
      <c r="H8" s="72" t="n">
        <f aca="false">CS304!F5</f>
        <v>0</v>
      </c>
      <c r="I8" s="72" t="n">
        <f aca="false">CS304!G5</f>
        <v>15</v>
      </c>
      <c r="J8" s="69" t="n">
        <f aca="false">CS304!H5</f>
        <v>120</v>
      </c>
    </row>
    <row r="9" customFormat="false" ht="19.5" hidden="false" customHeight="true" outlineLevel="0" collapsed="false">
      <c r="A9" s="67" t="n">
        <v>5</v>
      </c>
      <c r="B9" s="28" t="s">
        <v>127</v>
      </c>
      <c r="C9" s="23" t="s">
        <v>122</v>
      </c>
      <c r="D9" s="8" t="n">
        <v>4</v>
      </c>
      <c r="E9" s="68" t="n">
        <f aca="false">CS305!C5</f>
        <v>3</v>
      </c>
      <c r="F9" s="68" t="n">
        <f aca="false">CS305!D5</f>
        <v>1</v>
      </c>
      <c r="G9" s="68" t="n">
        <f aca="false">CS305!E5</f>
        <v>2</v>
      </c>
      <c r="H9" s="68" t="n">
        <f aca="false">CS305!F5</f>
        <v>1</v>
      </c>
      <c r="I9" s="68" t="n">
        <f aca="false">CS305!G5</f>
        <v>15</v>
      </c>
      <c r="J9" s="69" t="n">
        <f aca="false">CS305!H5</f>
        <v>135</v>
      </c>
    </row>
    <row r="11" customFormat="false" ht="21.75" hidden="false" customHeight="true" outlineLevel="0" collapsed="false">
      <c r="A11" s="4" t="s">
        <v>128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customFormat="false" ht="21.75" hidden="false" customHeight="true" outlineLevel="0" collapsed="false">
      <c r="A12" s="37" t="s">
        <v>110</v>
      </c>
      <c r="B12" s="37" t="s">
        <v>62</v>
      </c>
      <c r="C12" s="37" t="s">
        <v>129</v>
      </c>
      <c r="D12" s="73" t="s">
        <v>130</v>
      </c>
      <c r="E12" s="74" t="s">
        <v>131</v>
      </c>
      <c r="F12" s="73" t="s">
        <v>132</v>
      </c>
      <c r="G12" s="74" t="s">
        <v>131</v>
      </c>
      <c r="H12" s="73" t="s">
        <v>133</v>
      </c>
      <c r="I12" s="74" t="s">
        <v>131</v>
      </c>
      <c r="J12" s="73" t="s">
        <v>134</v>
      </c>
      <c r="K12" s="74" t="s">
        <v>131</v>
      </c>
      <c r="L12" s="73" t="s">
        <v>135</v>
      </c>
      <c r="M12" s="74" t="s">
        <v>131</v>
      </c>
    </row>
    <row r="13" customFormat="false" ht="19.5" hidden="false" customHeight="true" outlineLevel="0" collapsed="false">
      <c r="A13" s="67" t="n">
        <v>1</v>
      </c>
      <c r="B13" s="46" t="s">
        <v>88</v>
      </c>
      <c r="C13" s="75" t="s">
        <v>136</v>
      </c>
      <c r="D13" s="76" t="str">
        <f aca="false">CS301!C9&amp;"-"&amp;CS301!D9&amp;"-"&amp;CS301!E9&amp;"-"&amp;CS301!F9</f>
        <v>10-2-4-0</v>
      </c>
      <c r="E13" s="77" t="n">
        <f aca="false">CS301!H9</f>
        <v>16.6666666666667</v>
      </c>
      <c r="F13" s="76" t="str">
        <f aca="false">CS302!C9&amp;"-"&amp;CS302!D9&amp;"-"&amp;CS302!E9&amp;"-"&amp;CS302!F9</f>
        <v>9-2-2-0</v>
      </c>
      <c r="G13" s="77" t="n">
        <f aca="false">CS302!H9</f>
        <v>12.5</v>
      </c>
      <c r="H13" s="76" t="str">
        <f aca="false">CS303!C9&amp;"-"&amp;CS303!D9&amp;"-"&amp;CS303!E9&amp;"-"&amp;CS303!F9</f>
        <v>9-2-2-0</v>
      </c>
      <c r="I13" s="77" t="n">
        <f aca="false">CS303!H9</f>
        <v>12.5</v>
      </c>
      <c r="J13" s="76" t="str">
        <f aca="false">CS304!C9&amp;"-"&amp;CS304!D9&amp;"-"&amp;CS304!E9&amp;"-"&amp;CS304!F9</f>
        <v>10-2-2-0</v>
      </c>
      <c r="K13" s="77" t="n">
        <f aca="false">CS304!H9</f>
        <v>13.3333333333333</v>
      </c>
      <c r="L13" s="76" t="str">
        <f aca="false">CS305!C9&amp;"-"&amp;CS305!D9&amp;"-"&amp;CS305!E9&amp;"-"&amp;CS305!F9</f>
        <v>8-1-2-2</v>
      </c>
      <c r="M13" s="77" t="n">
        <f aca="false">CS305!H9</f>
        <v>11.1111111111111</v>
      </c>
    </row>
    <row r="14" customFormat="false" ht="19.5" hidden="false" customHeight="true" outlineLevel="0" collapsed="false">
      <c r="A14" s="70" t="n">
        <v>2</v>
      </c>
      <c r="B14" s="46" t="s">
        <v>90</v>
      </c>
      <c r="C14" s="78" t="s">
        <v>136</v>
      </c>
      <c r="D14" s="79" t="str">
        <f aca="false">CS301!C10&amp;"-"&amp;CS301!D10&amp;"-"&amp;CS301!E10&amp;"-"&amp;CS301!F10</f>
        <v>8-2-4-0</v>
      </c>
      <c r="E14" s="77" t="n">
        <f aca="false">CS301!H10</f>
        <v>15</v>
      </c>
      <c r="F14" s="79" t="str">
        <f aca="false">CS302!C10&amp;"-"&amp;CS302!D10&amp;"-"&amp;CS302!E10&amp;"-"&amp;CS302!F10</f>
        <v>8-2-6-0</v>
      </c>
      <c r="G14" s="77" t="n">
        <f aca="false">CS302!H10</f>
        <v>18.3333333333333</v>
      </c>
      <c r="H14" s="79" t="str">
        <f aca="false">CS303!C10&amp;"-"&amp;CS303!D10&amp;"-"&amp;CS303!E10&amp;"-"&amp;CS303!F10</f>
        <v>8-1-4-0</v>
      </c>
      <c r="I14" s="77" t="n">
        <f aca="false">CS303!H10</f>
        <v>14.1666666666667</v>
      </c>
      <c r="J14" s="79" t="str">
        <f aca="false">CS304!C10&amp;"-"&amp;CS304!D10&amp;"-"&amp;CS304!E10&amp;"-"&amp;CS304!F10</f>
        <v>9-2-4-0</v>
      </c>
      <c r="K14" s="77" t="n">
        <f aca="false">CS304!H10</f>
        <v>15.8333333333333</v>
      </c>
      <c r="L14" s="79" t="str">
        <f aca="false">CS305!C10&amp;"-"&amp;CS305!D10&amp;"-"&amp;CS305!E10&amp;"-"&amp;CS305!F10</f>
        <v>8-1-4-2</v>
      </c>
      <c r="M14" s="77" t="n">
        <f aca="false">CS305!H10</f>
        <v>14.0740740740741</v>
      </c>
    </row>
    <row r="15" customFormat="false" ht="19.5" hidden="false" customHeight="true" outlineLevel="0" collapsed="false">
      <c r="A15" s="67" t="n">
        <v>3</v>
      </c>
      <c r="B15" s="46" t="s">
        <v>92</v>
      </c>
      <c r="C15" s="75" t="s">
        <v>136</v>
      </c>
      <c r="D15" s="76" t="str">
        <f aca="false">CS301!C11&amp;"-"&amp;CS301!D11&amp;"-"&amp;CS301!E11&amp;"-"&amp;CS301!F11</f>
        <v>7-1-4-0</v>
      </c>
      <c r="E15" s="77" t="n">
        <f aca="false">CS301!H11</f>
        <v>13.3333333333333</v>
      </c>
      <c r="F15" s="76" t="str">
        <f aca="false">CS302!C11&amp;"-"&amp;CS302!D11&amp;"-"&amp;CS302!E11&amp;"-"&amp;CS302!F11</f>
        <v>8-2-2-0</v>
      </c>
      <c r="G15" s="77" t="n">
        <f aca="false">CS302!H11</f>
        <v>11.6666666666667</v>
      </c>
      <c r="H15" s="76" t="str">
        <f aca="false">CS303!C11&amp;"-"&amp;CS303!D11&amp;"-"&amp;CS303!E11&amp;"-"&amp;CS303!F11</f>
        <v>8-2-4-0</v>
      </c>
      <c r="I15" s="77" t="n">
        <f aca="false">CS303!H11</f>
        <v>15</v>
      </c>
      <c r="J15" s="76" t="str">
        <f aca="false">CS304!C11&amp;"-"&amp;CS304!D11&amp;"-"&amp;CS304!E11&amp;"-"&amp;CS304!F11</f>
        <v>8-1-2-0</v>
      </c>
      <c r="K15" s="77" t="n">
        <f aca="false">CS304!H11</f>
        <v>10.8333333333333</v>
      </c>
      <c r="L15" s="76" t="str">
        <f aca="false">CS305!C11&amp;"-"&amp;CS305!D11&amp;"-"&amp;CS305!E11&amp;"-"&amp;CS305!F11</f>
        <v>8-1-4-2</v>
      </c>
      <c r="M15" s="77" t="n">
        <f aca="false">CS305!H11</f>
        <v>14.0740740740741</v>
      </c>
    </row>
    <row r="16" customFormat="false" ht="19.5" hidden="false" customHeight="true" outlineLevel="0" collapsed="false">
      <c r="A16" s="70" t="n">
        <v>4</v>
      </c>
      <c r="B16" s="46" t="s">
        <v>94</v>
      </c>
      <c r="C16" s="78" t="s">
        <v>136</v>
      </c>
      <c r="D16" s="79" t="str">
        <f aca="false">CS301!C12&amp;"-"&amp;CS301!D12&amp;"-"&amp;CS301!E12&amp;"-"&amp;CS301!F12</f>
        <v>8-1-2-0</v>
      </c>
      <c r="E16" s="77" t="n">
        <f aca="false">CS301!H12</f>
        <v>10.8333333333333</v>
      </c>
      <c r="F16" s="79" t="str">
        <f aca="false">CS302!C12&amp;"-"&amp;CS302!D12&amp;"-"&amp;CS302!E12&amp;"-"&amp;CS302!F12</f>
        <v>7-1-2-0</v>
      </c>
      <c r="G16" s="77" t="n">
        <f aca="false">CS302!H12</f>
        <v>10</v>
      </c>
      <c r="H16" s="79" t="str">
        <f aca="false">CS303!C12&amp;"-"&amp;CS303!D12&amp;"-"&amp;CS303!E12&amp;"-"&amp;CS303!F12</f>
        <v>7-1-2-0</v>
      </c>
      <c r="I16" s="77" t="n">
        <f aca="false">CS303!H12</f>
        <v>10</v>
      </c>
      <c r="J16" s="79" t="str">
        <f aca="false">CS304!C12&amp;"-"&amp;CS304!D12&amp;"-"&amp;CS304!E12&amp;"-"&amp;CS304!F12</f>
        <v>7-1-2-0</v>
      </c>
      <c r="K16" s="77" t="n">
        <f aca="false">CS304!H12</f>
        <v>10</v>
      </c>
      <c r="L16" s="79" t="str">
        <f aca="false">CS305!C12&amp;"-"&amp;CS305!D12&amp;"-"&amp;CS305!E12&amp;"-"&amp;CS305!F12</f>
        <v>7-1-2-2</v>
      </c>
      <c r="M16" s="77" t="n">
        <f aca="false">CS305!H12</f>
        <v>10.3703703703704</v>
      </c>
    </row>
    <row r="17" customFormat="false" ht="19.5" hidden="false" customHeight="true" outlineLevel="0" collapsed="false">
      <c r="A17" s="67" t="n">
        <v>5</v>
      </c>
      <c r="B17" s="46" t="s">
        <v>96</v>
      </c>
      <c r="C17" s="75" t="s">
        <v>136</v>
      </c>
      <c r="D17" s="76" t="str">
        <f aca="false">CS301!C13&amp;"-"&amp;CS301!D13&amp;"-"&amp;CS301!E13&amp;"-"&amp;CS301!F13</f>
        <v>7-2-2-0</v>
      </c>
      <c r="E17" s="77" t="n">
        <f aca="false">CS301!H13</f>
        <v>10.8333333333333</v>
      </c>
      <c r="F17" s="76" t="str">
        <f aca="false">CS302!C13&amp;"-"&amp;CS302!D13&amp;"-"&amp;CS302!E13&amp;"-"&amp;CS302!F13</f>
        <v>8-1-2-0</v>
      </c>
      <c r="G17" s="77" t="n">
        <f aca="false">CS302!H13</f>
        <v>10.8333333333333</v>
      </c>
      <c r="H17" s="76" t="str">
        <f aca="false">CS303!C13&amp;"-"&amp;CS303!D13&amp;"-"&amp;CS303!E13&amp;"-"&amp;CS303!F13</f>
        <v>8-2-2-0</v>
      </c>
      <c r="I17" s="77" t="n">
        <f aca="false">CS303!H13</f>
        <v>11.6666666666667</v>
      </c>
      <c r="J17" s="76" t="str">
        <f aca="false">CS304!C13&amp;"-"&amp;CS304!D13&amp;"-"&amp;CS304!E13&amp;"-"&amp;CS304!F13</f>
        <v>6-2-2-0</v>
      </c>
      <c r="K17" s="77" t="n">
        <f aca="false">CS304!H13</f>
        <v>10</v>
      </c>
      <c r="L17" s="76" t="str">
        <f aca="false">CS305!C13&amp;"-"&amp;CS305!D13&amp;"-"&amp;CS305!E13&amp;"-"&amp;CS305!F13</f>
        <v>7-1-2-2</v>
      </c>
      <c r="M17" s="77" t="n">
        <f aca="false">CS305!H13</f>
        <v>10.3703703703704</v>
      </c>
    </row>
    <row r="18" customFormat="false" ht="19.5" hidden="false" customHeight="true" outlineLevel="0" collapsed="false">
      <c r="A18" s="70" t="n">
        <v>6</v>
      </c>
      <c r="B18" s="46" t="s">
        <v>137</v>
      </c>
      <c r="C18" s="78" t="s">
        <v>136</v>
      </c>
      <c r="D18" s="80" t="s">
        <v>9</v>
      </c>
      <c r="E18" s="80" t="s">
        <v>9</v>
      </c>
      <c r="F18" s="80" t="s">
        <v>9</v>
      </c>
      <c r="G18" s="80" t="s">
        <v>9</v>
      </c>
      <c r="H18" s="80" t="s">
        <v>9</v>
      </c>
      <c r="I18" s="80" t="s">
        <v>9</v>
      </c>
      <c r="J18" s="80" t="s">
        <v>9</v>
      </c>
      <c r="K18" s="80" t="s">
        <v>9</v>
      </c>
      <c r="L18" s="79" t="str">
        <f aca="false">CS305!C14&amp;"-"&amp;CS305!D14&amp;"-"&amp;CS305!E14&amp;"-"&amp;CS305!F14</f>
        <v>2-1-4-6</v>
      </c>
      <c r="M18" s="77" t="n">
        <f aca="false">CS305!H14</f>
        <v>12.5925925925926</v>
      </c>
    </row>
    <row r="20" customFormat="false" ht="21.75" hidden="false" customHeight="true" outlineLevel="0" collapsed="false">
      <c r="A20" s="56" t="s">
        <v>138</v>
      </c>
      <c r="B20" s="56"/>
      <c r="C20" s="56"/>
      <c r="D20" s="81" t="n">
        <f aca="false">CS301!H5</f>
        <v>120</v>
      </c>
      <c r="E20" s="82" t="s">
        <v>139</v>
      </c>
      <c r="F20" s="81" t="n">
        <f aca="false">CS302!H5</f>
        <v>120</v>
      </c>
      <c r="G20" s="82" t="s">
        <v>139</v>
      </c>
      <c r="H20" s="81" t="n">
        <f aca="false">CS303!H5</f>
        <v>120</v>
      </c>
      <c r="I20" s="82" t="s">
        <v>139</v>
      </c>
      <c r="J20" s="81" t="n">
        <f aca="false">CS304!H5</f>
        <v>120</v>
      </c>
      <c r="K20" s="82" t="s">
        <v>139</v>
      </c>
      <c r="L20" s="81" t="n">
        <f aca="false">CS305!H5</f>
        <v>135</v>
      </c>
      <c r="M20" s="82" t="s">
        <v>139</v>
      </c>
    </row>
  </sheetData>
  <mergeCells count="9">
    <mergeCell ref="A1:T1"/>
    <mergeCell ref="A2:T2"/>
    <mergeCell ref="K4:L4"/>
    <mergeCell ref="M4:N4"/>
    <mergeCell ref="O4:P4"/>
    <mergeCell ref="Q4:R4"/>
    <mergeCell ref="S4:T4"/>
    <mergeCell ref="A11:T11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"/>
    <col collapsed="false" customWidth="true" hidden="false" outlineLevel="0" max="6" min="3" style="1" width="8"/>
    <col collapsed="false" customWidth="true" hidden="false" outlineLevel="0" max="8" min="7" style="1" width="10"/>
    <col collapsed="false" customWidth="true" hidden="false" outlineLevel="0" max="10" min="9" style="1" width="9"/>
    <col collapsed="false" customWidth="true" hidden="false" outlineLevel="0" max="25" min="11" style="1" width="8"/>
  </cols>
  <sheetData>
    <row r="1" customFormat="false" ht="36" hidden="false" customHeight="true" outlineLevel="0" collapsed="false">
      <c r="A1" s="34" t="s">
        <v>140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customFormat="false" ht="13.5" hidden="false" customHeight="true" outlineLevel="0" collapsed="false">
      <c r="A2" s="35" t="s">
        <v>53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customFormat="false" ht="4.5" hidden="false" customHeight="true" outlineLevel="0" collapsed="false"/>
    <row r="4" customFormat="false" ht="21.75" hidden="false" customHeight="true" outlineLevel="0" collapsed="false">
      <c r="A4" s="36" t="s">
        <v>54</v>
      </c>
      <c r="B4" s="36"/>
      <c r="C4" s="37" t="s">
        <v>55</v>
      </c>
      <c r="D4" s="37" t="s">
        <v>56</v>
      </c>
      <c r="E4" s="37" t="s">
        <v>57</v>
      </c>
      <c r="F4" s="37" t="s">
        <v>58</v>
      </c>
      <c r="G4" s="37" t="s">
        <v>59</v>
      </c>
      <c r="H4" s="37" t="s">
        <v>60</v>
      </c>
    </row>
    <row r="5" customFormat="false" ht="19.5" hidden="false" customHeight="true" outlineLevel="0" collapsed="false">
      <c r="A5" s="36" t="s">
        <v>61</v>
      </c>
      <c r="B5" s="36"/>
      <c r="C5" s="38" t="n">
        <v>3</v>
      </c>
      <c r="D5" s="38" t="n">
        <v>1</v>
      </c>
      <c r="E5" s="38" t="n">
        <v>2</v>
      </c>
      <c r="F5" s="38" t="n">
        <v>0</v>
      </c>
      <c r="G5" s="38" t="n">
        <v>15</v>
      </c>
      <c r="H5" s="39" t="n">
        <f aca="false">C5*G5+D5*G5+E5*G5*2+F5*G5</f>
        <v>120</v>
      </c>
    </row>
    <row r="6" customFormat="false" ht="7.5" hidden="false" customHeight="true" outlineLevel="0" collapsed="false"/>
    <row r="7" customFormat="false" ht="25.5" hidden="false" customHeight="true" outlineLevel="0" collapsed="false">
      <c r="A7" s="40" t="s">
        <v>62</v>
      </c>
      <c r="B7" s="40" t="s">
        <v>63</v>
      </c>
      <c r="C7" s="41" t="s">
        <v>64</v>
      </c>
      <c r="D7" s="41" t="s">
        <v>65</v>
      </c>
      <c r="E7" s="41" t="s">
        <v>66</v>
      </c>
      <c r="F7" s="41" t="s">
        <v>67</v>
      </c>
      <c r="G7" s="42" t="s">
        <v>68</v>
      </c>
      <c r="H7" s="42" t="s">
        <v>69</v>
      </c>
      <c r="I7" s="43" t="s">
        <v>70</v>
      </c>
      <c r="J7" s="43" t="s">
        <v>4</v>
      </c>
      <c r="K7" s="44" t="s">
        <v>71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5" t="s">
        <v>72</v>
      </c>
      <c r="X7" s="45"/>
      <c r="Y7" s="45"/>
    </row>
    <row r="8" customFormat="false" ht="19.5" hidden="false" customHeight="true" outlineLevel="0" collapsed="false">
      <c r="A8" s="40"/>
      <c r="B8" s="40"/>
      <c r="C8" s="40"/>
      <c r="D8" s="40"/>
      <c r="E8" s="40"/>
      <c r="F8" s="40"/>
      <c r="G8" s="40"/>
      <c r="H8" s="40"/>
      <c r="I8" s="40"/>
      <c r="J8" s="40"/>
      <c r="K8" s="46" t="s">
        <v>73</v>
      </c>
      <c r="L8" s="46" t="s">
        <v>74</v>
      </c>
      <c r="M8" s="46" t="s">
        <v>75</v>
      </c>
      <c r="N8" s="46" t="s">
        <v>76</v>
      </c>
      <c r="O8" s="46" t="s">
        <v>77</v>
      </c>
      <c r="P8" s="46" t="s">
        <v>78</v>
      </c>
      <c r="Q8" s="46" t="s">
        <v>79</v>
      </c>
      <c r="R8" s="46" t="s">
        <v>80</v>
      </c>
      <c r="S8" s="46" t="s">
        <v>81</v>
      </c>
      <c r="T8" s="46" t="s">
        <v>82</v>
      </c>
      <c r="U8" s="46" t="s">
        <v>83</v>
      </c>
      <c r="V8" s="46" t="s">
        <v>84</v>
      </c>
      <c r="W8" s="47" t="s">
        <v>85</v>
      </c>
      <c r="X8" s="47" t="s">
        <v>86</v>
      </c>
      <c r="Y8" s="47" t="s">
        <v>87</v>
      </c>
    </row>
    <row r="9" customFormat="false" ht="19.5" hidden="false" customHeight="true" outlineLevel="0" collapsed="false">
      <c r="A9" s="48" t="s">
        <v>88</v>
      </c>
      <c r="B9" s="28" t="s">
        <v>141</v>
      </c>
      <c r="C9" s="49" t="n">
        <v>9</v>
      </c>
      <c r="D9" s="49" t="n">
        <v>2</v>
      </c>
      <c r="E9" s="49" t="n">
        <v>2</v>
      </c>
      <c r="F9" s="49" t="n">
        <v>0</v>
      </c>
      <c r="G9" s="50" t="n">
        <f aca="false">C9+D9+E9*2+F9</f>
        <v>15</v>
      </c>
      <c r="H9" s="51" t="n">
        <f aca="false">IFERROR(G9/H$5*100,0)</f>
        <v>12.5</v>
      </c>
      <c r="I9" s="52" t="n">
        <f aca="false">IFERROR(IF(H9&gt;25,3,IF(H9&gt;15,2,IF(H9&gt;5,1,0))),0)</f>
        <v>1</v>
      </c>
      <c r="J9" s="53" t="str">
        <f aca="false">IF(I9=0,"—",IF(I9=1,"1",IF(I9=2,"2","3")))</f>
        <v>1</v>
      </c>
      <c r="K9" s="54" t="n">
        <f aca="false">IF(I9=0,"—",I9)</f>
        <v>1</v>
      </c>
      <c r="L9" s="54" t="n">
        <f aca="false">IF(I9=0,"—",I9)</f>
        <v>1</v>
      </c>
      <c r="M9" s="54" t="n">
        <f aca="false">IF(I9=0,"—",I9)</f>
        <v>1</v>
      </c>
      <c r="N9" s="54" t="n">
        <f aca="false">IF(I9=0,"—",I9)</f>
        <v>1</v>
      </c>
      <c r="O9" s="54" t="n">
        <f aca="false">IF(I9=0,"—",I9)</f>
        <v>1</v>
      </c>
      <c r="P9" s="54" t="n">
        <f aca="false">IF(I9=0,"—",I9)</f>
        <v>1</v>
      </c>
      <c r="Q9" s="54" t="n">
        <f aca="false">IF(I9=0,"—",I9)</f>
        <v>1</v>
      </c>
      <c r="R9" s="54" t="n">
        <f aca="false">IF(I9=0,"—",I9)</f>
        <v>1</v>
      </c>
      <c r="S9" s="54" t="n">
        <f aca="false">IF(I9=0,"—",I9)</f>
        <v>1</v>
      </c>
      <c r="T9" s="54" t="n">
        <f aca="false">IF(I9=0,"—",I9)</f>
        <v>1</v>
      </c>
      <c r="U9" s="54" t="n">
        <f aca="false">IF(I9=0,"—",I9)</f>
        <v>1</v>
      </c>
      <c r="V9" s="54" t="n">
        <f aca="false">IF(I9=0,"—",I9)</f>
        <v>1</v>
      </c>
      <c r="W9" s="54" t="n">
        <f aca="false">IF(I9=0,"—",I9)</f>
        <v>1</v>
      </c>
      <c r="X9" s="54" t="n">
        <f aca="false">IF(I9=0,"—",I9)</f>
        <v>1</v>
      </c>
      <c r="Y9" s="54" t="n">
        <f aca="false">IF(I9=0,"—",I9)</f>
        <v>1</v>
      </c>
    </row>
    <row r="10" customFormat="false" ht="19.5" hidden="false" customHeight="true" outlineLevel="0" collapsed="false">
      <c r="A10" s="48" t="s">
        <v>90</v>
      </c>
      <c r="B10" s="30" t="s">
        <v>142</v>
      </c>
      <c r="C10" s="49" t="n">
        <v>8</v>
      </c>
      <c r="D10" s="49" t="n">
        <v>1</v>
      </c>
      <c r="E10" s="49" t="n">
        <v>4</v>
      </c>
      <c r="F10" s="49" t="n">
        <v>0</v>
      </c>
      <c r="G10" s="50" t="n">
        <f aca="false">C10+D10+E10*2+F10</f>
        <v>17</v>
      </c>
      <c r="H10" s="51" t="n">
        <f aca="false">IFERROR(G10/H$5*100,0)</f>
        <v>14.1666666666667</v>
      </c>
      <c r="I10" s="52" t="n">
        <f aca="false">IFERROR(IF(H10&gt;25,3,IF(H10&gt;15,2,IF(H10&gt;5,1,0))),0)</f>
        <v>1</v>
      </c>
      <c r="J10" s="53" t="str">
        <f aca="false">IF(I10=0,"—",IF(I10=1,"1",IF(I10=2,"2","3")))</f>
        <v>1</v>
      </c>
      <c r="K10" s="55" t="n">
        <f aca="false">IF(I10=0,"—",I10)</f>
        <v>1</v>
      </c>
      <c r="L10" s="55" t="n">
        <f aca="false">IF(I10=0,"—",I10)</f>
        <v>1</v>
      </c>
      <c r="M10" s="55" t="n">
        <f aca="false">IF(I10=0,"—",I10)</f>
        <v>1</v>
      </c>
      <c r="N10" s="55" t="n">
        <f aca="false">IF(I10=0,"—",I10)</f>
        <v>1</v>
      </c>
      <c r="O10" s="55" t="n">
        <f aca="false">IF(I10=0,"—",I10)</f>
        <v>1</v>
      </c>
      <c r="P10" s="55" t="n">
        <f aca="false">IF(I10=0,"—",I10)</f>
        <v>1</v>
      </c>
      <c r="Q10" s="55" t="n">
        <f aca="false">IF(I10=0,"—",I10)</f>
        <v>1</v>
      </c>
      <c r="R10" s="55" t="n">
        <f aca="false">IF(I10=0,"—",I10)</f>
        <v>1</v>
      </c>
      <c r="S10" s="55" t="n">
        <f aca="false">IF(I10=0,"—",I10)</f>
        <v>1</v>
      </c>
      <c r="T10" s="55" t="n">
        <f aca="false">IF(I10=0,"—",I10)</f>
        <v>1</v>
      </c>
      <c r="U10" s="55" t="n">
        <f aca="false">IF(I10=0,"—",I10)</f>
        <v>1</v>
      </c>
      <c r="V10" s="55" t="n">
        <f aca="false">IF(I10=0,"—",I10)</f>
        <v>1</v>
      </c>
      <c r="W10" s="55" t="n">
        <f aca="false">IF(I10=0,"—",I10)</f>
        <v>1</v>
      </c>
      <c r="X10" s="55" t="n">
        <f aca="false">IF(I10=0,"—",I10)</f>
        <v>1</v>
      </c>
      <c r="Y10" s="55" t="n">
        <f aca="false">IF(I10=0,"—",I10)</f>
        <v>1</v>
      </c>
    </row>
    <row r="11" customFormat="false" ht="19.5" hidden="false" customHeight="true" outlineLevel="0" collapsed="false">
      <c r="A11" s="48" t="s">
        <v>92</v>
      </c>
      <c r="B11" s="28" t="s">
        <v>143</v>
      </c>
      <c r="C11" s="49" t="n">
        <v>8</v>
      </c>
      <c r="D11" s="49" t="n">
        <v>2</v>
      </c>
      <c r="E11" s="49" t="n">
        <v>4</v>
      </c>
      <c r="F11" s="49" t="n">
        <v>0</v>
      </c>
      <c r="G11" s="50" t="n">
        <f aca="false">C11+D11+E11*2+F11</f>
        <v>18</v>
      </c>
      <c r="H11" s="51" t="n">
        <f aca="false">IFERROR(G11/H$5*100,0)</f>
        <v>15</v>
      </c>
      <c r="I11" s="52" t="n">
        <f aca="false">IFERROR(IF(H11&gt;25,3,IF(H11&gt;15,2,IF(H11&gt;5,1,0))),0)</f>
        <v>1</v>
      </c>
      <c r="J11" s="53" t="str">
        <f aca="false">IF(I11=0,"—",IF(I11=1,"1",IF(I11=2,"2","3")))</f>
        <v>1</v>
      </c>
      <c r="K11" s="54" t="n">
        <f aca="false">IF(I11=0,"—",I11)</f>
        <v>1</v>
      </c>
      <c r="L11" s="54" t="n">
        <f aca="false">IF(I11=0,"—",I11)</f>
        <v>1</v>
      </c>
      <c r="M11" s="54" t="n">
        <f aca="false">IF(I11=0,"—",I11)</f>
        <v>1</v>
      </c>
      <c r="N11" s="54" t="n">
        <f aca="false">IF(I11=0,"—",I11)</f>
        <v>1</v>
      </c>
      <c r="O11" s="54" t="n">
        <f aca="false">IF(I11=0,"—",I11)</f>
        <v>1</v>
      </c>
      <c r="P11" s="54" t="n">
        <f aca="false">IF(I11=0,"—",I11)</f>
        <v>1</v>
      </c>
      <c r="Q11" s="54" t="n">
        <f aca="false">IF(I11=0,"—",I11)</f>
        <v>1</v>
      </c>
      <c r="R11" s="54" t="n">
        <f aca="false">IF(I11=0,"—",I11)</f>
        <v>1</v>
      </c>
      <c r="S11" s="54" t="n">
        <f aca="false">IF(I11=0,"—",I11)</f>
        <v>1</v>
      </c>
      <c r="T11" s="54" t="n">
        <f aca="false">IF(I11=0,"—",I11)</f>
        <v>1</v>
      </c>
      <c r="U11" s="54" t="n">
        <f aca="false">IF(I11=0,"—",I11)</f>
        <v>1</v>
      </c>
      <c r="V11" s="54" t="n">
        <f aca="false">IF(I11=0,"—",I11)</f>
        <v>1</v>
      </c>
      <c r="W11" s="54" t="n">
        <f aca="false">IF(I11=0,"—",I11)</f>
        <v>1</v>
      </c>
      <c r="X11" s="54" t="n">
        <f aca="false">IF(I11=0,"—",I11)</f>
        <v>1</v>
      </c>
      <c r="Y11" s="54" t="n">
        <f aca="false">IF(I11=0,"—",I11)</f>
        <v>1</v>
      </c>
    </row>
    <row r="12" customFormat="false" ht="19.5" hidden="false" customHeight="true" outlineLevel="0" collapsed="false">
      <c r="A12" s="48" t="s">
        <v>94</v>
      </c>
      <c r="B12" s="30" t="s">
        <v>144</v>
      </c>
      <c r="C12" s="49" t="n">
        <v>7</v>
      </c>
      <c r="D12" s="49" t="n">
        <v>1</v>
      </c>
      <c r="E12" s="49" t="n">
        <v>2</v>
      </c>
      <c r="F12" s="49" t="n">
        <v>0</v>
      </c>
      <c r="G12" s="50" t="n">
        <f aca="false">C12+D12+E12*2+F12</f>
        <v>12</v>
      </c>
      <c r="H12" s="51" t="n">
        <f aca="false">IFERROR(G12/H$5*100,0)</f>
        <v>10</v>
      </c>
      <c r="I12" s="52" t="n">
        <f aca="false">IFERROR(IF(H12&gt;25,3,IF(H12&gt;15,2,IF(H12&gt;5,1,0))),0)</f>
        <v>1</v>
      </c>
      <c r="J12" s="53" t="str">
        <f aca="false">IF(I12=0,"—",IF(I12=1,"1",IF(I12=2,"2","3")))</f>
        <v>1</v>
      </c>
      <c r="K12" s="55" t="n">
        <f aca="false">IF(I12=0,"—",I12)</f>
        <v>1</v>
      </c>
      <c r="L12" s="55" t="n">
        <f aca="false">IF(I12=0,"—",I12)</f>
        <v>1</v>
      </c>
      <c r="M12" s="55" t="n">
        <f aca="false">IF(I12=0,"—",I12)</f>
        <v>1</v>
      </c>
      <c r="N12" s="55" t="n">
        <f aca="false">IF(I12=0,"—",I12)</f>
        <v>1</v>
      </c>
      <c r="O12" s="55" t="n">
        <f aca="false">IF(I12=0,"—",I12)</f>
        <v>1</v>
      </c>
      <c r="P12" s="55" t="n">
        <f aca="false">IF(I12=0,"—",I12)</f>
        <v>1</v>
      </c>
      <c r="Q12" s="55" t="n">
        <f aca="false">IF(I12=0,"—",I12)</f>
        <v>1</v>
      </c>
      <c r="R12" s="55" t="n">
        <f aca="false">IF(I12=0,"—",I12)</f>
        <v>1</v>
      </c>
      <c r="S12" s="55" t="n">
        <f aca="false">IF(I12=0,"—",I12)</f>
        <v>1</v>
      </c>
      <c r="T12" s="55" t="n">
        <f aca="false">IF(I12=0,"—",I12)</f>
        <v>1</v>
      </c>
      <c r="U12" s="55" t="n">
        <f aca="false">IF(I12=0,"—",I12)</f>
        <v>1</v>
      </c>
      <c r="V12" s="55" t="n">
        <f aca="false">IF(I12=0,"—",I12)</f>
        <v>1</v>
      </c>
      <c r="W12" s="55" t="n">
        <f aca="false">IF(I12=0,"—",I12)</f>
        <v>1</v>
      </c>
      <c r="X12" s="55" t="n">
        <f aca="false">IF(I12=0,"—",I12)</f>
        <v>1</v>
      </c>
      <c r="Y12" s="55" t="n">
        <f aca="false">IF(I12=0,"—",I12)</f>
        <v>1</v>
      </c>
    </row>
    <row r="13" customFormat="false" ht="19.5" hidden="false" customHeight="true" outlineLevel="0" collapsed="false">
      <c r="A13" s="48" t="s">
        <v>96</v>
      </c>
      <c r="B13" s="28" t="s">
        <v>145</v>
      </c>
      <c r="C13" s="49" t="n">
        <v>8</v>
      </c>
      <c r="D13" s="49" t="n">
        <v>2</v>
      </c>
      <c r="E13" s="49" t="n">
        <v>2</v>
      </c>
      <c r="F13" s="49" t="n">
        <v>0</v>
      </c>
      <c r="G13" s="50" t="n">
        <f aca="false">C13+D13+E13*2+F13</f>
        <v>14</v>
      </c>
      <c r="H13" s="51" t="n">
        <f aca="false">IFERROR(G13/H$5*100,0)</f>
        <v>11.6666666666667</v>
      </c>
      <c r="I13" s="52" t="n">
        <f aca="false">IFERROR(IF(H13&gt;25,3,IF(H13&gt;15,2,IF(H13&gt;5,1,0))),0)</f>
        <v>1</v>
      </c>
      <c r="J13" s="53" t="str">
        <f aca="false">IF(I13=0,"—",IF(I13=1,"1",IF(I13=2,"2","3")))</f>
        <v>1</v>
      </c>
      <c r="K13" s="54" t="n">
        <f aca="false">IF(I13=0,"—",I13)</f>
        <v>1</v>
      </c>
      <c r="L13" s="54" t="n">
        <f aca="false">IF(I13=0,"—",I13)</f>
        <v>1</v>
      </c>
      <c r="M13" s="54" t="n">
        <f aca="false">IF(I13=0,"—",I13)</f>
        <v>1</v>
      </c>
      <c r="N13" s="54" t="n">
        <f aca="false">IF(I13=0,"—",I13)</f>
        <v>1</v>
      </c>
      <c r="O13" s="54" t="n">
        <f aca="false">IF(I13=0,"—",I13)</f>
        <v>1</v>
      </c>
      <c r="P13" s="54" t="n">
        <f aca="false">IF(I13=0,"—",I13)</f>
        <v>1</v>
      </c>
      <c r="Q13" s="54" t="n">
        <f aca="false">IF(I13=0,"—",I13)</f>
        <v>1</v>
      </c>
      <c r="R13" s="54" t="n">
        <f aca="false">IF(I13=0,"—",I13)</f>
        <v>1</v>
      </c>
      <c r="S13" s="54" t="n">
        <f aca="false">IF(I13=0,"—",I13)</f>
        <v>1</v>
      </c>
      <c r="T13" s="54" t="n">
        <f aca="false">IF(I13=0,"—",I13)</f>
        <v>1</v>
      </c>
      <c r="U13" s="54" t="n">
        <f aca="false">IF(I13=0,"—",I13)</f>
        <v>1</v>
      </c>
      <c r="V13" s="54" t="n">
        <f aca="false">IF(I13=0,"—",I13)</f>
        <v>1</v>
      </c>
      <c r="W13" s="54" t="n">
        <f aca="false">IF(I13=0,"—",I13)</f>
        <v>1</v>
      </c>
      <c r="X13" s="54" t="n">
        <f aca="false">IF(I13=0,"—",I13)</f>
        <v>1</v>
      </c>
      <c r="Y13" s="54" t="n">
        <f aca="false">IF(I13=0,"—",I13)</f>
        <v>1</v>
      </c>
    </row>
    <row r="15" customFormat="false" ht="21.75" hidden="false" customHeight="true" outlineLevel="0" collapsed="false">
      <c r="A15" s="56" t="s">
        <v>98</v>
      </c>
      <c r="B15" s="56"/>
      <c r="C15" s="57" t="n">
        <f aca="false">SUM(C9:C13)</f>
        <v>40</v>
      </c>
      <c r="D15" s="57" t="n">
        <f aca="false">SUM(D9:D13)</f>
        <v>8</v>
      </c>
      <c r="E15" s="57" t="n">
        <f aca="false">SUM(E9:E13)</f>
        <v>14</v>
      </c>
      <c r="F15" s="57" t="n">
        <f aca="false">SUM(F9:F13)</f>
        <v>0</v>
      </c>
      <c r="G15" s="57" t="n">
        <f aca="false">SUM(G9:G13)</f>
        <v>76</v>
      </c>
      <c r="H15" s="57" t="n">
        <f aca="false">SUM(H9:H13)</f>
        <v>63.3333333333333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</row>
    <row r="17" customFormat="false" ht="19.5" hidden="false" customHeight="true" outlineLevel="0" collapsed="false">
      <c r="A17" s="59" t="s">
        <v>99</v>
      </c>
      <c r="B17" s="59"/>
      <c r="C17" s="59"/>
      <c r="D17" s="59"/>
      <c r="E17" s="59"/>
      <c r="F17" s="59"/>
      <c r="G17" s="60" t="n">
        <f aca="false">G15</f>
        <v>76</v>
      </c>
      <c r="H17" s="61" t="n">
        <f aca="false">H5</f>
        <v>120</v>
      </c>
      <c r="I17" s="62" t="str">
        <f aca="false">IF(ABS(G17-H17)&lt;0.5,"OK","Check Hours")</f>
        <v>Check Hours</v>
      </c>
      <c r="J17" s="63" t="s">
        <v>100</v>
      </c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</row>
    <row r="19" customFormat="false" ht="18" hidden="false" customHeight="true" outlineLevel="0" collapsed="false">
      <c r="A19" s="64" t="s">
        <v>101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</sheetData>
  <mergeCells count="20">
    <mergeCell ref="A1:Y1"/>
    <mergeCell ref="A2:Y2"/>
    <mergeCell ref="A4:B4"/>
    <mergeCell ref="A5:B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V7"/>
    <mergeCell ref="W7:Y7"/>
    <mergeCell ref="A15:B15"/>
    <mergeCell ref="A17:F17"/>
    <mergeCell ref="J17:Y17"/>
    <mergeCell ref="A19:Y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5" min="5" style="1" width="10"/>
    <col collapsed="false" customWidth="true" hidden="false" outlineLevel="0" max="20" min="6" style="1" width="8"/>
  </cols>
  <sheetData>
    <row r="1" customFormat="false" ht="39.75" hidden="false" customHeight="true" outlineLevel="0" collapsed="false">
      <c r="A1" s="65" t="s">
        <v>146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</row>
    <row r="2" customFormat="false" ht="13.5" hidden="false" customHeight="true" outlineLevel="0" collapsed="false">
      <c r="A2" s="35" t="s">
        <v>147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3" customFormat="false" ht="7.5" hidden="false" customHeight="true" outlineLevel="0" collapsed="false"/>
    <row r="4" customFormat="false" ht="19.5" hidden="false" customHeight="true" outlineLevel="0" collapsed="false">
      <c r="A4" s="36" t="s">
        <v>148</v>
      </c>
      <c r="B4" s="36"/>
      <c r="C4" s="36"/>
      <c r="D4" s="36"/>
      <c r="E4" s="36"/>
      <c r="F4" s="6" t="s">
        <v>149</v>
      </c>
      <c r="G4" s="10" t="s">
        <v>150</v>
      </c>
      <c r="H4" s="14" t="s">
        <v>151</v>
      </c>
      <c r="I4" s="18" t="s">
        <v>152</v>
      </c>
    </row>
    <row r="5" customFormat="false" ht="25.5" hidden="false" customHeight="true" outlineLevel="0" collapsed="false">
      <c r="A5" s="40" t="s">
        <v>110</v>
      </c>
      <c r="B5" s="40" t="s">
        <v>153</v>
      </c>
      <c r="C5" s="40" t="s">
        <v>112</v>
      </c>
      <c r="D5" s="40" t="s">
        <v>62</v>
      </c>
      <c r="E5" s="40" t="s">
        <v>154</v>
      </c>
      <c r="F5" s="83" t="s">
        <v>155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4" t="s">
        <v>156</v>
      </c>
      <c r="S5" s="4"/>
      <c r="T5" s="4"/>
    </row>
    <row r="6" customFormat="false" ht="19.5" hidden="false" customHeight="true" outlineLevel="0" collapsed="false">
      <c r="A6" s="40"/>
      <c r="B6" s="40"/>
      <c r="C6" s="40"/>
      <c r="D6" s="40"/>
      <c r="E6" s="40"/>
      <c r="F6" s="46" t="s">
        <v>73</v>
      </c>
      <c r="G6" s="46" t="s">
        <v>74</v>
      </c>
      <c r="H6" s="46" t="s">
        <v>75</v>
      </c>
      <c r="I6" s="46" t="s">
        <v>76</v>
      </c>
      <c r="J6" s="46" t="s">
        <v>77</v>
      </c>
      <c r="K6" s="46" t="s">
        <v>78</v>
      </c>
      <c r="L6" s="46" t="s">
        <v>79</v>
      </c>
      <c r="M6" s="46" t="s">
        <v>80</v>
      </c>
      <c r="N6" s="46" t="s">
        <v>81</v>
      </c>
      <c r="O6" s="46" t="s">
        <v>82</v>
      </c>
      <c r="P6" s="46" t="s">
        <v>83</v>
      </c>
      <c r="Q6" s="46" t="s">
        <v>84</v>
      </c>
      <c r="R6" s="47" t="s">
        <v>85</v>
      </c>
      <c r="S6" s="47" t="s">
        <v>86</v>
      </c>
      <c r="T6" s="47" t="s">
        <v>87</v>
      </c>
    </row>
    <row r="7" customFormat="false" ht="18" hidden="false" customHeight="true" outlineLevel="0" collapsed="false">
      <c r="A7" s="84" t="n">
        <v>1</v>
      </c>
      <c r="B7" s="85" t="s">
        <v>123</v>
      </c>
      <c r="C7" s="86" t="s">
        <v>118</v>
      </c>
      <c r="D7" s="46" t="s">
        <v>88</v>
      </c>
      <c r="E7" s="87" t="n">
        <f aca="false">CS301!H9</f>
        <v>16.6666666666667</v>
      </c>
      <c r="F7" s="88" t="str">
        <f aca="false">CS301!J9</f>
        <v>2</v>
      </c>
      <c r="G7" s="88" t="str">
        <f aca="false">CS301!J9</f>
        <v>2</v>
      </c>
      <c r="H7" s="88" t="str">
        <f aca="false">CS301!J9</f>
        <v>2</v>
      </c>
      <c r="I7" s="88" t="str">
        <f aca="false">CS301!J9</f>
        <v>2</v>
      </c>
      <c r="J7" s="88" t="str">
        <f aca="false">CS301!J9</f>
        <v>2</v>
      </c>
      <c r="K7" s="88" t="str">
        <f aca="false">CS301!J9</f>
        <v>2</v>
      </c>
      <c r="L7" s="88" t="str">
        <f aca="false">CS301!J9</f>
        <v>2</v>
      </c>
      <c r="M7" s="88" t="str">
        <f aca="false">CS301!J9</f>
        <v>2</v>
      </c>
      <c r="N7" s="88" t="str">
        <f aca="false">CS301!J9</f>
        <v>2</v>
      </c>
      <c r="O7" s="88" t="str">
        <f aca="false">CS301!J9</f>
        <v>2</v>
      </c>
      <c r="P7" s="88" t="str">
        <f aca="false">CS301!J9</f>
        <v>2</v>
      </c>
      <c r="Q7" s="88" t="str">
        <f aca="false">CS301!J9</f>
        <v>2</v>
      </c>
      <c r="R7" s="88" t="str">
        <f aca="false">CS301!J9</f>
        <v>2</v>
      </c>
      <c r="S7" s="88" t="str">
        <f aca="false">CS301!J9</f>
        <v>2</v>
      </c>
      <c r="T7" s="88" t="str">
        <f aca="false">CS301!J9</f>
        <v>2</v>
      </c>
    </row>
    <row r="8" customFormat="false" ht="18" hidden="false" customHeight="true" outlineLevel="0" collapsed="false">
      <c r="A8" s="84"/>
      <c r="B8" s="84"/>
      <c r="C8" s="84"/>
      <c r="D8" s="46" t="s">
        <v>90</v>
      </c>
      <c r="E8" s="87" t="n">
        <f aca="false">CS301!H10</f>
        <v>15</v>
      </c>
      <c r="F8" s="89" t="str">
        <f aca="false">CS301!J10</f>
        <v>1</v>
      </c>
      <c r="G8" s="89" t="str">
        <f aca="false">CS301!J10</f>
        <v>1</v>
      </c>
      <c r="H8" s="89" t="str">
        <f aca="false">CS301!J10</f>
        <v>1</v>
      </c>
      <c r="I8" s="89" t="str">
        <f aca="false">CS301!J10</f>
        <v>1</v>
      </c>
      <c r="J8" s="89" t="str">
        <f aca="false">CS301!J10</f>
        <v>1</v>
      </c>
      <c r="K8" s="89" t="str">
        <f aca="false">CS301!J10</f>
        <v>1</v>
      </c>
      <c r="L8" s="89" t="str">
        <f aca="false">CS301!J10</f>
        <v>1</v>
      </c>
      <c r="M8" s="89" t="str">
        <f aca="false">CS301!J10</f>
        <v>1</v>
      </c>
      <c r="N8" s="89" t="str">
        <f aca="false">CS301!J10</f>
        <v>1</v>
      </c>
      <c r="O8" s="89" t="str">
        <f aca="false">CS301!J10</f>
        <v>1</v>
      </c>
      <c r="P8" s="89" t="str">
        <f aca="false">CS301!J10</f>
        <v>1</v>
      </c>
      <c r="Q8" s="89" t="str">
        <f aca="false">CS301!J10</f>
        <v>1</v>
      </c>
      <c r="R8" s="89" t="str">
        <f aca="false">CS301!J10</f>
        <v>1</v>
      </c>
      <c r="S8" s="89" t="str">
        <f aca="false">CS301!J10</f>
        <v>1</v>
      </c>
      <c r="T8" s="89" t="str">
        <f aca="false">CS301!J10</f>
        <v>1</v>
      </c>
    </row>
    <row r="9" customFormat="false" ht="18" hidden="false" customHeight="true" outlineLevel="0" collapsed="false">
      <c r="A9" s="84"/>
      <c r="B9" s="84"/>
      <c r="C9" s="84"/>
      <c r="D9" s="46" t="s">
        <v>92</v>
      </c>
      <c r="E9" s="87" t="n">
        <f aca="false">CS301!H11</f>
        <v>13.3333333333333</v>
      </c>
      <c r="F9" s="88" t="str">
        <f aca="false">CS301!J11</f>
        <v>1</v>
      </c>
      <c r="G9" s="88" t="str">
        <f aca="false">CS301!J11</f>
        <v>1</v>
      </c>
      <c r="H9" s="88" t="str">
        <f aca="false">CS301!J11</f>
        <v>1</v>
      </c>
      <c r="I9" s="88" t="str">
        <f aca="false">CS301!J11</f>
        <v>1</v>
      </c>
      <c r="J9" s="88" t="str">
        <f aca="false">CS301!J11</f>
        <v>1</v>
      </c>
      <c r="K9" s="88" t="str">
        <f aca="false">CS301!J11</f>
        <v>1</v>
      </c>
      <c r="L9" s="88" t="str">
        <f aca="false">CS301!J11</f>
        <v>1</v>
      </c>
      <c r="M9" s="88" t="str">
        <f aca="false">CS301!J11</f>
        <v>1</v>
      </c>
      <c r="N9" s="88" t="str">
        <f aca="false">CS301!J11</f>
        <v>1</v>
      </c>
      <c r="O9" s="88" t="str">
        <f aca="false">CS301!J11</f>
        <v>1</v>
      </c>
      <c r="P9" s="88" t="str">
        <f aca="false">CS301!J11</f>
        <v>1</v>
      </c>
      <c r="Q9" s="88" t="str">
        <f aca="false">CS301!J11</f>
        <v>1</v>
      </c>
      <c r="R9" s="88" t="str">
        <f aca="false">CS301!J11</f>
        <v>1</v>
      </c>
      <c r="S9" s="88" t="str">
        <f aca="false">CS301!J11</f>
        <v>1</v>
      </c>
      <c r="T9" s="88" t="str">
        <f aca="false">CS301!J11</f>
        <v>1</v>
      </c>
    </row>
    <row r="10" customFormat="false" ht="18" hidden="false" customHeight="true" outlineLevel="0" collapsed="false">
      <c r="A10" s="84"/>
      <c r="B10" s="84"/>
      <c r="C10" s="84"/>
      <c r="D10" s="46" t="s">
        <v>94</v>
      </c>
      <c r="E10" s="87" t="n">
        <f aca="false">CS301!H12</f>
        <v>10.8333333333333</v>
      </c>
      <c r="F10" s="89" t="str">
        <f aca="false">CS301!J12</f>
        <v>1</v>
      </c>
      <c r="G10" s="89" t="str">
        <f aca="false">CS301!J12</f>
        <v>1</v>
      </c>
      <c r="H10" s="89" t="str">
        <f aca="false">CS301!J12</f>
        <v>1</v>
      </c>
      <c r="I10" s="89" t="str">
        <f aca="false">CS301!J12</f>
        <v>1</v>
      </c>
      <c r="J10" s="89" t="str">
        <f aca="false">CS301!J12</f>
        <v>1</v>
      </c>
      <c r="K10" s="89" t="str">
        <f aca="false">CS301!J12</f>
        <v>1</v>
      </c>
      <c r="L10" s="89" t="str">
        <f aca="false">CS301!J12</f>
        <v>1</v>
      </c>
      <c r="M10" s="89" t="str">
        <f aca="false">CS301!J12</f>
        <v>1</v>
      </c>
      <c r="N10" s="89" t="str">
        <f aca="false">CS301!J12</f>
        <v>1</v>
      </c>
      <c r="O10" s="89" t="str">
        <f aca="false">CS301!J12</f>
        <v>1</v>
      </c>
      <c r="P10" s="89" t="str">
        <f aca="false">CS301!J12</f>
        <v>1</v>
      </c>
      <c r="Q10" s="89" t="str">
        <f aca="false">CS301!J12</f>
        <v>1</v>
      </c>
      <c r="R10" s="89" t="str">
        <f aca="false">CS301!J12</f>
        <v>1</v>
      </c>
      <c r="S10" s="89" t="str">
        <f aca="false">CS301!J12</f>
        <v>1</v>
      </c>
      <c r="T10" s="89" t="str">
        <f aca="false">CS301!J12</f>
        <v>1</v>
      </c>
    </row>
    <row r="11" customFormat="false" ht="18" hidden="false" customHeight="true" outlineLevel="0" collapsed="false">
      <c r="A11" s="84"/>
      <c r="B11" s="84"/>
      <c r="C11" s="84"/>
      <c r="D11" s="46" t="s">
        <v>96</v>
      </c>
      <c r="E11" s="87" t="n">
        <f aca="false">CS301!H13</f>
        <v>10.8333333333333</v>
      </c>
      <c r="F11" s="88" t="str">
        <f aca="false">CS301!J13</f>
        <v>1</v>
      </c>
      <c r="G11" s="88" t="str">
        <f aca="false">CS301!J13</f>
        <v>1</v>
      </c>
      <c r="H11" s="88" t="str">
        <f aca="false">CS301!J13</f>
        <v>1</v>
      </c>
      <c r="I11" s="88" t="str">
        <f aca="false">CS301!J13</f>
        <v>1</v>
      </c>
      <c r="J11" s="88" t="str">
        <f aca="false">CS301!J13</f>
        <v>1</v>
      </c>
      <c r="K11" s="88" t="str">
        <f aca="false">CS301!J13</f>
        <v>1</v>
      </c>
      <c r="L11" s="88" t="str">
        <f aca="false">CS301!J13</f>
        <v>1</v>
      </c>
      <c r="M11" s="88" t="str">
        <f aca="false">CS301!J13</f>
        <v>1</v>
      </c>
      <c r="N11" s="88" t="str">
        <f aca="false">CS301!J13</f>
        <v>1</v>
      </c>
      <c r="O11" s="88" t="str">
        <f aca="false">CS301!J13</f>
        <v>1</v>
      </c>
      <c r="P11" s="88" t="str">
        <f aca="false">CS301!J13</f>
        <v>1</v>
      </c>
      <c r="Q11" s="88" t="str">
        <f aca="false">CS301!J13</f>
        <v>1</v>
      </c>
      <c r="R11" s="88" t="str">
        <f aca="false">CS301!J13</f>
        <v>1</v>
      </c>
      <c r="S11" s="88" t="str">
        <f aca="false">CS301!J13</f>
        <v>1</v>
      </c>
      <c r="T11" s="88" t="str">
        <f aca="false">CS301!J13</f>
        <v>1</v>
      </c>
    </row>
    <row r="12" customFormat="false" ht="18" hidden="false" customHeight="true" outlineLevel="0" collapsed="false">
      <c r="A12" s="84" t="n">
        <v>2</v>
      </c>
      <c r="B12" s="85" t="s">
        <v>124</v>
      </c>
      <c r="C12" s="86" t="s">
        <v>119</v>
      </c>
      <c r="D12" s="46" t="s">
        <v>88</v>
      </c>
      <c r="E12" s="87" t="n">
        <f aca="false">CS302!H9</f>
        <v>12.5</v>
      </c>
      <c r="F12" s="89" t="str">
        <f aca="false">CS302!J9</f>
        <v>1</v>
      </c>
      <c r="G12" s="89" t="str">
        <f aca="false">CS302!J9</f>
        <v>1</v>
      </c>
      <c r="H12" s="89" t="str">
        <f aca="false">CS302!J9</f>
        <v>1</v>
      </c>
      <c r="I12" s="89" t="str">
        <f aca="false">CS302!J9</f>
        <v>1</v>
      </c>
      <c r="J12" s="89" t="str">
        <f aca="false">CS302!J9</f>
        <v>1</v>
      </c>
      <c r="K12" s="89" t="str">
        <f aca="false">CS302!J9</f>
        <v>1</v>
      </c>
      <c r="L12" s="89" t="str">
        <f aca="false">CS302!J9</f>
        <v>1</v>
      </c>
      <c r="M12" s="89" t="str">
        <f aca="false">CS302!J9</f>
        <v>1</v>
      </c>
      <c r="N12" s="89" t="str">
        <f aca="false">CS302!J9</f>
        <v>1</v>
      </c>
      <c r="O12" s="89" t="str">
        <f aca="false">CS302!J9</f>
        <v>1</v>
      </c>
      <c r="P12" s="89" t="str">
        <f aca="false">CS302!J9</f>
        <v>1</v>
      </c>
      <c r="Q12" s="89" t="str">
        <f aca="false">CS302!J9</f>
        <v>1</v>
      </c>
      <c r="R12" s="89" t="str">
        <f aca="false">CS302!J9</f>
        <v>1</v>
      </c>
      <c r="S12" s="89" t="str">
        <f aca="false">CS302!J9</f>
        <v>1</v>
      </c>
      <c r="T12" s="89" t="str">
        <f aca="false">CS302!J9</f>
        <v>1</v>
      </c>
    </row>
    <row r="13" customFormat="false" ht="18" hidden="false" customHeight="true" outlineLevel="0" collapsed="false">
      <c r="A13" s="84"/>
      <c r="B13" s="84"/>
      <c r="C13" s="84"/>
      <c r="D13" s="46" t="s">
        <v>90</v>
      </c>
      <c r="E13" s="87" t="n">
        <f aca="false">CS302!H10</f>
        <v>18.3333333333333</v>
      </c>
      <c r="F13" s="88" t="str">
        <f aca="false">CS302!J10</f>
        <v>2</v>
      </c>
      <c r="G13" s="88" t="str">
        <f aca="false">CS302!J10</f>
        <v>2</v>
      </c>
      <c r="H13" s="88" t="str">
        <f aca="false">CS302!J10</f>
        <v>2</v>
      </c>
      <c r="I13" s="88" t="str">
        <f aca="false">CS302!J10</f>
        <v>2</v>
      </c>
      <c r="J13" s="88" t="str">
        <f aca="false">CS302!J10</f>
        <v>2</v>
      </c>
      <c r="K13" s="88" t="str">
        <f aca="false">CS302!J10</f>
        <v>2</v>
      </c>
      <c r="L13" s="88" t="str">
        <f aca="false">CS302!J10</f>
        <v>2</v>
      </c>
      <c r="M13" s="88" t="str">
        <f aca="false">CS302!J10</f>
        <v>2</v>
      </c>
      <c r="N13" s="88" t="str">
        <f aca="false">CS302!J10</f>
        <v>2</v>
      </c>
      <c r="O13" s="88" t="str">
        <f aca="false">CS302!J10</f>
        <v>2</v>
      </c>
      <c r="P13" s="88" t="str">
        <f aca="false">CS302!J10</f>
        <v>2</v>
      </c>
      <c r="Q13" s="88" t="str">
        <f aca="false">CS302!J10</f>
        <v>2</v>
      </c>
      <c r="R13" s="88" t="str">
        <f aca="false">CS302!J10</f>
        <v>2</v>
      </c>
      <c r="S13" s="88" t="str">
        <f aca="false">CS302!J10</f>
        <v>2</v>
      </c>
      <c r="T13" s="88" t="str">
        <f aca="false">CS302!J10</f>
        <v>2</v>
      </c>
    </row>
    <row r="14" customFormat="false" ht="18" hidden="false" customHeight="true" outlineLevel="0" collapsed="false">
      <c r="A14" s="84"/>
      <c r="B14" s="84"/>
      <c r="C14" s="84"/>
      <c r="D14" s="46" t="s">
        <v>92</v>
      </c>
      <c r="E14" s="87" t="n">
        <f aca="false">CS302!H11</f>
        <v>11.6666666666667</v>
      </c>
      <c r="F14" s="89" t="str">
        <f aca="false">CS302!J11</f>
        <v>1</v>
      </c>
      <c r="G14" s="89" t="str">
        <f aca="false">CS302!J11</f>
        <v>1</v>
      </c>
      <c r="H14" s="89" t="str">
        <f aca="false">CS302!J11</f>
        <v>1</v>
      </c>
      <c r="I14" s="89" t="str">
        <f aca="false">CS302!J11</f>
        <v>1</v>
      </c>
      <c r="J14" s="89" t="str">
        <f aca="false">CS302!J11</f>
        <v>1</v>
      </c>
      <c r="K14" s="89" t="str">
        <f aca="false">CS302!J11</f>
        <v>1</v>
      </c>
      <c r="L14" s="89" t="str">
        <f aca="false">CS302!J11</f>
        <v>1</v>
      </c>
      <c r="M14" s="89" t="str">
        <f aca="false">CS302!J11</f>
        <v>1</v>
      </c>
      <c r="N14" s="89" t="str">
        <f aca="false">CS302!J11</f>
        <v>1</v>
      </c>
      <c r="O14" s="89" t="str">
        <f aca="false">CS302!J11</f>
        <v>1</v>
      </c>
      <c r="P14" s="89" t="str">
        <f aca="false">CS302!J11</f>
        <v>1</v>
      </c>
      <c r="Q14" s="89" t="str">
        <f aca="false">CS302!J11</f>
        <v>1</v>
      </c>
      <c r="R14" s="89" t="str">
        <f aca="false">CS302!J11</f>
        <v>1</v>
      </c>
      <c r="S14" s="89" t="str">
        <f aca="false">CS302!J11</f>
        <v>1</v>
      </c>
      <c r="T14" s="89" t="str">
        <f aca="false">CS302!J11</f>
        <v>1</v>
      </c>
    </row>
    <row r="15" customFormat="false" ht="18" hidden="false" customHeight="true" outlineLevel="0" collapsed="false">
      <c r="A15" s="84"/>
      <c r="B15" s="84"/>
      <c r="C15" s="84"/>
      <c r="D15" s="46" t="s">
        <v>94</v>
      </c>
      <c r="E15" s="87" t="n">
        <f aca="false">CS302!H12</f>
        <v>10</v>
      </c>
      <c r="F15" s="88" t="str">
        <f aca="false">CS302!J12</f>
        <v>1</v>
      </c>
      <c r="G15" s="88" t="str">
        <f aca="false">CS302!J12</f>
        <v>1</v>
      </c>
      <c r="H15" s="88" t="str">
        <f aca="false">CS302!J12</f>
        <v>1</v>
      </c>
      <c r="I15" s="88" t="str">
        <f aca="false">CS302!J12</f>
        <v>1</v>
      </c>
      <c r="J15" s="88" t="str">
        <f aca="false">CS302!J12</f>
        <v>1</v>
      </c>
      <c r="K15" s="88" t="str">
        <f aca="false">CS302!J12</f>
        <v>1</v>
      </c>
      <c r="L15" s="88" t="str">
        <f aca="false">CS302!J12</f>
        <v>1</v>
      </c>
      <c r="M15" s="88" t="str">
        <f aca="false">CS302!J12</f>
        <v>1</v>
      </c>
      <c r="N15" s="88" t="str">
        <f aca="false">CS302!J12</f>
        <v>1</v>
      </c>
      <c r="O15" s="88" t="str">
        <f aca="false">CS302!J12</f>
        <v>1</v>
      </c>
      <c r="P15" s="88" t="str">
        <f aca="false">CS302!J12</f>
        <v>1</v>
      </c>
      <c r="Q15" s="88" t="str">
        <f aca="false">CS302!J12</f>
        <v>1</v>
      </c>
      <c r="R15" s="88" t="str">
        <f aca="false">CS302!J12</f>
        <v>1</v>
      </c>
      <c r="S15" s="88" t="str">
        <f aca="false">CS302!J12</f>
        <v>1</v>
      </c>
      <c r="T15" s="88" t="str">
        <f aca="false">CS302!J12</f>
        <v>1</v>
      </c>
    </row>
    <row r="16" customFormat="false" ht="18" hidden="false" customHeight="true" outlineLevel="0" collapsed="false">
      <c r="A16" s="84"/>
      <c r="B16" s="84"/>
      <c r="C16" s="84"/>
      <c r="D16" s="46" t="s">
        <v>96</v>
      </c>
      <c r="E16" s="87" t="n">
        <f aca="false">CS302!H13</f>
        <v>10.8333333333333</v>
      </c>
      <c r="F16" s="89" t="str">
        <f aca="false">CS302!J13</f>
        <v>1</v>
      </c>
      <c r="G16" s="89" t="str">
        <f aca="false">CS302!J13</f>
        <v>1</v>
      </c>
      <c r="H16" s="89" t="str">
        <f aca="false">CS302!J13</f>
        <v>1</v>
      </c>
      <c r="I16" s="89" t="str">
        <f aca="false">CS302!J13</f>
        <v>1</v>
      </c>
      <c r="J16" s="89" t="str">
        <f aca="false">CS302!J13</f>
        <v>1</v>
      </c>
      <c r="K16" s="89" t="str">
        <f aca="false">CS302!J13</f>
        <v>1</v>
      </c>
      <c r="L16" s="89" t="str">
        <f aca="false">CS302!J13</f>
        <v>1</v>
      </c>
      <c r="M16" s="89" t="str">
        <f aca="false">CS302!J13</f>
        <v>1</v>
      </c>
      <c r="N16" s="89" t="str">
        <f aca="false">CS302!J13</f>
        <v>1</v>
      </c>
      <c r="O16" s="89" t="str">
        <f aca="false">CS302!J13</f>
        <v>1</v>
      </c>
      <c r="P16" s="89" t="str">
        <f aca="false">CS302!J13</f>
        <v>1</v>
      </c>
      <c r="Q16" s="89" t="str">
        <f aca="false">CS302!J13</f>
        <v>1</v>
      </c>
      <c r="R16" s="89" t="str">
        <f aca="false">CS302!J13</f>
        <v>1</v>
      </c>
      <c r="S16" s="89" t="str">
        <f aca="false">CS302!J13</f>
        <v>1</v>
      </c>
      <c r="T16" s="89" t="str">
        <f aca="false">CS302!J13</f>
        <v>1</v>
      </c>
    </row>
    <row r="17" customFormat="false" ht="18" hidden="false" customHeight="true" outlineLevel="0" collapsed="false">
      <c r="A17" s="84" t="n">
        <v>3</v>
      </c>
      <c r="B17" s="85" t="s">
        <v>125</v>
      </c>
      <c r="C17" s="86" t="s">
        <v>120</v>
      </c>
      <c r="D17" s="46" t="s">
        <v>88</v>
      </c>
      <c r="E17" s="87" t="n">
        <f aca="false">CS303!H9</f>
        <v>12.5</v>
      </c>
      <c r="F17" s="88" t="str">
        <f aca="false">CS303!J9</f>
        <v>1</v>
      </c>
      <c r="G17" s="88" t="str">
        <f aca="false">CS303!J9</f>
        <v>1</v>
      </c>
      <c r="H17" s="88" t="str">
        <f aca="false">CS303!J9</f>
        <v>1</v>
      </c>
      <c r="I17" s="88" t="str">
        <f aca="false">CS303!J9</f>
        <v>1</v>
      </c>
      <c r="J17" s="88" t="str">
        <f aca="false">CS303!J9</f>
        <v>1</v>
      </c>
      <c r="K17" s="88" t="str">
        <f aca="false">CS303!J9</f>
        <v>1</v>
      </c>
      <c r="L17" s="88" t="str">
        <f aca="false">CS303!J9</f>
        <v>1</v>
      </c>
      <c r="M17" s="88" t="str">
        <f aca="false">CS303!J9</f>
        <v>1</v>
      </c>
      <c r="N17" s="88" t="str">
        <f aca="false">CS303!J9</f>
        <v>1</v>
      </c>
      <c r="O17" s="88" t="str">
        <f aca="false">CS303!J9</f>
        <v>1</v>
      </c>
      <c r="P17" s="88" t="str">
        <f aca="false">CS303!J9</f>
        <v>1</v>
      </c>
      <c r="Q17" s="88" t="str">
        <f aca="false">CS303!J9</f>
        <v>1</v>
      </c>
      <c r="R17" s="88" t="str">
        <f aca="false">CS303!J9</f>
        <v>1</v>
      </c>
      <c r="S17" s="88" t="str">
        <f aca="false">CS303!J9</f>
        <v>1</v>
      </c>
      <c r="T17" s="88" t="str">
        <f aca="false">CS303!J9</f>
        <v>1</v>
      </c>
    </row>
    <row r="18" customFormat="false" ht="18" hidden="false" customHeight="true" outlineLevel="0" collapsed="false">
      <c r="A18" s="84"/>
      <c r="B18" s="84"/>
      <c r="C18" s="84"/>
      <c r="D18" s="46" t="s">
        <v>90</v>
      </c>
      <c r="E18" s="87" t="n">
        <f aca="false">CS303!H10</f>
        <v>14.1666666666667</v>
      </c>
      <c r="F18" s="89" t="str">
        <f aca="false">CS303!J10</f>
        <v>1</v>
      </c>
      <c r="G18" s="89" t="str">
        <f aca="false">CS303!J10</f>
        <v>1</v>
      </c>
      <c r="H18" s="89" t="str">
        <f aca="false">CS303!J10</f>
        <v>1</v>
      </c>
      <c r="I18" s="89" t="str">
        <f aca="false">CS303!J10</f>
        <v>1</v>
      </c>
      <c r="J18" s="89" t="str">
        <f aca="false">CS303!J10</f>
        <v>1</v>
      </c>
      <c r="K18" s="89" t="str">
        <f aca="false">CS303!J10</f>
        <v>1</v>
      </c>
      <c r="L18" s="89" t="str">
        <f aca="false">CS303!J10</f>
        <v>1</v>
      </c>
      <c r="M18" s="89" t="str">
        <f aca="false">CS303!J10</f>
        <v>1</v>
      </c>
      <c r="N18" s="89" t="str">
        <f aca="false">CS303!J10</f>
        <v>1</v>
      </c>
      <c r="O18" s="89" t="str">
        <f aca="false">CS303!J10</f>
        <v>1</v>
      </c>
      <c r="P18" s="89" t="str">
        <f aca="false">CS303!J10</f>
        <v>1</v>
      </c>
      <c r="Q18" s="89" t="str">
        <f aca="false">CS303!J10</f>
        <v>1</v>
      </c>
      <c r="R18" s="89" t="str">
        <f aca="false">CS303!J10</f>
        <v>1</v>
      </c>
      <c r="S18" s="89" t="str">
        <f aca="false">CS303!J10</f>
        <v>1</v>
      </c>
      <c r="T18" s="89" t="str">
        <f aca="false">CS303!J10</f>
        <v>1</v>
      </c>
    </row>
    <row r="19" customFormat="false" ht="18" hidden="false" customHeight="true" outlineLevel="0" collapsed="false">
      <c r="A19" s="84"/>
      <c r="B19" s="84"/>
      <c r="C19" s="84"/>
      <c r="D19" s="46" t="s">
        <v>92</v>
      </c>
      <c r="E19" s="87" t="n">
        <f aca="false">CS303!H11</f>
        <v>15</v>
      </c>
      <c r="F19" s="88" t="str">
        <f aca="false">CS303!J11</f>
        <v>1</v>
      </c>
      <c r="G19" s="88" t="str">
        <f aca="false">CS303!J11</f>
        <v>1</v>
      </c>
      <c r="H19" s="88" t="str">
        <f aca="false">CS303!J11</f>
        <v>1</v>
      </c>
      <c r="I19" s="88" t="str">
        <f aca="false">CS303!J11</f>
        <v>1</v>
      </c>
      <c r="J19" s="88" t="str">
        <f aca="false">CS303!J11</f>
        <v>1</v>
      </c>
      <c r="K19" s="88" t="str">
        <f aca="false">CS303!J11</f>
        <v>1</v>
      </c>
      <c r="L19" s="88" t="str">
        <f aca="false">CS303!J11</f>
        <v>1</v>
      </c>
      <c r="M19" s="88" t="str">
        <f aca="false">CS303!J11</f>
        <v>1</v>
      </c>
      <c r="N19" s="88" t="str">
        <f aca="false">CS303!J11</f>
        <v>1</v>
      </c>
      <c r="O19" s="88" t="str">
        <f aca="false">CS303!J11</f>
        <v>1</v>
      </c>
      <c r="P19" s="88" t="str">
        <f aca="false">CS303!J11</f>
        <v>1</v>
      </c>
      <c r="Q19" s="88" t="str">
        <f aca="false">CS303!J11</f>
        <v>1</v>
      </c>
      <c r="R19" s="88" t="str">
        <f aca="false">CS303!J11</f>
        <v>1</v>
      </c>
      <c r="S19" s="88" t="str">
        <f aca="false">CS303!J11</f>
        <v>1</v>
      </c>
      <c r="T19" s="88" t="str">
        <f aca="false">CS303!J11</f>
        <v>1</v>
      </c>
    </row>
    <row r="20" customFormat="false" ht="18" hidden="false" customHeight="true" outlineLevel="0" collapsed="false">
      <c r="A20" s="84"/>
      <c r="B20" s="84"/>
      <c r="C20" s="84"/>
      <c r="D20" s="46" t="s">
        <v>94</v>
      </c>
      <c r="E20" s="87" t="n">
        <f aca="false">CS303!H12</f>
        <v>10</v>
      </c>
      <c r="F20" s="89" t="str">
        <f aca="false">CS303!J12</f>
        <v>1</v>
      </c>
      <c r="G20" s="89" t="str">
        <f aca="false">CS303!J12</f>
        <v>1</v>
      </c>
      <c r="H20" s="89" t="str">
        <f aca="false">CS303!J12</f>
        <v>1</v>
      </c>
      <c r="I20" s="89" t="str">
        <f aca="false">CS303!J12</f>
        <v>1</v>
      </c>
      <c r="J20" s="89" t="str">
        <f aca="false">CS303!J12</f>
        <v>1</v>
      </c>
      <c r="K20" s="89" t="str">
        <f aca="false">CS303!J12</f>
        <v>1</v>
      </c>
      <c r="L20" s="89" t="str">
        <f aca="false">CS303!J12</f>
        <v>1</v>
      </c>
      <c r="M20" s="89" t="str">
        <f aca="false">CS303!J12</f>
        <v>1</v>
      </c>
      <c r="N20" s="89" t="str">
        <f aca="false">CS303!J12</f>
        <v>1</v>
      </c>
      <c r="O20" s="89" t="str">
        <f aca="false">CS303!J12</f>
        <v>1</v>
      </c>
      <c r="P20" s="89" t="str">
        <f aca="false">CS303!J12</f>
        <v>1</v>
      </c>
      <c r="Q20" s="89" t="str">
        <f aca="false">CS303!J12</f>
        <v>1</v>
      </c>
      <c r="R20" s="89" t="str">
        <f aca="false">CS303!J12</f>
        <v>1</v>
      </c>
      <c r="S20" s="89" t="str">
        <f aca="false">CS303!J12</f>
        <v>1</v>
      </c>
      <c r="T20" s="89" t="str">
        <f aca="false">CS303!J12</f>
        <v>1</v>
      </c>
    </row>
    <row r="21" customFormat="false" ht="18" hidden="false" customHeight="true" outlineLevel="0" collapsed="false">
      <c r="A21" s="84"/>
      <c r="B21" s="84"/>
      <c r="C21" s="84"/>
      <c r="D21" s="46" t="s">
        <v>96</v>
      </c>
      <c r="E21" s="87" t="n">
        <f aca="false">CS303!H13</f>
        <v>11.6666666666667</v>
      </c>
      <c r="F21" s="88" t="str">
        <f aca="false">CS303!J13</f>
        <v>1</v>
      </c>
      <c r="G21" s="88" t="str">
        <f aca="false">CS303!J13</f>
        <v>1</v>
      </c>
      <c r="H21" s="88" t="str">
        <f aca="false">CS303!J13</f>
        <v>1</v>
      </c>
      <c r="I21" s="88" t="str">
        <f aca="false">CS303!J13</f>
        <v>1</v>
      </c>
      <c r="J21" s="88" t="str">
        <f aca="false">CS303!J13</f>
        <v>1</v>
      </c>
      <c r="K21" s="88" t="str">
        <f aca="false">CS303!J13</f>
        <v>1</v>
      </c>
      <c r="L21" s="88" t="str">
        <f aca="false">CS303!J13</f>
        <v>1</v>
      </c>
      <c r="M21" s="88" t="str">
        <f aca="false">CS303!J13</f>
        <v>1</v>
      </c>
      <c r="N21" s="88" t="str">
        <f aca="false">CS303!J13</f>
        <v>1</v>
      </c>
      <c r="O21" s="88" t="str">
        <f aca="false">CS303!J13</f>
        <v>1</v>
      </c>
      <c r="P21" s="88" t="str">
        <f aca="false">CS303!J13</f>
        <v>1</v>
      </c>
      <c r="Q21" s="88" t="str">
        <f aca="false">CS303!J13</f>
        <v>1</v>
      </c>
      <c r="R21" s="88" t="str">
        <f aca="false">CS303!J13</f>
        <v>1</v>
      </c>
      <c r="S21" s="88" t="str">
        <f aca="false">CS303!J13</f>
        <v>1</v>
      </c>
      <c r="T21" s="88" t="str">
        <f aca="false">CS303!J13</f>
        <v>1</v>
      </c>
    </row>
    <row r="22" customFormat="false" ht="18" hidden="false" customHeight="true" outlineLevel="0" collapsed="false">
      <c r="A22" s="84" t="n">
        <v>4</v>
      </c>
      <c r="B22" s="85" t="s">
        <v>126</v>
      </c>
      <c r="C22" s="86" t="s">
        <v>121</v>
      </c>
      <c r="D22" s="46" t="s">
        <v>88</v>
      </c>
      <c r="E22" s="87" t="n">
        <f aca="false">CS304!H9</f>
        <v>13.3333333333333</v>
      </c>
      <c r="F22" s="89" t="str">
        <f aca="false">CS304!J9</f>
        <v>1</v>
      </c>
      <c r="G22" s="89" t="str">
        <f aca="false">CS304!J9</f>
        <v>1</v>
      </c>
      <c r="H22" s="89" t="str">
        <f aca="false">CS304!J9</f>
        <v>1</v>
      </c>
      <c r="I22" s="89" t="str">
        <f aca="false">CS304!J9</f>
        <v>1</v>
      </c>
      <c r="J22" s="89" t="str">
        <f aca="false">CS304!J9</f>
        <v>1</v>
      </c>
      <c r="K22" s="89" t="str">
        <f aca="false">CS304!J9</f>
        <v>1</v>
      </c>
      <c r="L22" s="89" t="str">
        <f aca="false">CS304!J9</f>
        <v>1</v>
      </c>
      <c r="M22" s="89" t="str">
        <f aca="false">CS304!J9</f>
        <v>1</v>
      </c>
      <c r="N22" s="89" t="str">
        <f aca="false">CS304!J9</f>
        <v>1</v>
      </c>
      <c r="O22" s="89" t="str">
        <f aca="false">CS304!J9</f>
        <v>1</v>
      </c>
      <c r="P22" s="89" t="str">
        <f aca="false">CS304!J9</f>
        <v>1</v>
      </c>
      <c r="Q22" s="89" t="str">
        <f aca="false">CS304!J9</f>
        <v>1</v>
      </c>
      <c r="R22" s="89" t="str">
        <f aca="false">CS304!J9</f>
        <v>1</v>
      </c>
      <c r="S22" s="89" t="str">
        <f aca="false">CS304!J9</f>
        <v>1</v>
      </c>
      <c r="T22" s="89" t="str">
        <f aca="false">CS304!J9</f>
        <v>1</v>
      </c>
    </row>
    <row r="23" customFormat="false" ht="18" hidden="false" customHeight="true" outlineLevel="0" collapsed="false">
      <c r="A23" s="84"/>
      <c r="B23" s="84"/>
      <c r="C23" s="84"/>
      <c r="D23" s="46" t="s">
        <v>90</v>
      </c>
      <c r="E23" s="87" t="n">
        <f aca="false">CS304!H10</f>
        <v>15.8333333333333</v>
      </c>
      <c r="F23" s="88" t="str">
        <f aca="false">CS304!J10</f>
        <v>2</v>
      </c>
      <c r="G23" s="88" t="str">
        <f aca="false">CS304!J10</f>
        <v>2</v>
      </c>
      <c r="H23" s="88" t="str">
        <f aca="false">CS304!J10</f>
        <v>2</v>
      </c>
      <c r="I23" s="88" t="str">
        <f aca="false">CS304!J10</f>
        <v>2</v>
      </c>
      <c r="J23" s="88" t="str">
        <f aca="false">CS304!J10</f>
        <v>2</v>
      </c>
      <c r="K23" s="88" t="str">
        <f aca="false">CS304!J10</f>
        <v>2</v>
      </c>
      <c r="L23" s="88" t="str">
        <f aca="false">CS304!J10</f>
        <v>2</v>
      </c>
      <c r="M23" s="88" t="str">
        <f aca="false">CS304!J10</f>
        <v>2</v>
      </c>
      <c r="N23" s="88" t="str">
        <f aca="false">CS304!J10</f>
        <v>2</v>
      </c>
      <c r="O23" s="88" t="str">
        <f aca="false">CS304!J10</f>
        <v>2</v>
      </c>
      <c r="P23" s="88" t="str">
        <f aca="false">CS304!J10</f>
        <v>2</v>
      </c>
      <c r="Q23" s="88" t="str">
        <f aca="false">CS304!J10</f>
        <v>2</v>
      </c>
      <c r="R23" s="88" t="str">
        <f aca="false">CS304!J10</f>
        <v>2</v>
      </c>
      <c r="S23" s="88" t="str">
        <f aca="false">CS304!J10</f>
        <v>2</v>
      </c>
      <c r="T23" s="88" t="str">
        <f aca="false">CS304!J10</f>
        <v>2</v>
      </c>
    </row>
    <row r="24" customFormat="false" ht="18" hidden="false" customHeight="true" outlineLevel="0" collapsed="false">
      <c r="A24" s="84"/>
      <c r="B24" s="84"/>
      <c r="C24" s="84"/>
      <c r="D24" s="46" t="s">
        <v>92</v>
      </c>
      <c r="E24" s="87" t="n">
        <f aca="false">CS304!H11</f>
        <v>10.8333333333333</v>
      </c>
      <c r="F24" s="89" t="str">
        <f aca="false">CS304!J11</f>
        <v>1</v>
      </c>
      <c r="G24" s="89" t="str">
        <f aca="false">CS304!J11</f>
        <v>1</v>
      </c>
      <c r="H24" s="89" t="str">
        <f aca="false">CS304!J11</f>
        <v>1</v>
      </c>
      <c r="I24" s="89" t="str">
        <f aca="false">CS304!J11</f>
        <v>1</v>
      </c>
      <c r="J24" s="89" t="str">
        <f aca="false">CS304!J11</f>
        <v>1</v>
      </c>
      <c r="K24" s="89" t="str">
        <f aca="false">CS304!J11</f>
        <v>1</v>
      </c>
      <c r="L24" s="89" t="str">
        <f aca="false">CS304!J11</f>
        <v>1</v>
      </c>
      <c r="M24" s="89" t="str">
        <f aca="false">CS304!J11</f>
        <v>1</v>
      </c>
      <c r="N24" s="89" t="str">
        <f aca="false">CS304!J11</f>
        <v>1</v>
      </c>
      <c r="O24" s="89" t="str">
        <f aca="false">CS304!J11</f>
        <v>1</v>
      </c>
      <c r="P24" s="89" t="str">
        <f aca="false">CS304!J11</f>
        <v>1</v>
      </c>
      <c r="Q24" s="89" t="str">
        <f aca="false">CS304!J11</f>
        <v>1</v>
      </c>
      <c r="R24" s="89" t="str">
        <f aca="false">CS304!J11</f>
        <v>1</v>
      </c>
      <c r="S24" s="89" t="str">
        <f aca="false">CS304!J11</f>
        <v>1</v>
      </c>
      <c r="T24" s="89" t="str">
        <f aca="false">CS304!J11</f>
        <v>1</v>
      </c>
    </row>
    <row r="25" customFormat="false" ht="18" hidden="false" customHeight="true" outlineLevel="0" collapsed="false">
      <c r="A25" s="84"/>
      <c r="B25" s="84"/>
      <c r="C25" s="84"/>
      <c r="D25" s="46" t="s">
        <v>94</v>
      </c>
      <c r="E25" s="87" t="n">
        <f aca="false">CS304!H12</f>
        <v>10</v>
      </c>
      <c r="F25" s="88" t="str">
        <f aca="false">CS304!J12</f>
        <v>1</v>
      </c>
      <c r="G25" s="88" t="str">
        <f aca="false">CS304!J12</f>
        <v>1</v>
      </c>
      <c r="H25" s="88" t="str">
        <f aca="false">CS304!J12</f>
        <v>1</v>
      </c>
      <c r="I25" s="88" t="str">
        <f aca="false">CS304!J12</f>
        <v>1</v>
      </c>
      <c r="J25" s="88" t="str">
        <f aca="false">CS304!J12</f>
        <v>1</v>
      </c>
      <c r="K25" s="88" t="str">
        <f aca="false">CS304!J12</f>
        <v>1</v>
      </c>
      <c r="L25" s="88" t="str">
        <f aca="false">CS304!J12</f>
        <v>1</v>
      </c>
      <c r="M25" s="88" t="str">
        <f aca="false">CS304!J12</f>
        <v>1</v>
      </c>
      <c r="N25" s="88" t="str">
        <f aca="false">CS304!J12</f>
        <v>1</v>
      </c>
      <c r="O25" s="88" t="str">
        <f aca="false">CS304!J12</f>
        <v>1</v>
      </c>
      <c r="P25" s="88" t="str">
        <f aca="false">CS304!J12</f>
        <v>1</v>
      </c>
      <c r="Q25" s="88" t="str">
        <f aca="false">CS304!J12</f>
        <v>1</v>
      </c>
      <c r="R25" s="88" t="str">
        <f aca="false">CS304!J12</f>
        <v>1</v>
      </c>
      <c r="S25" s="88" t="str">
        <f aca="false">CS304!J12</f>
        <v>1</v>
      </c>
      <c r="T25" s="88" t="str">
        <f aca="false">CS304!J12</f>
        <v>1</v>
      </c>
    </row>
    <row r="26" customFormat="false" ht="18" hidden="false" customHeight="true" outlineLevel="0" collapsed="false">
      <c r="A26" s="84"/>
      <c r="B26" s="84"/>
      <c r="C26" s="84"/>
      <c r="D26" s="46" t="s">
        <v>96</v>
      </c>
      <c r="E26" s="87" t="n">
        <f aca="false">CS304!H13</f>
        <v>10</v>
      </c>
      <c r="F26" s="89" t="str">
        <f aca="false">CS304!J13</f>
        <v>1</v>
      </c>
      <c r="G26" s="89" t="str">
        <f aca="false">CS304!J13</f>
        <v>1</v>
      </c>
      <c r="H26" s="89" t="str">
        <f aca="false">CS304!J13</f>
        <v>1</v>
      </c>
      <c r="I26" s="89" t="str">
        <f aca="false">CS304!J13</f>
        <v>1</v>
      </c>
      <c r="J26" s="89" t="str">
        <f aca="false">CS304!J13</f>
        <v>1</v>
      </c>
      <c r="K26" s="89" t="str">
        <f aca="false">CS304!J13</f>
        <v>1</v>
      </c>
      <c r="L26" s="89" t="str">
        <f aca="false">CS304!J13</f>
        <v>1</v>
      </c>
      <c r="M26" s="89" t="str">
        <f aca="false">CS304!J13</f>
        <v>1</v>
      </c>
      <c r="N26" s="89" t="str">
        <f aca="false">CS304!J13</f>
        <v>1</v>
      </c>
      <c r="O26" s="89" t="str">
        <f aca="false">CS304!J13</f>
        <v>1</v>
      </c>
      <c r="P26" s="89" t="str">
        <f aca="false">CS304!J13</f>
        <v>1</v>
      </c>
      <c r="Q26" s="89" t="str">
        <f aca="false">CS304!J13</f>
        <v>1</v>
      </c>
      <c r="R26" s="89" t="str">
        <f aca="false">CS304!J13</f>
        <v>1</v>
      </c>
      <c r="S26" s="89" t="str">
        <f aca="false">CS304!J13</f>
        <v>1</v>
      </c>
      <c r="T26" s="89" t="str">
        <f aca="false">CS304!J13</f>
        <v>1</v>
      </c>
    </row>
    <row r="27" customFormat="false" ht="18" hidden="false" customHeight="true" outlineLevel="0" collapsed="false">
      <c r="A27" s="84" t="n">
        <v>5</v>
      </c>
      <c r="B27" s="85" t="s">
        <v>127</v>
      </c>
      <c r="C27" s="86" t="s">
        <v>122</v>
      </c>
      <c r="D27" s="46" t="s">
        <v>88</v>
      </c>
      <c r="E27" s="87" t="n">
        <f aca="false">CS305!H9</f>
        <v>11.1111111111111</v>
      </c>
      <c r="F27" s="88" t="str">
        <f aca="false">CS305!J9</f>
        <v>1</v>
      </c>
      <c r="G27" s="88" t="str">
        <f aca="false">CS305!J9</f>
        <v>1</v>
      </c>
      <c r="H27" s="88" t="str">
        <f aca="false">CS305!J9</f>
        <v>1</v>
      </c>
      <c r="I27" s="88" t="str">
        <f aca="false">CS305!J9</f>
        <v>1</v>
      </c>
      <c r="J27" s="88" t="str">
        <f aca="false">CS305!J9</f>
        <v>1</v>
      </c>
      <c r="K27" s="88" t="str">
        <f aca="false">CS305!J9</f>
        <v>1</v>
      </c>
      <c r="L27" s="88" t="str">
        <f aca="false">CS305!J9</f>
        <v>1</v>
      </c>
      <c r="M27" s="88" t="str">
        <f aca="false">CS305!J9</f>
        <v>1</v>
      </c>
      <c r="N27" s="88" t="str">
        <f aca="false">CS305!J9</f>
        <v>1</v>
      </c>
      <c r="O27" s="88" t="str">
        <f aca="false">CS305!J9</f>
        <v>1</v>
      </c>
      <c r="P27" s="88" t="str">
        <f aca="false">CS305!J9</f>
        <v>1</v>
      </c>
      <c r="Q27" s="88" t="str">
        <f aca="false">CS305!J9</f>
        <v>1</v>
      </c>
      <c r="R27" s="88" t="str">
        <f aca="false">CS305!J9</f>
        <v>1</v>
      </c>
      <c r="S27" s="88" t="str">
        <f aca="false">CS305!J9</f>
        <v>1</v>
      </c>
      <c r="T27" s="88" t="str">
        <f aca="false">CS305!J9</f>
        <v>1</v>
      </c>
    </row>
    <row r="28" customFormat="false" ht="18" hidden="false" customHeight="true" outlineLevel="0" collapsed="false">
      <c r="A28" s="84"/>
      <c r="B28" s="84"/>
      <c r="C28" s="84"/>
      <c r="D28" s="46" t="s">
        <v>90</v>
      </c>
      <c r="E28" s="87" t="n">
        <f aca="false">CS305!H10</f>
        <v>14.0740740740741</v>
      </c>
      <c r="F28" s="89" t="str">
        <f aca="false">CS305!J10</f>
        <v>1</v>
      </c>
      <c r="G28" s="89" t="str">
        <f aca="false">CS305!J10</f>
        <v>1</v>
      </c>
      <c r="H28" s="89" t="str">
        <f aca="false">CS305!J10</f>
        <v>1</v>
      </c>
      <c r="I28" s="89" t="str">
        <f aca="false">CS305!J10</f>
        <v>1</v>
      </c>
      <c r="J28" s="89" t="str">
        <f aca="false">CS305!J10</f>
        <v>1</v>
      </c>
      <c r="K28" s="89" t="str">
        <f aca="false">CS305!J10</f>
        <v>1</v>
      </c>
      <c r="L28" s="89" t="str">
        <f aca="false">CS305!J10</f>
        <v>1</v>
      </c>
      <c r="M28" s="89" t="str">
        <f aca="false">CS305!J10</f>
        <v>1</v>
      </c>
      <c r="N28" s="89" t="str">
        <f aca="false">CS305!J10</f>
        <v>1</v>
      </c>
      <c r="O28" s="89" t="str">
        <f aca="false">CS305!J10</f>
        <v>1</v>
      </c>
      <c r="P28" s="89" t="str">
        <f aca="false">CS305!J10</f>
        <v>1</v>
      </c>
      <c r="Q28" s="89" t="str">
        <f aca="false">CS305!J10</f>
        <v>1</v>
      </c>
      <c r="R28" s="89" t="str">
        <f aca="false">CS305!J10</f>
        <v>1</v>
      </c>
      <c r="S28" s="89" t="str">
        <f aca="false">CS305!J10</f>
        <v>1</v>
      </c>
      <c r="T28" s="89" t="str">
        <f aca="false">CS305!J10</f>
        <v>1</v>
      </c>
    </row>
    <row r="29" customFormat="false" ht="18" hidden="false" customHeight="true" outlineLevel="0" collapsed="false">
      <c r="A29" s="84"/>
      <c r="B29" s="84"/>
      <c r="C29" s="84"/>
      <c r="D29" s="46" t="s">
        <v>92</v>
      </c>
      <c r="E29" s="87" t="n">
        <f aca="false">CS305!H11</f>
        <v>14.0740740740741</v>
      </c>
      <c r="F29" s="88" t="str">
        <f aca="false">CS305!J11</f>
        <v>1</v>
      </c>
      <c r="G29" s="88" t="str">
        <f aca="false">CS305!J11</f>
        <v>1</v>
      </c>
      <c r="H29" s="88" t="str">
        <f aca="false">CS305!J11</f>
        <v>1</v>
      </c>
      <c r="I29" s="88" t="str">
        <f aca="false">CS305!J11</f>
        <v>1</v>
      </c>
      <c r="J29" s="88" t="str">
        <f aca="false">CS305!J11</f>
        <v>1</v>
      </c>
      <c r="K29" s="88" t="str">
        <f aca="false">CS305!J11</f>
        <v>1</v>
      </c>
      <c r="L29" s="88" t="str">
        <f aca="false">CS305!J11</f>
        <v>1</v>
      </c>
      <c r="M29" s="88" t="str">
        <f aca="false">CS305!J11</f>
        <v>1</v>
      </c>
      <c r="N29" s="88" t="str">
        <f aca="false">CS305!J11</f>
        <v>1</v>
      </c>
      <c r="O29" s="88" t="str">
        <f aca="false">CS305!J11</f>
        <v>1</v>
      </c>
      <c r="P29" s="88" t="str">
        <f aca="false">CS305!J11</f>
        <v>1</v>
      </c>
      <c r="Q29" s="88" t="str">
        <f aca="false">CS305!J11</f>
        <v>1</v>
      </c>
      <c r="R29" s="88" t="str">
        <f aca="false">CS305!J11</f>
        <v>1</v>
      </c>
      <c r="S29" s="88" t="str">
        <f aca="false">CS305!J11</f>
        <v>1</v>
      </c>
      <c r="T29" s="88" t="str">
        <f aca="false">CS305!J11</f>
        <v>1</v>
      </c>
    </row>
    <row r="30" customFormat="false" ht="18" hidden="false" customHeight="true" outlineLevel="0" collapsed="false">
      <c r="A30" s="84"/>
      <c r="B30" s="84"/>
      <c r="C30" s="84"/>
      <c r="D30" s="46" t="s">
        <v>94</v>
      </c>
      <c r="E30" s="87" t="n">
        <f aca="false">CS305!H12</f>
        <v>10.3703703703704</v>
      </c>
      <c r="F30" s="89" t="str">
        <f aca="false">CS305!J12</f>
        <v>1</v>
      </c>
      <c r="G30" s="89" t="str">
        <f aca="false">CS305!J12</f>
        <v>1</v>
      </c>
      <c r="H30" s="89" t="str">
        <f aca="false">CS305!J12</f>
        <v>1</v>
      </c>
      <c r="I30" s="89" t="str">
        <f aca="false">CS305!J12</f>
        <v>1</v>
      </c>
      <c r="J30" s="89" t="str">
        <f aca="false">CS305!J12</f>
        <v>1</v>
      </c>
      <c r="K30" s="89" t="str">
        <f aca="false">CS305!J12</f>
        <v>1</v>
      </c>
      <c r="L30" s="89" t="str">
        <f aca="false">CS305!J12</f>
        <v>1</v>
      </c>
      <c r="M30" s="89" t="str">
        <f aca="false">CS305!J12</f>
        <v>1</v>
      </c>
      <c r="N30" s="89" t="str">
        <f aca="false">CS305!J12</f>
        <v>1</v>
      </c>
      <c r="O30" s="89" t="str">
        <f aca="false">CS305!J12</f>
        <v>1</v>
      </c>
      <c r="P30" s="89" t="str">
        <f aca="false">CS305!J12</f>
        <v>1</v>
      </c>
      <c r="Q30" s="89" t="str">
        <f aca="false">CS305!J12</f>
        <v>1</v>
      </c>
      <c r="R30" s="89" t="str">
        <f aca="false">CS305!J12</f>
        <v>1</v>
      </c>
      <c r="S30" s="89" t="str">
        <f aca="false">CS305!J12</f>
        <v>1</v>
      </c>
      <c r="T30" s="89" t="str">
        <f aca="false">CS305!J12</f>
        <v>1</v>
      </c>
    </row>
    <row r="31" customFormat="false" ht="18" hidden="false" customHeight="true" outlineLevel="0" collapsed="false">
      <c r="A31" s="84"/>
      <c r="B31" s="84"/>
      <c r="C31" s="84"/>
      <c r="D31" s="46" t="s">
        <v>96</v>
      </c>
      <c r="E31" s="87" t="n">
        <f aca="false">CS305!H13</f>
        <v>10.3703703703704</v>
      </c>
      <c r="F31" s="88" t="str">
        <f aca="false">CS305!J13</f>
        <v>1</v>
      </c>
      <c r="G31" s="88" t="str">
        <f aca="false">CS305!J13</f>
        <v>1</v>
      </c>
      <c r="H31" s="88" t="str">
        <f aca="false">CS305!J13</f>
        <v>1</v>
      </c>
      <c r="I31" s="88" t="str">
        <f aca="false">CS305!J13</f>
        <v>1</v>
      </c>
      <c r="J31" s="88" t="str">
        <f aca="false">CS305!J13</f>
        <v>1</v>
      </c>
      <c r="K31" s="88" t="str">
        <f aca="false">CS305!J13</f>
        <v>1</v>
      </c>
      <c r="L31" s="88" t="str">
        <f aca="false">CS305!J13</f>
        <v>1</v>
      </c>
      <c r="M31" s="88" t="str">
        <f aca="false">CS305!J13</f>
        <v>1</v>
      </c>
      <c r="N31" s="88" t="str">
        <f aca="false">CS305!J13</f>
        <v>1</v>
      </c>
      <c r="O31" s="88" t="str">
        <f aca="false">CS305!J13</f>
        <v>1</v>
      </c>
      <c r="P31" s="88" t="str">
        <f aca="false">CS305!J13</f>
        <v>1</v>
      </c>
      <c r="Q31" s="88" t="str">
        <f aca="false">CS305!J13</f>
        <v>1</v>
      </c>
      <c r="R31" s="88" t="str">
        <f aca="false">CS305!J13</f>
        <v>1</v>
      </c>
      <c r="S31" s="88" t="str">
        <f aca="false">CS305!J13</f>
        <v>1</v>
      </c>
      <c r="T31" s="88" t="str">
        <f aca="false">CS305!J13</f>
        <v>1</v>
      </c>
    </row>
    <row r="32" customFormat="false" ht="18" hidden="false" customHeight="true" outlineLevel="0" collapsed="false">
      <c r="A32" s="84"/>
      <c r="B32" s="84"/>
      <c r="C32" s="84"/>
      <c r="D32" s="46" t="s">
        <v>137</v>
      </c>
      <c r="E32" s="87" t="n">
        <f aca="false">CS305!H14</f>
        <v>12.5925925925926</v>
      </c>
      <c r="F32" s="89" t="str">
        <f aca="false">CS305!J14</f>
        <v>1</v>
      </c>
      <c r="G32" s="89" t="str">
        <f aca="false">CS305!J14</f>
        <v>1</v>
      </c>
      <c r="H32" s="89" t="str">
        <f aca="false">CS305!J14</f>
        <v>1</v>
      </c>
      <c r="I32" s="89" t="str">
        <f aca="false">CS305!J14</f>
        <v>1</v>
      </c>
      <c r="J32" s="89" t="str">
        <f aca="false">CS305!J14</f>
        <v>1</v>
      </c>
      <c r="K32" s="89" t="str">
        <f aca="false">CS305!J14</f>
        <v>1</v>
      </c>
      <c r="L32" s="89" t="str">
        <f aca="false">CS305!J14</f>
        <v>1</v>
      </c>
      <c r="M32" s="89" t="str">
        <f aca="false">CS305!J14</f>
        <v>1</v>
      </c>
      <c r="N32" s="89" t="str">
        <f aca="false">CS305!J14</f>
        <v>1</v>
      </c>
      <c r="O32" s="89" t="str">
        <f aca="false">CS305!J14</f>
        <v>1</v>
      </c>
      <c r="P32" s="89" t="str">
        <f aca="false">CS305!J14</f>
        <v>1</v>
      </c>
      <c r="Q32" s="89" t="str">
        <f aca="false">CS305!J14</f>
        <v>1</v>
      </c>
      <c r="R32" s="89" t="str">
        <f aca="false">CS305!J14</f>
        <v>1</v>
      </c>
      <c r="S32" s="89" t="str">
        <f aca="false">CS305!J14</f>
        <v>1</v>
      </c>
      <c r="T32" s="89" t="str">
        <f aca="false">CS305!J14</f>
        <v>1</v>
      </c>
    </row>
    <row r="34" customFormat="false" ht="21.75" hidden="false" customHeight="true" outlineLevel="0" collapsed="false">
      <c r="A34" s="56" t="s">
        <v>157</v>
      </c>
      <c r="B34" s="56"/>
      <c r="C34" s="56"/>
      <c r="D34" s="56"/>
      <c r="E34" s="90" t="n">
        <f aca="false">AVERAGE(E7:E32)</f>
        <v>12.5356125356125</v>
      </c>
      <c r="F34" s="82" t="str">
        <f aca="false">IFERROR(IF(AVERAGE(IF(ISNUMBER(VALUE(F7:F32)),VALUE(F7:F32)))&gt;2.5,"3",IF(AVERAGE(IF(ISNUMBER(VALUE(F7:F32)),VALUE(F7:F32)))&gt;1.5,"2","1")),"—")</f>
        <v>1</v>
      </c>
      <c r="G34" s="82" t="str">
        <f aca="false">IFERROR(IF(AVERAGE(IF(ISNUMBER(VALUE(G7:G32)),VALUE(G7:G32)))&gt;2.5,"3",IF(AVERAGE(IF(ISNUMBER(VALUE(G7:G32)),VALUE(G7:G32)))&gt;1.5,"2","1")),"—")</f>
        <v>1</v>
      </c>
      <c r="H34" s="82" t="str">
        <f aca="false">IFERROR(IF(AVERAGE(IF(ISNUMBER(VALUE(H7:H32)),VALUE(H7:H32)))&gt;2.5,"3",IF(AVERAGE(IF(ISNUMBER(VALUE(H7:H32)),VALUE(H7:H32)))&gt;1.5,"2","1")),"—")</f>
        <v>1</v>
      </c>
      <c r="I34" s="82" t="str">
        <f aca="false">IFERROR(IF(AVERAGE(IF(ISNUMBER(VALUE(I7:I32)),VALUE(I7:I32)))&gt;2.5,"3",IF(AVERAGE(IF(ISNUMBER(VALUE(I7:I32)),VALUE(I7:I32)))&gt;1.5,"2","1")),"—")</f>
        <v>1</v>
      </c>
      <c r="J34" s="82" t="str">
        <f aca="false">IFERROR(IF(AVERAGE(IF(ISNUMBER(VALUE(J7:J32)),VALUE(J7:J32)))&gt;2.5,"3",IF(AVERAGE(IF(ISNUMBER(VALUE(J7:J32)),VALUE(J7:J32)))&gt;1.5,"2","1")),"—")</f>
        <v>1</v>
      </c>
      <c r="K34" s="82" t="str">
        <f aca="false">IFERROR(IF(AVERAGE(IF(ISNUMBER(VALUE(K7:K32)),VALUE(K7:K32)))&gt;2.5,"3",IF(AVERAGE(IF(ISNUMBER(VALUE(K7:K32)),VALUE(K7:K32)))&gt;1.5,"2","1")),"—")</f>
        <v>1</v>
      </c>
      <c r="L34" s="82" t="str">
        <f aca="false">IFERROR(IF(AVERAGE(IF(ISNUMBER(VALUE(L7:L32)),VALUE(L7:L32)))&gt;2.5,"3",IF(AVERAGE(IF(ISNUMBER(VALUE(L7:L32)),VALUE(L7:L32)))&gt;1.5,"2","1")),"—")</f>
        <v>1</v>
      </c>
      <c r="M34" s="82" t="str">
        <f aca="false">IFERROR(IF(AVERAGE(IF(ISNUMBER(VALUE(M7:M32)),VALUE(M7:M32)))&gt;2.5,"3",IF(AVERAGE(IF(ISNUMBER(VALUE(M7:M32)),VALUE(M7:M32)))&gt;1.5,"2","1")),"—")</f>
        <v>1</v>
      </c>
      <c r="N34" s="82" t="str">
        <f aca="false">IFERROR(IF(AVERAGE(IF(ISNUMBER(VALUE(N7:N32)),VALUE(N7:N32)))&gt;2.5,"3",IF(AVERAGE(IF(ISNUMBER(VALUE(N7:N32)),VALUE(N7:N32)))&gt;1.5,"2","1")),"—")</f>
        <v>1</v>
      </c>
      <c r="O34" s="82" t="str">
        <f aca="false">IFERROR(IF(AVERAGE(IF(ISNUMBER(VALUE(O7:O32)),VALUE(O7:O32)))&gt;2.5,"3",IF(AVERAGE(IF(ISNUMBER(VALUE(O7:O32)),VALUE(O7:O32)))&gt;1.5,"2","1")),"—")</f>
        <v>1</v>
      </c>
      <c r="P34" s="82" t="str">
        <f aca="false">IFERROR(IF(AVERAGE(IF(ISNUMBER(VALUE(P7:P32)),VALUE(P7:P32)))&gt;2.5,"3",IF(AVERAGE(IF(ISNUMBER(VALUE(P7:P32)),VALUE(P7:P32)))&gt;1.5,"2","1")),"—")</f>
        <v>1</v>
      </c>
      <c r="Q34" s="82" t="str">
        <f aca="false">IFERROR(IF(AVERAGE(IF(ISNUMBER(VALUE(Q7:Q32)),VALUE(Q7:Q32)))&gt;2.5,"3",IF(AVERAGE(IF(ISNUMBER(VALUE(Q7:Q32)),VALUE(Q7:Q32)))&gt;1.5,"2","1")),"—")</f>
        <v>1</v>
      </c>
      <c r="R34" s="82" t="str">
        <f aca="false">IFERROR(IF(AVERAGE(IF(ISNUMBER(VALUE(R7:R32)),VALUE(R7:R32)))&gt;2.5,"3",IF(AVERAGE(IF(ISNUMBER(VALUE(R7:R32)),VALUE(R7:R32)))&gt;1.5,"2","1")),"—")</f>
        <v>1</v>
      </c>
      <c r="S34" s="82" t="str">
        <f aca="false">IFERROR(IF(AVERAGE(IF(ISNUMBER(VALUE(S7:S32)),VALUE(S7:S32)))&gt;2.5,"3",IF(AVERAGE(IF(ISNUMBER(VALUE(S7:S32)),VALUE(S7:S32)))&gt;1.5,"2","1")),"—")</f>
        <v>1</v>
      </c>
      <c r="T34" s="82" t="str">
        <f aca="false">IFERROR(IF(AVERAGE(IF(ISNUMBER(VALUE(T7:T32)),VALUE(T7:T32)))&gt;2.5,"3",IF(AVERAGE(IF(ISNUMBER(VALUE(T7:T32)),VALUE(T7:T32)))&gt;1.5,"2","1")),"—")</f>
        <v>1</v>
      </c>
    </row>
  </sheetData>
  <mergeCells count="26">
    <mergeCell ref="A1:T1"/>
    <mergeCell ref="A2:T2"/>
    <mergeCell ref="A4:E4"/>
    <mergeCell ref="A5:A6"/>
    <mergeCell ref="B5:B6"/>
    <mergeCell ref="C5:C6"/>
    <mergeCell ref="D5:D6"/>
    <mergeCell ref="E5:E6"/>
    <mergeCell ref="F5:Q5"/>
    <mergeCell ref="R5:T5"/>
    <mergeCell ref="A7:A11"/>
    <mergeCell ref="B7:B11"/>
    <mergeCell ref="C7:C11"/>
    <mergeCell ref="A12:A16"/>
    <mergeCell ref="B12:B16"/>
    <mergeCell ref="C12:C16"/>
    <mergeCell ref="A17:A21"/>
    <mergeCell ref="B17:B21"/>
    <mergeCell ref="C17:C21"/>
    <mergeCell ref="A22:A26"/>
    <mergeCell ref="B22:B26"/>
    <mergeCell ref="C22:C26"/>
    <mergeCell ref="A27:A32"/>
    <mergeCell ref="B27:B32"/>
    <mergeCell ref="C27:C32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"/>
    <col collapsed="false" customWidth="true" hidden="false" outlineLevel="0" max="6" min="3" style="1" width="8"/>
    <col collapsed="false" customWidth="true" hidden="false" outlineLevel="0" max="8" min="7" style="1" width="10"/>
    <col collapsed="false" customWidth="true" hidden="false" outlineLevel="0" max="10" min="9" style="1" width="9"/>
    <col collapsed="false" customWidth="true" hidden="false" outlineLevel="0" max="25" min="11" style="1" width="8"/>
  </cols>
  <sheetData>
    <row r="1" customFormat="false" ht="36" hidden="false" customHeight="true" outlineLevel="0" collapsed="false">
      <c r="A1" s="34" t="s">
        <v>158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customFormat="false" ht="13.5" hidden="false" customHeight="true" outlineLevel="0" collapsed="false">
      <c r="A2" s="35" t="s">
        <v>53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customFormat="false" ht="4.5" hidden="false" customHeight="true" outlineLevel="0" collapsed="false"/>
    <row r="4" customFormat="false" ht="21.75" hidden="false" customHeight="true" outlineLevel="0" collapsed="false">
      <c r="A4" s="36" t="s">
        <v>54</v>
      </c>
      <c r="B4" s="36"/>
      <c r="C4" s="37" t="s">
        <v>55</v>
      </c>
      <c r="D4" s="37" t="s">
        <v>56</v>
      </c>
      <c r="E4" s="37" t="s">
        <v>57</v>
      </c>
      <c r="F4" s="37" t="s">
        <v>58</v>
      </c>
      <c r="G4" s="37" t="s">
        <v>59</v>
      </c>
      <c r="H4" s="37" t="s">
        <v>60</v>
      </c>
    </row>
    <row r="5" customFormat="false" ht="19.5" hidden="false" customHeight="true" outlineLevel="0" collapsed="false">
      <c r="A5" s="36" t="s">
        <v>61</v>
      </c>
      <c r="B5" s="36"/>
      <c r="C5" s="38" t="n">
        <v>3</v>
      </c>
      <c r="D5" s="38" t="n">
        <v>1</v>
      </c>
      <c r="E5" s="38" t="n">
        <v>2</v>
      </c>
      <c r="F5" s="38" t="n">
        <v>0</v>
      </c>
      <c r="G5" s="38" t="n">
        <v>15</v>
      </c>
      <c r="H5" s="39" t="n">
        <f aca="false">C5*G5+D5*G5+E5*G5*2+F5*G5</f>
        <v>120</v>
      </c>
    </row>
    <row r="6" customFormat="false" ht="7.5" hidden="false" customHeight="true" outlineLevel="0" collapsed="false"/>
    <row r="7" customFormat="false" ht="25.5" hidden="false" customHeight="true" outlineLevel="0" collapsed="false">
      <c r="A7" s="40" t="s">
        <v>62</v>
      </c>
      <c r="B7" s="40" t="s">
        <v>63</v>
      </c>
      <c r="C7" s="41" t="s">
        <v>64</v>
      </c>
      <c r="D7" s="41" t="s">
        <v>65</v>
      </c>
      <c r="E7" s="41" t="s">
        <v>66</v>
      </c>
      <c r="F7" s="41" t="s">
        <v>67</v>
      </c>
      <c r="G7" s="42" t="s">
        <v>68</v>
      </c>
      <c r="H7" s="42" t="s">
        <v>69</v>
      </c>
      <c r="I7" s="43" t="s">
        <v>70</v>
      </c>
      <c r="J7" s="43" t="s">
        <v>4</v>
      </c>
      <c r="K7" s="44" t="s">
        <v>71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5" t="s">
        <v>72</v>
      </c>
      <c r="X7" s="45"/>
      <c r="Y7" s="45"/>
    </row>
    <row r="8" customFormat="false" ht="19.5" hidden="false" customHeight="true" outlineLevel="0" collapsed="false">
      <c r="A8" s="40"/>
      <c r="B8" s="40"/>
      <c r="C8" s="40"/>
      <c r="D8" s="40"/>
      <c r="E8" s="40"/>
      <c r="F8" s="40"/>
      <c r="G8" s="40"/>
      <c r="H8" s="40"/>
      <c r="I8" s="40"/>
      <c r="J8" s="40"/>
      <c r="K8" s="46" t="s">
        <v>73</v>
      </c>
      <c r="L8" s="46" t="s">
        <v>74</v>
      </c>
      <c r="M8" s="46" t="s">
        <v>75</v>
      </c>
      <c r="N8" s="46" t="s">
        <v>76</v>
      </c>
      <c r="O8" s="46" t="s">
        <v>77</v>
      </c>
      <c r="P8" s="46" t="s">
        <v>78</v>
      </c>
      <c r="Q8" s="46" t="s">
        <v>79</v>
      </c>
      <c r="R8" s="46" t="s">
        <v>80</v>
      </c>
      <c r="S8" s="46" t="s">
        <v>81</v>
      </c>
      <c r="T8" s="46" t="s">
        <v>82</v>
      </c>
      <c r="U8" s="46" t="s">
        <v>83</v>
      </c>
      <c r="V8" s="46" t="s">
        <v>84</v>
      </c>
      <c r="W8" s="47" t="s">
        <v>85</v>
      </c>
      <c r="X8" s="47" t="s">
        <v>86</v>
      </c>
      <c r="Y8" s="47" t="s">
        <v>87</v>
      </c>
    </row>
    <row r="9" customFormat="false" ht="19.5" hidden="false" customHeight="true" outlineLevel="0" collapsed="false">
      <c r="A9" s="48" t="s">
        <v>88</v>
      </c>
      <c r="B9" s="28" t="s">
        <v>159</v>
      </c>
      <c r="C9" s="49" t="n">
        <v>10</v>
      </c>
      <c r="D9" s="49" t="n">
        <v>2</v>
      </c>
      <c r="E9" s="49" t="n">
        <v>2</v>
      </c>
      <c r="F9" s="49" t="n">
        <v>0</v>
      </c>
      <c r="G9" s="50" t="n">
        <f aca="false">C9+D9+E9*2+F9</f>
        <v>16</v>
      </c>
      <c r="H9" s="51" t="n">
        <f aca="false">IFERROR(G9/H$5*100,0)</f>
        <v>13.3333333333333</v>
      </c>
      <c r="I9" s="52" t="n">
        <f aca="false">IFERROR(IF(H9&gt;25,3,IF(H9&gt;15,2,IF(H9&gt;5,1,0))),0)</f>
        <v>1</v>
      </c>
      <c r="J9" s="53" t="str">
        <f aca="false">IF(I9=0,"—",IF(I9=1,"1",IF(I9=2,"2","3")))</f>
        <v>1</v>
      </c>
      <c r="K9" s="54" t="n">
        <f aca="false">IF(I9=0,"—",I9)</f>
        <v>1</v>
      </c>
      <c r="L9" s="54" t="n">
        <f aca="false">IF(I9=0,"—",I9)</f>
        <v>1</v>
      </c>
      <c r="M9" s="54" t="n">
        <f aca="false">IF(I9=0,"—",I9)</f>
        <v>1</v>
      </c>
      <c r="N9" s="54" t="n">
        <f aca="false">IF(I9=0,"—",I9)</f>
        <v>1</v>
      </c>
      <c r="O9" s="54" t="n">
        <f aca="false">IF(I9=0,"—",I9)</f>
        <v>1</v>
      </c>
      <c r="P9" s="54" t="n">
        <f aca="false">IF(I9=0,"—",I9)</f>
        <v>1</v>
      </c>
      <c r="Q9" s="54" t="n">
        <f aca="false">IF(I9=0,"—",I9)</f>
        <v>1</v>
      </c>
      <c r="R9" s="54" t="n">
        <f aca="false">IF(I9=0,"—",I9)</f>
        <v>1</v>
      </c>
      <c r="S9" s="54" t="n">
        <f aca="false">IF(I9=0,"—",I9)</f>
        <v>1</v>
      </c>
      <c r="T9" s="54" t="n">
        <f aca="false">IF(I9=0,"—",I9)</f>
        <v>1</v>
      </c>
      <c r="U9" s="54" t="n">
        <f aca="false">IF(I9=0,"—",I9)</f>
        <v>1</v>
      </c>
      <c r="V9" s="54" t="n">
        <f aca="false">IF(I9=0,"—",I9)</f>
        <v>1</v>
      </c>
      <c r="W9" s="54" t="n">
        <f aca="false">IF(I9=0,"—",I9)</f>
        <v>1</v>
      </c>
      <c r="X9" s="54" t="n">
        <f aca="false">IF(I9=0,"—",I9)</f>
        <v>1</v>
      </c>
      <c r="Y9" s="54" t="n">
        <f aca="false">IF(I9=0,"—",I9)</f>
        <v>1</v>
      </c>
    </row>
    <row r="10" customFormat="false" ht="19.5" hidden="false" customHeight="true" outlineLevel="0" collapsed="false">
      <c r="A10" s="48" t="s">
        <v>90</v>
      </c>
      <c r="B10" s="30" t="s">
        <v>160</v>
      </c>
      <c r="C10" s="49" t="n">
        <v>9</v>
      </c>
      <c r="D10" s="49" t="n">
        <v>2</v>
      </c>
      <c r="E10" s="49" t="n">
        <v>4</v>
      </c>
      <c r="F10" s="49" t="n">
        <v>0</v>
      </c>
      <c r="G10" s="50" t="n">
        <f aca="false">C10+D10+E10*2+F10</f>
        <v>19</v>
      </c>
      <c r="H10" s="51" t="n">
        <f aca="false">IFERROR(G10/H$5*100,0)</f>
        <v>15.8333333333333</v>
      </c>
      <c r="I10" s="52" t="n">
        <f aca="false">IFERROR(IF(H10&gt;25,3,IF(H10&gt;15,2,IF(H10&gt;5,1,0))),0)</f>
        <v>2</v>
      </c>
      <c r="J10" s="53" t="str">
        <f aca="false">IF(I10=0,"—",IF(I10=1,"1",IF(I10=2,"2","3")))</f>
        <v>2</v>
      </c>
      <c r="K10" s="55" t="n">
        <f aca="false">IF(I10=0,"—",I10)</f>
        <v>2</v>
      </c>
      <c r="L10" s="55" t="n">
        <f aca="false">IF(I10=0,"—",I10)</f>
        <v>2</v>
      </c>
      <c r="M10" s="55" t="n">
        <f aca="false">IF(I10=0,"—",I10)</f>
        <v>2</v>
      </c>
      <c r="N10" s="55" t="n">
        <f aca="false">IF(I10=0,"—",I10)</f>
        <v>2</v>
      </c>
      <c r="O10" s="55" t="n">
        <f aca="false">IF(I10=0,"—",I10)</f>
        <v>2</v>
      </c>
      <c r="P10" s="55" t="n">
        <f aca="false">IF(I10=0,"—",I10)</f>
        <v>2</v>
      </c>
      <c r="Q10" s="55" t="n">
        <f aca="false">IF(I10=0,"—",I10)</f>
        <v>2</v>
      </c>
      <c r="R10" s="55" t="n">
        <f aca="false">IF(I10=0,"—",I10)</f>
        <v>2</v>
      </c>
      <c r="S10" s="55" t="n">
        <f aca="false">IF(I10=0,"—",I10)</f>
        <v>2</v>
      </c>
      <c r="T10" s="55" t="n">
        <f aca="false">IF(I10=0,"—",I10)</f>
        <v>2</v>
      </c>
      <c r="U10" s="55" t="n">
        <f aca="false">IF(I10=0,"—",I10)</f>
        <v>2</v>
      </c>
      <c r="V10" s="55" t="n">
        <f aca="false">IF(I10=0,"—",I10)</f>
        <v>2</v>
      </c>
      <c r="W10" s="55" t="n">
        <f aca="false">IF(I10=0,"—",I10)</f>
        <v>2</v>
      </c>
      <c r="X10" s="55" t="n">
        <f aca="false">IF(I10=0,"—",I10)</f>
        <v>2</v>
      </c>
      <c r="Y10" s="55" t="n">
        <f aca="false">IF(I10=0,"—",I10)</f>
        <v>2</v>
      </c>
    </row>
    <row r="11" customFormat="false" ht="19.5" hidden="false" customHeight="true" outlineLevel="0" collapsed="false">
      <c r="A11" s="48" t="s">
        <v>92</v>
      </c>
      <c r="B11" s="28" t="s">
        <v>161</v>
      </c>
      <c r="C11" s="49" t="n">
        <v>8</v>
      </c>
      <c r="D11" s="49" t="n">
        <v>1</v>
      </c>
      <c r="E11" s="49" t="n">
        <v>2</v>
      </c>
      <c r="F11" s="49" t="n">
        <v>0</v>
      </c>
      <c r="G11" s="50" t="n">
        <f aca="false">C11+D11+E11*2+F11</f>
        <v>13</v>
      </c>
      <c r="H11" s="51" t="n">
        <f aca="false">IFERROR(G11/H$5*100,0)</f>
        <v>10.8333333333333</v>
      </c>
      <c r="I11" s="52" t="n">
        <f aca="false">IFERROR(IF(H11&gt;25,3,IF(H11&gt;15,2,IF(H11&gt;5,1,0))),0)</f>
        <v>1</v>
      </c>
      <c r="J11" s="53" t="str">
        <f aca="false">IF(I11=0,"—",IF(I11=1,"1",IF(I11=2,"2","3")))</f>
        <v>1</v>
      </c>
      <c r="K11" s="54" t="n">
        <f aca="false">IF(I11=0,"—",I11)</f>
        <v>1</v>
      </c>
      <c r="L11" s="54" t="n">
        <f aca="false">IF(I11=0,"—",I11)</f>
        <v>1</v>
      </c>
      <c r="M11" s="54" t="n">
        <f aca="false">IF(I11=0,"—",I11)</f>
        <v>1</v>
      </c>
      <c r="N11" s="54" t="n">
        <f aca="false">IF(I11=0,"—",I11)</f>
        <v>1</v>
      </c>
      <c r="O11" s="54" t="n">
        <f aca="false">IF(I11=0,"—",I11)</f>
        <v>1</v>
      </c>
      <c r="P11" s="54" t="n">
        <f aca="false">IF(I11=0,"—",I11)</f>
        <v>1</v>
      </c>
      <c r="Q11" s="54" t="n">
        <f aca="false">IF(I11=0,"—",I11)</f>
        <v>1</v>
      </c>
      <c r="R11" s="54" t="n">
        <f aca="false">IF(I11=0,"—",I11)</f>
        <v>1</v>
      </c>
      <c r="S11" s="54" t="n">
        <f aca="false">IF(I11=0,"—",I11)</f>
        <v>1</v>
      </c>
      <c r="T11" s="54" t="n">
        <f aca="false">IF(I11=0,"—",I11)</f>
        <v>1</v>
      </c>
      <c r="U11" s="54" t="n">
        <f aca="false">IF(I11=0,"—",I11)</f>
        <v>1</v>
      </c>
      <c r="V11" s="54" t="n">
        <f aca="false">IF(I11=0,"—",I11)</f>
        <v>1</v>
      </c>
      <c r="W11" s="54" t="n">
        <f aca="false">IF(I11=0,"—",I11)</f>
        <v>1</v>
      </c>
      <c r="X11" s="54" t="n">
        <f aca="false">IF(I11=0,"—",I11)</f>
        <v>1</v>
      </c>
      <c r="Y11" s="54" t="n">
        <f aca="false">IF(I11=0,"—",I11)</f>
        <v>1</v>
      </c>
    </row>
    <row r="12" customFormat="false" ht="19.5" hidden="false" customHeight="true" outlineLevel="0" collapsed="false">
      <c r="A12" s="48" t="s">
        <v>94</v>
      </c>
      <c r="B12" s="30" t="s">
        <v>162</v>
      </c>
      <c r="C12" s="49" t="n">
        <v>7</v>
      </c>
      <c r="D12" s="49" t="n">
        <v>1</v>
      </c>
      <c r="E12" s="49" t="n">
        <v>2</v>
      </c>
      <c r="F12" s="49" t="n">
        <v>0</v>
      </c>
      <c r="G12" s="50" t="n">
        <f aca="false">C12+D12+E12*2+F12</f>
        <v>12</v>
      </c>
      <c r="H12" s="51" t="n">
        <f aca="false">IFERROR(G12/H$5*100,0)</f>
        <v>10</v>
      </c>
      <c r="I12" s="52" t="n">
        <f aca="false">IFERROR(IF(H12&gt;25,3,IF(H12&gt;15,2,IF(H12&gt;5,1,0))),0)</f>
        <v>1</v>
      </c>
      <c r="J12" s="53" t="str">
        <f aca="false">IF(I12=0,"—",IF(I12=1,"1",IF(I12=2,"2","3")))</f>
        <v>1</v>
      </c>
      <c r="K12" s="55" t="n">
        <f aca="false">IF(I12=0,"—",I12)</f>
        <v>1</v>
      </c>
      <c r="L12" s="55" t="n">
        <f aca="false">IF(I12=0,"—",I12)</f>
        <v>1</v>
      </c>
      <c r="M12" s="55" t="n">
        <f aca="false">IF(I12=0,"—",I12)</f>
        <v>1</v>
      </c>
      <c r="N12" s="55" t="n">
        <f aca="false">IF(I12=0,"—",I12)</f>
        <v>1</v>
      </c>
      <c r="O12" s="55" t="n">
        <f aca="false">IF(I12=0,"—",I12)</f>
        <v>1</v>
      </c>
      <c r="P12" s="55" t="n">
        <f aca="false">IF(I12=0,"—",I12)</f>
        <v>1</v>
      </c>
      <c r="Q12" s="55" t="n">
        <f aca="false">IF(I12=0,"—",I12)</f>
        <v>1</v>
      </c>
      <c r="R12" s="55" t="n">
        <f aca="false">IF(I12=0,"—",I12)</f>
        <v>1</v>
      </c>
      <c r="S12" s="55" t="n">
        <f aca="false">IF(I12=0,"—",I12)</f>
        <v>1</v>
      </c>
      <c r="T12" s="55" t="n">
        <f aca="false">IF(I12=0,"—",I12)</f>
        <v>1</v>
      </c>
      <c r="U12" s="55" t="n">
        <f aca="false">IF(I12=0,"—",I12)</f>
        <v>1</v>
      </c>
      <c r="V12" s="55" t="n">
        <f aca="false">IF(I12=0,"—",I12)</f>
        <v>1</v>
      </c>
      <c r="W12" s="55" t="n">
        <f aca="false">IF(I12=0,"—",I12)</f>
        <v>1</v>
      </c>
      <c r="X12" s="55" t="n">
        <f aca="false">IF(I12=0,"—",I12)</f>
        <v>1</v>
      </c>
      <c r="Y12" s="55" t="n">
        <f aca="false">IF(I12=0,"—",I12)</f>
        <v>1</v>
      </c>
    </row>
    <row r="13" customFormat="false" ht="19.5" hidden="false" customHeight="true" outlineLevel="0" collapsed="false">
      <c r="A13" s="48" t="s">
        <v>96</v>
      </c>
      <c r="B13" s="28" t="s">
        <v>163</v>
      </c>
      <c r="C13" s="49" t="n">
        <v>6</v>
      </c>
      <c r="D13" s="49" t="n">
        <v>2</v>
      </c>
      <c r="E13" s="49" t="n">
        <v>2</v>
      </c>
      <c r="F13" s="49" t="n">
        <v>0</v>
      </c>
      <c r="G13" s="50" t="n">
        <f aca="false">C13+D13+E13*2+F13</f>
        <v>12</v>
      </c>
      <c r="H13" s="51" t="n">
        <f aca="false">IFERROR(G13/H$5*100,0)</f>
        <v>10</v>
      </c>
      <c r="I13" s="52" t="n">
        <f aca="false">IFERROR(IF(H13&gt;25,3,IF(H13&gt;15,2,IF(H13&gt;5,1,0))),0)</f>
        <v>1</v>
      </c>
      <c r="J13" s="53" t="str">
        <f aca="false">IF(I13=0,"—",IF(I13=1,"1",IF(I13=2,"2","3")))</f>
        <v>1</v>
      </c>
      <c r="K13" s="54" t="n">
        <f aca="false">IF(I13=0,"—",I13)</f>
        <v>1</v>
      </c>
      <c r="L13" s="54" t="n">
        <f aca="false">IF(I13=0,"—",I13)</f>
        <v>1</v>
      </c>
      <c r="M13" s="54" t="n">
        <f aca="false">IF(I13=0,"—",I13)</f>
        <v>1</v>
      </c>
      <c r="N13" s="54" t="n">
        <f aca="false">IF(I13=0,"—",I13)</f>
        <v>1</v>
      </c>
      <c r="O13" s="54" t="n">
        <f aca="false">IF(I13=0,"—",I13)</f>
        <v>1</v>
      </c>
      <c r="P13" s="54" t="n">
        <f aca="false">IF(I13=0,"—",I13)</f>
        <v>1</v>
      </c>
      <c r="Q13" s="54" t="n">
        <f aca="false">IF(I13=0,"—",I13)</f>
        <v>1</v>
      </c>
      <c r="R13" s="54" t="n">
        <f aca="false">IF(I13=0,"—",I13)</f>
        <v>1</v>
      </c>
      <c r="S13" s="54" t="n">
        <f aca="false">IF(I13=0,"—",I13)</f>
        <v>1</v>
      </c>
      <c r="T13" s="54" t="n">
        <f aca="false">IF(I13=0,"—",I13)</f>
        <v>1</v>
      </c>
      <c r="U13" s="54" t="n">
        <f aca="false">IF(I13=0,"—",I13)</f>
        <v>1</v>
      </c>
      <c r="V13" s="54" t="n">
        <f aca="false">IF(I13=0,"—",I13)</f>
        <v>1</v>
      </c>
      <c r="W13" s="54" t="n">
        <f aca="false">IF(I13=0,"—",I13)</f>
        <v>1</v>
      </c>
      <c r="X13" s="54" t="n">
        <f aca="false">IF(I13=0,"—",I13)</f>
        <v>1</v>
      </c>
      <c r="Y13" s="54" t="n">
        <f aca="false">IF(I13=0,"—",I13)</f>
        <v>1</v>
      </c>
    </row>
    <row r="15" customFormat="false" ht="21.75" hidden="false" customHeight="true" outlineLevel="0" collapsed="false">
      <c r="A15" s="56" t="s">
        <v>98</v>
      </c>
      <c r="B15" s="56"/>
      <c r="C15" s="57" t="n">
        <f aca="false">SUM(C9:C13)</f>
        <v>40</v>
      </c>
      <c r="D15" s="57" t="n">
        <f aca="false">SUM(D9:D13)</f>
        <v>8</v>
      </c>
      <c r="E15" s="57" t="n">
        <f aca="false">SUM(E9:E13)</f>
        <v>12</v>
      </c>
      <c r="F15" s="57" t="n">
        <f aca="false">SUM(F9:F13)</f>
        <v>0</v>
      </c>
      <c r="G15" s="57" t="n">
        <f aca="false">SUM(G9:G13)</f>
        <v>72</v>
      </c>
      <c r="H15" s="57" t="n">
        <f aca="false">SUM(H9:H13)</f>
        <v>60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</row>
    <row r="17" customFormat="false" ht="19.5" hidden="false" customHeight="true" outlineLevel="0" collapsed="false">
      <c r="A17" s="59" t="s">
        <v>99</v>
      </c>
      <c r="B17" s="59"/>
      <c r="C17" s="59"/>
      <c r="D17" s="59"/>
      <c r="E17" s="59"/>
      <c r="F17" s="59"/>
      <c r="G17" s="60" t="n">
        <f aca="false">G15</f>
        <v>72</v>
      </c>
      <c r="H17" s="61" t="n">
        <f aca="false">H5</f>
        <v>120</v>
      </c>
      <c r="I17" s="62" t="str">
        <f aca="false">IF(ABS(G17-H17)&lt;0.5,"OK","Check Hours")</f>
        <v>Check Hours</v>
      </c>
      <c r="J17" s="63" t="s">
        <v>100</v>
      </c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</row>
    <row r="19" customFormat="false" ht="18" hidden="false" customHeight="true" outlineLevel="0" collapsed="false">
      <c r="A19" s="64" t="s">
        <v>101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</sheetData>
  <mergeCells count="20">
    <mergeCell ref="A1:Y1"/>
    <mergeCell ref="A2:Y2"/>
    <mergeCell ref="A4:B4"/>
    <mergeCell ref="A5:B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V7"/>
    <mergeCell ref="W7:Y7"/>
    <mergeCell ref="A15:B15"/>
    <mergeCell ref="A17:F17"/>
    <mergeCell ref="J17:Y17"/>
    <mergeCell ref="A19:Y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"/>
    <col collapsed="false" customWidth="true" hidden="false" outlineLevel="0" max="6" min="3" style="1" width="8"/>
    <col collapsed="false" customWidth="true" hidden="false" outlineLevel="0" max="8" min="7" style="1" width="10"/>
    <col collapsed="false" customWidth="true" hidden="false" outlineLevel="0" max="10" min="9" style="1" width="9"/>
    <col collapsed="false" customWidth="true" hidden="false" outlineLevel="0" max="25" min="11" style="1" width="8"/>
  </cols>
  <sheetData>
    <row r="1" customFormat="false" ht="36" hidden="false" customHeight="true" outlineLevel="0" collapsed="false">
      <c r="A1" s="34" t="s">
        <v>164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customFormat="false" ht="13.5" hidden="false" customHeight="true" outlineLevel="0" collapsed="false">
      <c r="A2" s="35" t="s">
        <v>53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customFormat="false" ht="4.5" hidden="false" customHeight="true" outlineLevel="0" collapsed="false"/>
    <row r="4" customFormat="false" ht="21.75" hidden="false" customHeight="true" outlineLevel="0" collapsed="false">
      <c r="A4" s="36" t="s">
        <v>54</v>
      </c>
      <c r="B4" s="36"/>
      <c r="C4" s="37" t="s">
        <v>55</v>
      </c>
      <c r="D4" s="37" t="s">
        <v>56</v>
      </c>
      <c r="E4" s="37" t="s">
        <v>57</v>
      </c>
      <c r="F4" s="37" t="s">
        <v>58</v>
      </c>
      <c r="G4" s="37" t="s">
        <v>59</v>
      </c>
      <c r="H4" s="37" t="s">
        <v>60</v>
      </c>
    </row>
    <row r="5" customFormat="false" ht="19.5" hidden="false" customHeight="true" outlineLevel="0" collapsed="false">
      <c r="A5" s="36" t="s">
        <v>61</v>
      </c>
      <c r="B5" s="36"/>
      <c r="C5" s="38" t="n">
        <v>3</v>
      </c>
      <c r="D5" s="38" t="n">
        <v>1</v>
      </c>
      <c r="E5" s="38" t="n">
        <v>2</v>
      </c>
      <c r="F5" s="38" t="n">
        <v>1</v>
      </c>
      <c r="G5" s="38" t="n">
        <v>15</v>
      </c>
      <c r="H5" s="39" t="n">
        <f aca="false">C5*G5+D5*G5+E5*G5*2+F5*G5</f>
        <v>135</v>
      </c>
    </row>
    <row r="6" customFormat="false" ht="7.5" hidden="false" customHeight="true" outlineLevel="0" collapsed="false"/>
    <row r="7" customFormat="false" ht="25.5" hidden="false" customHeight="true" outlineLevel="0" collapsed="false">
      <c r="A7" s="40" t="s">
        <v>62</v>
      </c>
      <c r="B7" s="40" t="s">
        <v>63</v>
      </c>
      <c r="C7" s="41" t="s">
        <v>64</v>
      </c>
      <c r="D7" s="41" t="s">
        <v>65</v>
      </c>
      <c r="E7" s="41" t="s">
        <v>66</v>
      </c>
      <c r="F7" s="41" t="s">
        <v>67</v>
      </c>
      <c r="G7" s="42" t="s">
        <v>68</v>
      </c>
      <c r="H7" s="42" t="s">
        <v>69</v>
      </c>
      <c r="I7" s="43" t="s">
        <v>70</v>
      </c>
      <c r="J7" s="43" t="s">
        <v>4</v>
      </c>
      <c r="K7" s="44" t="s">
        <v>71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5" t="s">
        <v>72</v>
      </c>
      <c r="X7" s="45"/>
      <c r="Y7" s="45"/>
    </row>
    <row r="8" customFormat="false" ht="19.5" hidden="false" customHeight="true" outlineLevel="0" collapsed="false">
      <c r="A8" s="40"/>
      <c r="B8" s="40"/>
      <c r="C8" s="40"/>
      <c r="D8" s="40"/>
      <c r="E8" s="40"/>
      <c r="F8" s="40"/>
      <c r="G8" s="40"/>
      <c r="H8" s="40"/>
      <c r="I8" s="40"/>
      <c r="J8" s="40"/>
      <c r="K8" s="46" t="s">
        <v>73</v>
      </c>
      <c r="L8" s="46" t="s">
        <v>74</v>
      </c>
      <c r="M8" s="46" t="s">
        <v>75</v>
      </c>
      <c r="N8" s="46" t="s">
        <v>76</v>
      </c>
      <c r="O8" s="46" t="s">
        <v>77</v>
      </c>
      <c r="P8" s="46" t="s">
        <v>78</v>
      </c>
      <c r="Q8" s="46" t="s">
        <v>79</v>
      </c>
      <c r="R8" s="46" t="s">
        <v>80</v>
      </c>
      <c r="S8" s="46" t="s">
        <v>81</v>
      </c>
      <c r="T8" s="46" t="s">
        <v>82</v>
      </c>
      <c r="U8" s="46" t="s">
        <v>83</v>
      </c>
      <c r="V8" s="46" t="s">
        <v>84</v>
      </c>
      <c r="W8" s="47" t="s">
        <v>85</v>
      </c>
      <c r="X8" s="47" t="s">
        <v>86</v>
      </c>
      <c r="Y8" s="47" t="s">
        <v>87</v>
      </c>
    </row>
    <row r="9" customFormat="false" ht="19.5" hidden="false" customHeight="true" outlineLevel="0" collapsed="false">
      <c r="A9" s="48" t="s">
        <v>88</v>
      </c>
      <c r="B9" s="28" t="s">
        <v>165</v>
      </c>
      <c r="C9" s="49" t="n">
        <v>8</v>
      </c>
      <c r="D9" s="49" t="n">
        <v>1</v>
      </c>
      <c r="E9" s="49" t="n">
        <v>2</v>
      </c>
      <c r="F9" s="49" t="n">
        <v>2</v>
      </c>
      <c r="G9" s="50" t="n">
        <f aca="false">C9+D9+E9*2+F9</f>
        <v>15</v>
      </c>
      <c r="H9" s="51" t="n">
        <f aca="false">IFERROR(G9/H$5*100,0)</f>
        <v>11.1111111111111</v>
      </c>
      <c r="I9" s="52" t="n">
        <f aca="false">IFERROR(IF(H9&gt;25,3,IF(H9&gt;15,2,IF(H9&gt;5,1,0))),0)</f>
        <v>1</v>
      </c>
      <c r="J9" s="53" t="str">
        <f aca="false">IF(I9=0,"—",IF(I9=1,"1",IF(I9=2,"2","3")))</f>
        <v>1</v>
      </c>
      <c r="K9" s="54" t="n">
        <f aca="false">IF(I9=0,"—",I9)</f>
        <v>1</v>
      </c>
      <c r="L9" s="54" t="n">
        <f aca="false">IF(I9=0,"—",I9)</f>
        <v>1</v>
      </c>
      <c r="M9" s="54" t="n">
        <f aca="false">IF(I9=0,"—",I9)</f>
        <v>1</v>
      </c>
      <c r="N9" s="54" t="n">
        <f aca="false">IF(I9=0,"—",I9)</f>
        <v>1</v>
      </c>
      <c r="O9" s="54" t="n">
        <f aca="false">IF(I9=0,"—",I9)</f>
        <v>1</v>
      </c>
      <c r="P9" s="54" t="n">
        <f aca="false">IF(I9=0,"—",I9)</f>
        <v>1</v>
      </c>
      <c r="Q9" s="54" t="n">
        <f aca="false">IF(I9=0,"—",I9)</f>
        <v>1</v>
      </c>
      <c r="R9" s="54" t="n">
        <f aca="false">IF(I9=0,"—",I9)</f>
        <v>1</v>
      </c>
      <c r="S9" s="54" t="n">
        <f aca="false">IF(I9=0,"—",I9)</f>
        <v>1</v>
      </c>
      <c r="T9" s="54" t="n">
        <f aca="false">IF(I9=0,"—",I9)</f>
        <v>1</v>
      </c>
      <c r="U9" s="54" t="n">
        <f aca="false">IF(I9=0,"—",I9)</f>
        <v>1</v>
      </c>
      <c r="V9" s="54" t="n">
        <f aca="false">IF(I9=0,"—",I9)</f>
        <v>1</v>
      </c>
      <c r="W9" s="54" t="n">
        <f aca="false">IF(I9=0,"—",I9)</f>
        <v>1</v>
      </c>
      <c r="X9" s="54" t="n">
        <f aca="false">IF(I9=0,"—",I9)</f>
        <v>1</v>
      </c>
      <c r="Y9" s="54" t="n">
        <f aca="false">IF(I9=0,"—",I9)</f>
        <v>1</v>
      </c>
    </row>
    <row r="10" customFormat="false" ht="19.5" hidden="false" customHeight="true" outlineLevel="0" collapsed="false">
      <c r="A10" s="48" t="s">
        <v>90</v>
      </c>
      <c r="B10" s="30" t="s">
        <v>166</v>
      </c>
      <c r="C10" s="49" t="n">
        <v>8</v>
      </c>
      <c r="D10" s="49" t="n">
        <v>1</v>
      </c>
      <c r="E10" s="49" t="n">
        <v>4</v>
      </c>
      <c r="F10" s="49" t="n">
        <v>2</v>
      </c>
      <c r="G10" s="50" t="n">
        <f aca="false">C10+D10+E10*2+F10</f>
        <v>19</v>
      </c>
      <c r="H10" s="51" t="n">
        <f aca="false">IFERROR(G10/H$5*100,0)</f>
        <v>14.0740740740741</v>
      </c>
      <c r="I10" s="52" t="n">
        <f aca="false">IFERROR(IF(H10&gt;25,3,IF(H10&gt;15,2,IF(H10&gt;5,1,0))),0)</f>
        <v>1</v>
      </c>
      <c r="J10" s="53" t="str">
        <f aca="false">IF(I10=0,"—",IF(I10=1,"1",IF(I10=2,"2","3")))</f>
        <v>1</v>
      </c>
      <c r="K10" s="55" t="n">
        <f aca="false">IF(I10=0,"—",I10)</f>
        <v>1</v>
      </c>
      <c r="L10" s="55" t="n">
        <f aca="false">IF(I10=0,"—",I10)</f>
        <v>1</v>
      </c>
      <c r="M10" s="55" t="n">
        <f aca="false">IF(I10=0,"—",I10)</f>
        <v>1</v>
      </c>
      <c r="N10" s="55" t="n">
        <f aca="false">IF(I10=0,"—",I10)</f>
        <v>1</v>
      </c>
      <c r="O10" s="55" t="n">
        <f aca="false">IF(I10=0,"—",I10)</f>
        <v>1</v>
      </c>
      <c r="P10" s="55" t="n">
        <f aca="false">IF(I10=0,"—",I10)</f>
        <v>1</v>
      </c>
      <c r="Q10" s="55" t="n">
        <f aca="false">IF(I10=0,"—",I10)</f>
        <v>1</v>
      </c>
      <c r="R10" s="55" t="n">
        <f aca="false">IF(I10=0,"—",I10)</f>
        <v>1</v>
      </c>
      <c r="S10" s="55" t="n">
        <f aca="false">IF(I10=0,"—",I10)</f>
        <v>1</v>
      </c>
      <c r="T10" s="55" t="n">
        <f aca="false">IF(I10=0,"—",I10)</f>
        <v>1</v>
      </c>
      <c r="U10" s="55" t="n">
        <f aca="false">IF(I10=0,"—",I10)</f>
        <v>1</v>
      </c>
      <c r="V10" s="55" t="n">
        <f aca="false">IF(I10=0,"—",I10)</f>
        <v>1</v>
      </c>
      <c r="W10" s="55" t="n">
        <f aca="false">IF(I10=0,"—",I10)</f>
        <v>1</v>
      </c>
      <c r="X10" s="55" t="n">
        <f aca="false">IF(I10=0,"—",I10)</f>
        <v>1</v>
      </c>
      <c r="Y10" s="55" t="n">
        <f aca="false">IF(I10=0,"—",I10)</f>
        <v>1</v>
      </c>
    </row>
    <row r="11" customFormat="false" ht="19.5" hidden="false" customHeight="true" outlineLevel="0" collapsed="false">
      <c r="A11" s="48" t="s">
        <v>92</v>
      </c>
      <c r="B11" s="28" t="s">
        <v>167</v>
      </c>
      <c r="C11" s="49" t="n">
        <v>8</v>
      </c>
      <c r="D11" s="49" t="n">
        <v>1</v>
      </c>
      <c r="E11" s="49" t="n">
        <v>4</v>
      </c>
      <c r="F11" s="49" t="n">
        <v>2</v>
      </c>
      <c r="G11" s="50" t="n">
        <f aca="false">C11+D11+E11*2+F11</f>
        <v>19</v>
      </c>
      <c r="H11" s="51" t="n">
        <f aca="false">IFERROR(G11/H$5*100,0)</f>
        <v>14.0740740740741</v>
      </c>
      <c r="I11" s="52" t="n">
        <f aca="false">IFERROR(IF(H11&gt;25,3,IF(H11&gt;15,2,IF(H11&gt;5,1,0))),0)</f>
        <v>1</v>
      </c>
      <c r="J11" s="53" t="str">
        <f aca="false">IF(I11=0,"—",IF(I11=1,"1",IF(I11=2,"2","3")))</f>
        <v>1</v>
      </c>
      <c r="K11" s="54" t="n">
        <f aca="false">IF(I11=0,"—",I11)</f>
        <v>1</v>
      </c>
      <c r="L11" s="54" t="n">
        <f aca="false">IF(I11=0,"—",I11)</f>
        <v>1</v>
      </c>
      <c r="M11" s="54" t="n">
        <f aca="false">IF(I11=0,"—",I11)</f>
        <v>1</v>
      </c>
      <c r="N11" s="54" t="n">
        <f aca="false">IF(I11=0,"—",I11)</f>
        <v>1</v>
      </c>
      <c r="O11" s="54" t="n">
        <f aca="false">IF(I11=0,"—",I11)</f>
        <v>1</v>
      </c>
      <c r="P11" s="54" t="n">
        <f aca="false">IF(I11=0,"—",I11)</f>
        <v>1</v>
      </c>
      <c r="Q11" s="54" t="n">
        <f aca="false">IF(I11=0,"—",I11)</f>
        <v>1</v>
      </c>
      <c r="R11" s="54" t="n">
        <f aca="false">IF(I11=0,"—",I11)</f>
        <v>1</v>
      </c>
      <c r="S11" s="54" t="n">
        <f aca="false">IF(I11=0,"—",I11)</f>
        <v>1</v>
      </c>
      <c r="T11" s="54" t="n">
        <f aca="false">IF(I11=0,"—",I11)</f>
        <v>1</v>
      </c>
      <c r="U11" s="54" t="n">
        <f aca="false">IF(I11=0,"—",I11)</f>
        <v>1</v>
      </c>
      <c r="V11" s="54" t="n">
        <f aca="false">IF(I11=0,"—",I11)</f>
        <v>1</v>
      </c>
      <c r="W11" s="54" t="n">
        <f aca="false">IF(I11=0,"—",I11)</f>
        <v>1</v>
      </c>
      <c r="X11" s="54" t="n">
        <f aca="false">IF(I11=0,"—",I11)</f>
        <v>1</v>
      </c>
      <c r="Y11" s="54" t="n">
        <f aca="false">IF(I11=0,"—",I11)</f>
        <v>1</v>
      </c>
    </row>
    <row r="12" customFormat="false" ht="19.5" hidden="false" customHeight="true" outlineLevel="0" collapsed="false">
      <c r="A12" s="48" t="s">
        <v>94</v>
      </c>
      <c r="B12" s="30" t="s">
        <v>168</v>
      </c>
      <c r="C12" s="49" t="n">
        <v>7</v>
      </c>
      <c r="D12" s="49" t="n">
        <v>1</v>
      </c>
      <c r="E12" s="49" t="n">
        <v>2</v>
      </c>
      <c r="F12" s="49" t="n">
        <v>2</v>
      </c>
      <c r="G12" s="50" t="n">
        <f aca="false">C12+D12+E12*2+F12</f>
        <v>14</v>
      </c>
      <c r="H12" s="51" t="n">
        <f aca="false">IFERROR(G12/H$5*100,0)</f>
        <v>10.3703703703704</v>
      </c>
      <c r="I12" s="52" t="n">
        <f aca="false">IFERROR(IF(H12&gt;25,3,IF(H12&gt;15,2,IF(H12&gt;5,1,0))),0)</f>
        <v>1</v>
      </c>
      <c r="J12" s="53" t="str">
        <f aca="false">IF(I12=0,"—",IF(I12=1,"1",IF(I12=2,"2","3")))</f>
        <v>1</v>
      </c>
      <c r="K12" s="55" t="n">
        <f aca="false">IF(I12=0,"—",I12)</f>
        <v>1</v>
      </c>
      <c r="L12" s="55" t="n">
        <f aca="false">IF(I12=0,"—",I12)</f>
        <v>1</v>
      </c>
      <c r="M12" s="55" t="n">
        <f aca="false">IF(I12=0,"—",I12)</f>
        <v>1</v>
      </c>
      <c r="N12" s="55" t="n">
        <f aca="false">IF(I12=0,"—",I12)</f>
        <v>1</v>
      </c>
      <c r="O12" s="55" t="n">
        <f aca="false">IF(I12=0,"—",I12)</f>
        <v>1</v>
      </c>
      <c r="P12" s="55" t="n">
        <f aca="false">IF(I12=0,"—",I12)</f>
        <v>1</v>
      </c>
      <c r="Q12" s="55" t="n">
        <f aca="false">IF(I12=0,"—",I12)</f>
        <v>1</v>
      </c>
      <c r="R12" s="55" t="n">
        <f aca="false">IF(I12=0,"—",I12)</f>
        <v>1</v>
      </c>
      <c r="S12" s="55" t="n">
        <f aca="false">IF(I12=0,"—",I12)</f>
        <v>1</v>
      </c>
      <c r="T12" s="55" t="n">
        <f aca="false">IF(I12=0,"—",I12)</f>
        <v>1</v>
      </c>
      <c r="U12" s="55" t="n">
        <f aca="false">IF(I12=0,"—",I12)</f>
        <v>1</v>
      </c>
      <c r="V12" s="55" t="n">
        <f aca="false">IF(I12=0,"—",I12)</f>
        <v>1</v>
      </c>
      <c r="W12" s="55" t="n">
        <f aca="false">IF(I12=0,"—",I12)</f>
        <v>1</v>
      </c>
      <c r="X12" s="55" t="n">
        <f aca="false">IF(I12=0,"—",I12)</f>
        <v>1</v>
      </c>
      <c r="Y12" s="55" t="n">
        <f aca="false">IF(I12=0,"—",I12)</f>
        <v>1</v>
      </c>
    </row>
    <row r="13" customFormat="false" ht="19.5" hidden="false" customHeight="true" outlineLevel="0" collapsed="false">
      <c r="A13" s="48" t="s">
        <v>96</v>
      </c>
      <c r="B13" s="28" t="s">
        <v>169</v>
      </c>
      <c r="C13" s="49" t="n">
        <v>7</v>
      </c>
      <c r="D13" s="49" t="n">
        <v>1</v>
      </c>
      <c r="E13" s="49" t="n">
        <v>2</v>
      </c>
      <c r="F13" s="49" t="n">
        <v>2</v>
      </c>
      <c r="G13" s="50" t="n">
        <f aca="false">C13+D13+E13*2+F13</f>
        <v>14</v>
      </c>
      <c r="H13" s="51" t="n">
        <f aca="false">IFERROR(G13/H$5*100,0)</f>
        <v>10.3703703703704</v>
      </c>
      <c r="I13" s="52" t="n">
        <f aca="false">IFERROR(IF(H13&gt;25,3,IF(H13&gt;15,2,IF(H13&gt;5,1,0))),0)</f>
        <v>1</v>
      </c>
      <c r="J13" s="53" t="str">
        <f aca="false">IF(I13=0,"—",IF(I13=1,"1",IF(I13=2,"2","3")))</f>
        <v>1</v>
      </c>
      <c r="K13" s="54" t="n">
        <f aca="false">IF(I13=0,"—",I13)</f>
        <v>1</v>
      </c>
      <c r="L13" s="54" t="n">
        <f aca="false">IF(I13=0,"—",I13)</f>
        <v>1</v>
      </c>
      <c r="M13" s="54" t="n">
        <f aca="false">IF(I13=0,"—",I13)</f>
        <v>1</v>
      </c>
      <c r="N13" s="54" t="n">
        <f aca="false">IF(I13=0,"—",I13)</f>
        <v>1</v>
      </c>
      <c r="O13" s="54" t="n">
        <f aca="false">IF(I13=0,"—",I13)</f>
        <v>1</v>
      </c>
      <c r="P13" s="54" t="n">
        <f aca="false">IF(I13=0,"—",I13)</f>
        <v>1</v>
      </c>
      <c r="Q13" s="54" t="n">
        <f aca="false">IF(I13=0,"—",I13)</f>
        <v>1</v>
      </c>
      <c r="R13" s="54" t="n">
        <f aca="false">IF(I13=0,"—",I13)</f>
        <v>1</v>
      </c>
      <c r="S13" s="54" t="n">
        <f aca="false">IF(I13=0,"—",I13)</f>
        <v>1</v>
      </c>
      <c r="T13" s="54" t="n">
        <f aca="false">IF(I13=0,"—",I13)</f>
        <v>1</v>
      </c>
      <c r="U13" s="54" t="n">
        <f aca="false">IF(I13=0,"—",I13)</f>
        <v>1</v>
      </c>
      <c r="V13" s="54" t="n">
        <f aca="false">IF(I13=0,"—",I13)</f>
        <v>1</v>
      </c>
      <c r="W13" s="54" t="n">
        <f aca="false">IF(I13=0,"—",I13)</f>
        <v>1</v>
      </c>
      <c r="X13" s="54" t="n">
        <f aca="false">IF(I13=0,"—",I13)</f>
        <v>1</v>
      </c>
      <c r="Y13" s="54" t="n">
        <f aca="false">IF(I13=0,"—",I13)</f>
        <v>1</v>
      </c>
    </row>
    <row r="14" customFormat="false" ht="19.5" hidden="false" customHeight="true" outlineLevel="0" collapsed="false">
      <c r="A14" s="48" t="s">
        <v>137</v>
      </c>
      <c r="B14" s="30" t="s">
        <v>170</v>
      </c>
      <c r="C14" s="49" t="n">
        <v>2</v>
      </c>
      <c r="D14" s="49" t="n">
        <v>1</v>
      </c>
      <c r="E14" s="49" t="n">
        <v>4</v>
      </c>
      <c r="F14" s="49" t="n">
        <v>6</v>
      </c>
      <c r="G14" s="50" t="n">
        <f aca="false">C14+D14+E14*2+F14</f>
        <v>17</v>
      </c>
      <c r="H14" s="51" t="n">
        <f aca="false">IFERROR(G14/H$5*100,0)</f>
        <v>12.5925925925926</v>
      </c>
      <c r="I14" s="52" t="n">
        <f aca="false">IFERROR(IF(H14&gt;25,3,IF(H14&gt;15,2,IF(H14&gt;5,1,0))),0)</f>
        <v>1</v>
      </c>
      <c r="J14" s="53" t="str">
        <f aca="false">IF(I14=0,"—",IF(I14=1,"1",IF(I14=2,"2","3")))</f>
        <v>1</v>
      </c>
      <c r="K14" s="55" t="n">
        <f aca="false">IF(I14=0,"—",I14)</f>
        <v>1</v>
      </c>
      <c r="L14" s="55" t="n">
        <f aca="false">IF(I14=0,"—",I14)</f>
        <v>1</v>
      </c>
      <c r="M14" s="55" t="n">
        <f aca="false">IF(I14=0,"—",I14)</f>
        <v>1</v>
      </c>
      <c r="N14" s="55" t="n">
        <f aca="false">IF(I14=0,"—",I14)</f>
        <v>1</v>
      </c>
      <c r="O14" s="55" t="n">
        <f aca="false">IF(I14=0,"—",I14)</f>
        <v>1</v>
      </c>
      <c r="P14" s="55" t="n">
        <f aca="false">IF(I14=0,"—",I14)</f>
        <v>1</v>
      </c>
      <c r="Q14" s="55" t="n">
        <f aca="false">IF(I14=0,"—",I14)</f>
        <v>1</v>
      </c>
      <c r="R14" s="55" t="n">
        <f aca="false">IF(I14=0,"—",I14)</f>
        <v>1</v>
      </c>
      <c r="S14" s="55" t="n">
        <f aca="false">IF(I14=0,"—",I14)</f>
        <v>1</v>
      </c>
      <c r="T14" s="55" t="n">
        <f aca="false">IF(I14=0,"—",I14)</f>
        <v>1</v>
      </c>
      <c r="U14" s="55" t="n">
        <f aca="false">IF(I14=0,"—",I14)</f>
        <v>1</v>
      </c>
      <c r="V14" s="55" t="n">
        <f aca="false">IF(I14=0,"—",I14)</f>
        <v>1</v>
      </c>
      <c r="W14" s="55" t="n">
        <f aca="false">IF(I14=0,"—",I14)</f>
        <v>1</v>
      </c>
      <c r="X14" s="55" t="n">
        <f aca="false">IF(I14=0,"—",I14)</f>
        <v>1</v>
      </c>
      <c r="Y14" s="55" t="n">
        <f aca="false">IF(I14=0,"—",I14)</f>
        <v>1</v>
      </c>
    </row>
    <row r="16" customFormat="false" ht="21.75" hidden="false" customHeight="true" outlineLevel="0" collapsed="false">
      <c r="A16" s="56" t="s">
        <v>98</v>
      </c>
      <c r="B16" s="56"/>
      <c r="C16" s="57" t="n">
        <f aca="false">SUM(C9:C14)</f>
        <v>40</v>
      </c>
      <c r="D16" s="57" t="n">
        <f aca="false">SUM(D9:D14)</f>
        <v>6</v>
      </c>
      <c r="E16" s="57" t="n">
        <f aca="false">SUM(E9:E14)</f>
        <v>18</v>
      </c>
      <c r="F16" s="57" t="n">
        <f aca="false">SUM(F9:F14)</f>
        <v>16</v>
      </c>
      <c r="G16" s="57" t="n">
        <f aca="false">SUM(G9:G14)</f>
        <v>98</v>
      </c>
      <c r="H16" s="57" t="n">
        <f aca="false">SUM(H9:H14)</f>
        <v>72.5925925925926</v>
      </c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8" customFormat="false" ht="19.5" hidden="false" customHeight="true" outlineLevel="0" collapsed="false">
      <c r="A18" s="59" t="s">
        <v>99</v>
      </c>
      <c r="B18" s="59"/>
      <c r="C18" s="59"/>
      <c r="D18" s="59"/>
      <c r="E18" s="59"/>
      <c r="F18" s="59"/>
      <c r="G18" s="60" t="n">
        <f aca="false">G16</f>
        <v>98</v>
      </c>
      <c r="H18" s="61" t="n">
        <f aca="false">H5</f>
        <v>135</v>
      </c>
      <c r="I18" s="62" t="str">
        <f aca="false">IF(ABS(G18-H18)&lt;0.5,"OK","Check Hours")</f>
        <v>Check Hours</v>
      </c>
      <c r="J18" s="63" t="s">
        <v>100</v>
      </c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</row>
    <row r="20" customFormat="false" ht="18" hidden="false" customHeight="true" outlineLevel="0" collapsed="false">
      <c r="A20" s="64" t="s">
        <v>101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</row>
  </sheetData>
  <mergeCells count="20">
    <mergeCell ref="A1:Y1"/>
    <mergeCell ref="A2:Y2"/>
    <mergeCell ref="A4:B4"/>
    <mergeCell ref="A5:B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V7"/>
    <mergeCell ref="W7:Y7"/>
    <mergeCell ref="A16:B16"/>
    <mergeCell ref="A18:F18"/>
    <mergeCell ref="J18:Y18"/>
    <mergeCell ref="A20:Y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2026-05-12T05:34:09Z</dcterms:created>
  <dc:creator>openpyxl</dc:creator>
  <dc:description/>
  <dc:language>en-US</dc:language>
  <cp:lastModifiedBy/>
  <dcterms:modified xsi:type="dcterms:W3CDTF">2026-05-12T05:34:33Z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