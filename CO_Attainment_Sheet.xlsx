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 Dashboard" sheetId="1" state="visible" r:id="rId3"/>
    <sheet name="CS301" sheetId="2" state="visible" r:id="rId4"/>
    <sheet name="CS302" sheetId="3" state="visible" r:id="rId5"/>
    <sheet name="CS303" sheetId="4" state="visible" r:id="rId6"/>
    <sheet name="CS304" sheetId="5" state="visible" r:id="rId7"/>
    <sheet name="CS305" sheetId="6" state="visible" r:id="rId8"/>
    <sheet name="CO Comparis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<sst xmlns="http://schemas.openxmlformats.org/spreadsheetml/2006/main" count="544" uniqueCount="108">
  <si>
    <t xml:space="preserve">CO ATTAINMENT REPORT — SUMMARY DASHBOARD</t>
  </si>
  <si>
    <t xml:space="preserve">Academic Year 2024-25  |  Department of Computer Science &amp; Engineering</t>
  </si>
  <si>
    <t xml:space="preserve">ATTAINMENT LEGEND</t>
  </si>
  <si>
    <t xml:space="preserve">≥ 60% → High (3)</t>
  </si>
  <si>
    <t xml:space="preserve">40-59% → Medium (2)</t>
  </si>
  <si>
    <t xml:space="preserve">&lt; 40% → Low (1)</t>
  </si>
  <si>
    <t xml:space="preserve">#</t>
  </si>
  <si>
    <t xml:space="preserve">Course Name</t>
  </si>
  <si>
    <t xml:space="preserve">Code</t>
  </si>
  <si>
    <t xml:space="preserve">CO1</t>
  </si>
  <si>
    <t xml:space="preserve">CO2</t>
  </si>
  <si>
    <t xml:space="preserve">CO3</t>
  </si>
  <si>
    <t xml:space="preserve">CO4</t>
  </si>
  <si>
    <t xml:space="preserve">CO5</t>
  </si>
  <si>
    <t xml:space="preserve">CO6</t>
  </si>
  <si>
    <t xml:space="preserve">CIE
Attain</t>
  </si>
  <si>
    <t xml:space="preserve">SEE
Attain</t>
  </si>
  <si>
    <t xml:space="preserve">Overall
Attain</t>
  </si>
  <si>
    <t xml:space="preserve">Target
(%)</t>
  </si>
  <si>
    <t xml:space="preserve">Gap</t>
  </si>
  <si>
    <t xml:space="preserve">Status</t>
  </si>
  <si>
    <t xml:space="preserve">Data Structures &amp; Algorithms</t>
  </si>
  <si>
    <t xml:space="preserve">CS301</t>
  </si>
  <si>
    <t xml:space="preserve">—</t>
  </si>
  <si>
    <t xml:space="preserve">Database Management Systems</t>
  </si>
  <si>
    <t xml:space="preserve">CS302</t>
  </si>
  <si>
    <t xml:space="preserve">Computer Networks</t>
  </si>
  <si>
    <t xml:space="preserve">CS303</t>
  </si>
  <si>
    <t xml:space="preserve">Operating Systems</t>
  </si>
  <si>
    <t xml:space="preserve">CS304</t>
  </si>
  <si>
    <t xml:space="preserve">Machine Learning</t>
  </si>
  <si>
    <t xml:space="preserve">CS305</t>
  </si>
  <si>
    <t xml:space="preserve">Note: CO Attainment Level — 3 (High ≥60%), 2 (Medium 40–59%), 1 (Low &lt;40%)  |  CIE: Mid-1 (30M) + Mid-2 (30M) + Assignment (10M) + Quiz (10M)  |  SEE: 100M scaled to 50M</t>
  </si>
  <si>
    <t xml:space="preserve">CO ATTAINMENT SHEET — Data Structures &amp; Algorithms (CS301)</t>
  </si>
  <si>
    <t xml:space="preserve">CIE: Mid-1 (30M) + Mid-2 (30M) + Assignment (10M) + Quiz (10M) → Scaled to 50M   |   SEE: 100M → Scaled to 50M   |   Total: 100M</t>
  </si>
  <si>
    <t xml:space="preserve">Marks
Allotted</t>
  </si>
  <si>
    <t xml:space="preserve">MID-1 (30M) — CO Mapping</t>
  </si>
  <si>
    <t xml:space="preserve">MID-2 (30M) — CO Mapping</t>
  </si>
  <si>
    <t xml:space="preserve">ASSIGNMENT (10M)</t>
  </si>
  <si>
    <t xml:space="preserve">QUIZ (10M)</t>
  </si>
  <si>
    <t xml:space="preserve">SEE (100M) — CO Mapping</t>
  </si>
  <si>
    <t xml:space="preserve">CIE
(50)</t>
  </si>
  <si>
    <t xml:space="preserve">SEE
(50)</t>
  </si>
  <si>
    <t xml:space="preserve">TOTAL
(100)</t>
  </si>
  <si>
    <t xml:space="preserve">S.No</t>
  </si>
  <si>
    <t xml:space="preserve">Reg. No</t>
  </si>
  <si>
    <t xml:space="preserve">Student Name</t>
  </si>
  <si>
    <t xml:space="preserve">MID-1 (30M)</t>
  </si>
  <si>
    <t xml:space="preserve">MID-2 (30M)</t>
  </si>
  <si>
    <t xml:space="preserve">SEE (100M)</t>
  </si>
  <si>
    <t xml:space="preserve">S001</t>
  </si>
  <si>
    <t xml:space="preserve">Aarav Sharma</t>
  </si>
  <si>
    <t xml:space="preserve">S002</t>
  </si>
  <si>
    <t xml:space="preserve">Priya Patel</t>
  </si>
  <si>
    <t xml:space="preserve">S003</t>
  </si>
  <si>
    <t xml:space="preserve">Rohan Mehta</t>
  </si>
  <si>
    <t xml:space="preserve">S004</t>
  </si>
  <si>
    <t xml:space="preserve">Sneha Reddy</t>
  </si>
  <si>
    <t xml:space="preserve">S005</t>
  </si>
  <si>
    <t xml:space="preserve">Vikram Singh</t>
  </si>
  <si>
    <t xml:space="preserve">S006</t>
  </si>
  <si>
    <t xml:space="preserve">Anjali Nair</t>
  </si>
  <si>
    <t xml:space="preserve">S007</t>
  </si>
  <si>
    <t xml:space="preserve">Kiran Kumar</t>
  </si>
  <si>
    <t xml:space="preserve">S008</t>
  </si>
  <si>
    <t xml:space="preserve">Divya Rao</t>
  </si>
  <si>
    <t xml:space="preserve">S009</t>
  </si>
  <si>
    <t xml:space="preserve">Arjun Gupta</t>
  </si>
  <si>
    <t xml:space="preserve">S010</t>
  </si>
  <si>
    <t xml:space="preserve">Pooja Iyer</t>
  </si>
  <si>
    <t xml:space="preserve">S011</t>
  </si>
  <si>
    <t xml:space="preserve">Rahul Verma</t>
  </si>
  <si>
    <t xml:space="preserve">S012</t>
  </si>
  <si>
    <t xml:space="preserve">Meera Joshi</t>
  </si>
  <si>
    <t xml:space="preserve">S013</t>
  </si>
  <si>
    <t xml:space="preserve">Suresh Pillai</t>
  </si>
  <si>
    <t xml:space="preserve">S014</t>
  </si>
  <si>
    <t xml:space="preserve">Kavya Menon</t>
  </si>
  <si>
    <t xml:space="preserve">S015</t>
  </si>
  <si>
    <t xml:space="preserve">Aditya Bhat</t>
  </si>
  <si>
    <t xml:space="preserve">S016</t>
  </si>
  <si>
    <t xml:space="preserve">Lakshmi Das</t>
  </si>
  <si>
    <t xml:space="preserve">S017</t>
  </si>
  <si>
    <t xml:space="preserve">Nikhil Tiwari</t>
  </si>
  <si>
    <t xml:space="preserve">S018</t>
  </si>
  <si>
    <t xml:space="preserve">Riya Shah</t>
  </si>
  <si>
    <t xml:space="preserve">S019</t>
  </si>
  <si>
    <t xml:space="preserve">Manish Yadav</t>
  </si>
  <si>
    <t xml:space="preserve">S020</t>
  </si>
  <si>
    <t xml:space="preserve">Deepa Nambiar</t>
  </si>
  <si>
    <t xml:space="preserve">CO ATTAINMENT ANALYSIS</t>
  </si>
  <si>
    <t xml:space="preserve">Avg Mid-1</t>
  </si>
  <si>
    <t xml:space="preserve">Avg Mid-2</t>
  </si>
  <si>
    <t xml:space="preserve">Avg Asgn</t>
  </si>
  <si>
    <t xml:space="preserve">Avg Quiz</t>
  </si>
  <si>
    <t xml:space="preserve">Avg SEE</t>
  </si>
  <si>
    <t xml:space="preserve">CO Attainment Level</t>
  </si>
  <si>
    <t xml:space="preserve">Attainment Grade (3/2/1)</t>
  </si>
  <si>
    <t xml:space="preserve">CO ATTAINMENT SHEET — Database Management Systems (CS302)</t>
  </si>
  <si>
    <t xml:space="preserve">CO ATTAINMENT SHEET — Computer Networks (CS303)</t>
  </si>
  <si>
    <t xml:space="preserve">CO ATTAINMENT SHEET — Operating Systems (CS304)</t>
  </si>
  <si>
    <t xml:space="preserve">CO ATTAINMENT SHEET — Machine Learning (CS305)</t>
  </si>
  <si>
    <t xml:space="preserve">CO ATTAINMENT COMPARISON ACROSS COURSES</t>
  </si>
  <si>
    <t xml:space="preserve">Attainment Level: 3 = High (≥60%)  |  2 = Medium (40–59%)  |  1 = Low (&lt;40%)</t>
  </si>
  <si>
    <t xml:space="preserve">Course</t>
  </si>
  <si>
    <t xml:space="preserve">CIE%</t>
  </si>
  <si>
    <t xml:space="preserve">SEE%</t>
  </si>
  <si>
    <t xml:space="preserve">Overall%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</si>
</sst>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\+0.00;\-0.00"/>
    <numFmt numFmtId="167" formatCode="0.0"/>
    <numFmt numFmtId="168" formatCode="0.0%"/>
    <numFmt numFmtId="169" formatCode="General"/>
    <numFmt numFmtId="170" formatCode="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9"/>
      <color rgb="FF40404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sz val="10"/>
      <color rgb="FFAAAAAA"/>
      <name val="Arial"/>
      <family val="0"/>
      <charset val="1"/>
    </font>
    <font>
      <b val="true"/>
      <sz val="10"/>
      <color rgb="FF70AD47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9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40404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0"/>
      <color rgb="FF404040"/>
      <name val="Arial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E2D9F3"/>
      </patternFill>
    </fill>
    <fill>
      <patternFill patternType="solid">
        <fgColor rgb="FFE2EFDA"/>
        <bgColor rgb="FFDEEAF1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375623"/>
        <bgColor rgb="FF404040"/>
      </patternFill>
    </fill>
    <fill>
      <patternFill patternType="solid">
        <fgColor rgb="FF70AD47"/>
        <bgColor rgb="FF99CC00"/>
      </patternFill>
    </fill>
    <fill>
      <patternFill patternType="solid">
        <fgColor rgb="FFC55A11"/>
        <bgColor rgb="FF993300"/>
      </patternFill>
    </fill>
    <fill>
      <patternFill patternType="solid">
        <fgColor rgb="FFC00000"/>
        <bgColor rgb="FF800000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7030A0"/>
        <bgColor rgb="FF993366"/>
      </patternFill>
    </fill>
    <fill>
      <patternFill patternType="solid">
        <fgColor rgb="FFE2D9F3"/>
        <bgColor rgb="FFDEEAF1"/>
      </patternFill>
    </fill>
    <fill>
      <patternFill patternType="solid">
        <fgColor rgb="FFDEEAF1"/>
        <bgColor rgb="FFE2EFDA"/>
      </patternFill>
    </fill>
    <fill>
      <patternFill patternType="solid">
        <fgColor rgb="FF404040"/>
        <bgColor rgb="FF375623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4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1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1" fillId="1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7" fillId="16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7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6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2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6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2" fillId="6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E2D9F3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666666"/>
      <rgbColor rgb="FFAAAAAA"/>
      <rgbColor rgb="FF1F3864"/>
      <rgbColor rgb="FF70AD47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2"/>
    <col collapsed="false" customWidth="true" hidden="false" outlineLevel="0" max="15" min="3" style="0" width="10"/>
    <col collapsed="false" customWidth="true" hidden="false" outlineLevel="0" max="16" min="16" style="0" width="12"/>
  </cols>
  <sheetData>
    <row r="1" customFormat="false" ht="39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19.5" hidden="false" customHeight="true" outlineLevel="0" collapsed="false">
      <c r="A4" s="3" t="s">
        <v>2</v>
      </c>
      <c r="B4" s="3"/>
      <c r="C4" s="3"/>
      <c r="D4" s="4" t="s">
        <v>3</v>
      </c>
      <c r="E4" s="5" t="s">
        <v>4</v>
      </c>
      <c r="F4" s="6" t="s">
        <v>5</v>
      </c>
    </row>
    <row r="6" customFormat="false" ht="30" hidden="false" customHeight="true" outlineLevel="0" collapsed="false">
      <c r="A6" s="7" t="s">
        <v>6</v>
      </c>
      <c r="B6" s="8" t="s">
        <v>7</v>
      </c>
      <c r="C6" s="8" t="s">
        <v>8</v>
      </c>
      <c r="D6" s="9" t="s">
        <v>9</v>
      </c>
      <c r="E6" s="9" t="s">
        <v>10</v>
      </c>
      <c r="F6" s="9" t="s">
        <v>11</v>
      </c>
      <c r="G6" s="9" t="s">
        <v>12</v>
      </c>
      <c r="H6" s="9" t="s">
        <v>13</v>
      </c>
      <c r="I6" s="9" t="s">
        <v>14</v>
      </c>
      <c r="J6" s="10" t="s">
        <v>15</v>
      </c>
      <c r="K6" s="11" t="s">
        <v>16</v>
      </c>
      <c r="L6" s="8" t="s">
        <v>17</v>
      </c>
      <c r="M6" s="12" t="s">
        <v>18</v>
      </c>
      <c r="N6" s="13" t="s">
        <v>19</v>
      </c>
      <c r="O6" s="10" t="s">
        <v>20</v>
      </c>
    </row>
    <row r="7" customFormat="false" ht="19.5" hidden="false" customHeight="true" outlineLevel="0" collapsed="false">
      <c r="A7" s="14" t="n">
        <v>1</v>
      </c>
      <c r="B7" s="15" t="s">
        <v>21</v>
      </c>
      <c r="C7" s="16" t="s">
        <v>22</v>
      </c>
      <c r="D7" s="17" t="n">
        <v>0.71</v>
      </c>
      <c r="E7" s="18" t="n">
        <v>0.46</v>
      </c>
      <c r="F7" s="18" t="n">
        <v>0.56</v>
      </c>
      <c r="G7" s="18" t="n">
        <v>0.54</v>
      </c>
      <c r="H7" s="17" t="n">
        <v>0.74</v>
      </c>
      <c r="I7" s="19" t="s">
        <v>23</v>
      </c>
      <c r="J7" s="17" t="n">
        <v>0.6</v>
      </c>
      <c r="K7" s="17" t="n">
        <v>0.62</v>
      </c>
      <c r="L7" s="17" t="n">
        <v>0.61</v>
      </c>
      <c r="M7" s="17" t="n">
        <v>0.6</v>
      </c>
      <c r="N7" s="20" t="n">
        <v>0.01</v>
      </c>
      <c r="O7" s="21" t="n">
        <v>0.01</v>
      </c>
    </row>
    <row r="8" customFormat="false" ht="19.5" hidden="false" customHeight="true" outlineLevel="0" collapsed="false">
      <c r="A8" s="22" t="n">
        <v>2</v>
      </c>
      <c r="B8" s="23" t="s">
        <v>24</v>
      </c>
      <c r="C8" s="24" t="s">
        <v>25</v>
      </c>
      <c r="D8" s="17" t="n">
        <v>0.81</v>
      </c>
      <c r="E8" s="18" t="n">
        <v>0.48</v>
      </c>
      <c r="F8" s="17" t="n">
        <v>0.62</v>
      </c>
      <c r="G8" s="18" t="n">
        <v>0.46</v>
      </c>
      <c r="H8" s="18" t="n">
        <v>0.54</v>
      </c>
      <c r="I8" s="25" t="s">
        <v>23</v>
      </c>
      <c r="J8" s="18" t="n">
        <v>0.58</v>
      </c>
      <c r="K8" s="18" t="n">
        <v>0.58</v>
      </c>
      <c r="L8" s="18" t="n">
        <v>0.58</v>
      </c>
      <c r="M8" s="17" t="n">
        <v>0.6</v>
      </c>
      <c r="N8" s="20" t="n">
        <v>-0.02</v>
      </c>
      <c r="O8" s="26" t="n">
        <v>-0.02</v>
      </c>
    </row>
    <row r="9" customFormat="false" ht="19.5" hidden="false" customHeight="true" outlineLevel="0" collapsed="false">
      <c r="A9" s="14" t="n">
        <v>3</v>
      </c>
      <c r="B9" s="15" t="s">
        <v>26</v>
      </c>
      <c r="C9" s="16" t="s">
        <v>27</v>
      </c>
      <c r="D9" s="18" t="n">
        <v>0.46</v>
      </c>
      <c r="E9" s="18" t="n">
        <v>0.53</v>
      </c>
      <c r="F9" s="17" t="n">
        <v>0.71</v>
      </c>
      <c r="G9" s="17" t="n">
        <v>0.67</v>
      </c>
      <c r="H9" s="18" t="n">
        <v>0.54</v>
      </c>
      <c r="I9" s="19" t="s">
        <v>23</v>
      </c>
      <c r="J9" s="18" t="n">
        <v>0.58</v>
      </c>
      <c r="K9" s="18" t="n">
        <v>0.59</v>
      </c>
      <c r="L9" s="18" t="n">
        <v>0.58</v>
      </c>
      <c r="M9" s="17" t="n">
        <v>0.6</v>
      </c>
      <c r="N9" s="20" t="n">
        <v>-0.02</v>
      </c>
      <c r="O9" s="27" t="n">
        <v>-0.02</v>
      </c>
    </row>
    <row r="10" customFormat="false" ht="19.5" hidden="false" customHeight="true" outlineLevel="0" collapsed="false">
      <c r="A10" s="22" t="n">
        <v>4</v>
      </c>
      <c r="B10" s="23" t="s">
        <v>28</v>
      </c>
      <c r="C10" s="24" t="s">
        <v>29</v>
      </c>
      <c r="D10" s="17" t="n">
        <v>0.77</v>
      </c>
      <c r="E10" s="18" t="n">
        <v>0.45</v>
      </c>
      <c r="F10" s="17" t="n">
        <v>0.77</v>
      </c>
      <c r="G10" s="17" t="n">
        <v>0.73</v>
      </c>
      <c r="H10" s="18" t="n">
        <v>0.59</v>
      </c>
      <c r="I10" s="25" t="s">
        <v>23</v>
      </c>
      <c r="J10" s="17" t="n">
        <v>0.66</v>
      </c>
      <c r="K10" s="17" t="n">
        <v>0.63</v>
      </c>
      <c r="L10" s="17" t="n">
        <v>0.65</v>
      </c>
      <c r="M10" s="17" t="n">
        <v>0.6</v>
      </c>
      <c r="N10" s="20" t="n">
        <v>0.05</v>
      </c>
      <c r="O10" s="28" t="n">
        <v>0.05</v>
      </c>
    </row>
    <row r="11" customFormat="false" ht="19.5" hidden="false" customHeight="true" outlineLevel="0" collapsed="false">
      <c r="A11" s="14" t="n">
        <v>5</v>
      </c>
      <c r="B11" s="15" t="s">
        <v>30</v>
      </c>
      <c r="C11" s="16" t="s">
        <v>31</v>
      </c>
      <c r="D11" s="17" t="n">
        <v>0.83</v>
      </c>
      <c r="E11" s="18" t="n">
        <v>0.58</v>
      </c>
      <c r="F11" s="18" t="n">
        <v>0.49</v>
      </c>
      <c r="G11" s="18" t="n">
        <v>0.49</v>
      </c>
      <c r="H11" s="17" t="n">
        <v>0.79</v>
      </c>
      <c r="I11" s="17" t="n">
        <v>0.69</v>
      </c>
      <c r="J11" s="17" t="n">
        <v>0.65</v>
      </c>
      <c r="K11" s="17" t="n">
        <v>0.68</v>
      </c>
      <c r="L11" s="17" t="n">
        <v>0.67</v>
      </c>
      <c r="M11" s="17" t="n">
        <v>0.6</v>
      </c>
      <c r="N11" s="20" t="n">
        <v>0.07</v>
      </c>
      <c r="O11" s="21" t="n">
        <v>0.07</v>
      </c>
    </row>
    <row r="13" customFormat="false" ht="15" hidden="false" customHeight="false" outlineLevel="0" collapsed="false">
      <c r="A13" s="29" t="s">
        <v>32</v>
      </c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</row>
  </sheetData>
  <mergeCells count="4">
    <mergeCell ref="A1:P1"/>
    <mergeCell ref="A2:P2"/>
    <mergeCell ref="A4:C4"/>
    <mergeCell ref="A13:P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31" min="4" style="0" width="9"/>
  </cols>
  <sheetData>
    <row r="1" customFormat="false" ht="34.5" hidden="false" customHeight="true" outlineLevel="0" collapsed="false">
      <c r="A1" s="30" t="s">
        <v>33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 customFormat="false" ht="18" hidden="false" customHeight="true" outlineLevel="0" collapsed="false">
      <c r="A2" s="31" t="s">
        <v>34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</row>
    <row r="4" customFormat="false" ht="24.75" hidden="false" customHeight="true" outlineLevel="0" collapsed="false">
      <c r="A4" s="32" t="s">
        <v>35</v>
      </c>
      <c r="B4" s="33" t="s">
        <v>36</v>
      </c>
      <c r="C4" s="33"/>
      <c r="D4" s="33"/>
      <c r="E4" s="33"/>
      <c r="F4" s="33"/>
      <c r="G4" s="34" t="s">
        <v>37</v>
      </c>
      <c r="H4" s="34"/>
      <c r="I4" s="34"/>
      <c r="J4" s="34"/>
      <c r="K4" s="34"/>
      <c r="L4" s="35" t="s">
        <v>38</v>
      </c>
      <c r="M4" s="35"/>
      <c r="N4" s="35"/>
      <c r="O4" s="35"/>
      <c r="P4" s="35"/>
      <c r="Q4" s="36" t="s">
        <v>39</v>
      </c>
      <c r="R4" s="36"/>
      <c r="S4" s="36"/>
      <c r="T4" s="36"/>
      <c r="U4" s="36"/>
      <c r="V4" s="37" t="s">
        <v>40</v>
      </c>
      <c r="W4" s="37"/>
      <c r="X4" s="37"/>
      <c r="Y4" s="37"/>
      <c r="Z4" s="37"/>
      <c r="AA4" s="38" t="s">
        <v>41</v>
      </c>
      <c r="AB4" s="39" t="s">
        <v>42</v>
      </c>
      <c r="AC4" s="40" t="s">
        <v>43</v>
      </c>
    </row>
    <row r="5" customFormat="false" ht="19.5" hidden="false" customHeight="true" outlineLevel="0" collapsed="false">
      <c r="A5" s="32"/>
      <c r="B5" s="41" t="n">
        <v>6</v>
      </c>
      <c r="C5" s="41" t="n">
        <v>6</v>
      </c>
      <c r="D5" s="41" t="n">
        <v>6</v>
      </c>
      <c r="E5" s="41" t="n">
        <v>6</v>
      </c>
      <c r="F5" s="41" t="n">
        <v>6</v>
      </c>
      <c r="G5" s="42" t="n">
        <v>6</v>
      </c>
      <c r="H5" s="42" t="n">
        <v>6</v>
      </c>
      <c r="I5" s="42" t="n">
        <v>6</v>
      </c>
      <c r="J5" s="42" t="n">
        <v>6</v>
      </c>
      <c r="K5" s="42" t="n">
        <v>6</v>
      </c>
      <c r="L5" s="4" t="n">
        <v>2</v>
      </c>
      <c r="M5" s="4" t="n">
        <v>2</v>
      </c>
      <c r="N5" s="4" t="n">
        <v>2</v>
      </c>
      <c r="O5" s="4" t="n">
        <v>2</v>
      </c>
      <c r="P5" s="4" t="n">
        <v>2</v>
      </c>
      <c r="Q5" s="6" t="n">
        <v>2</v>
      </c>
      <c r="R5" s="6" t="n">
        <v>2</v>
      </c>
      <c r="S5" s="6" t="n">
        <v>2</v>
      </c>
      <c r="T5" s="6" t="n">
        <v>2</v>
      </c>
      <c r="U5" s="6" t="n">
        <v>2</v>
      </c>
      <c r="V5" s="43" t="n">
        <v>20</v>
      </c>
      <c r="W5" s="43" t="n">
        <v>20</v>
      </c>
      <c r="X5" s="43" t="n">
        <v>20</v>
      </c>
      <c r="Y5" s="43" t="n">
        <v>20</v>
      </c>
      <c r="Z5" s="43" t="n">
        <v>20</v>
      </c>
      <c r="AA5" s="38"/>
      <c r="AB5" s="38"/>
      <c r="AC5" s="38"/>
    </row>
    <row r="6" customFormat="false" ht="21.75" hidden="false" customHeight="true" outlineLevel="0" collapsed="false">
      <c r="A6" s="44" t="s">
        <v>44</v>
      </c>
      <c r="B6" s="44" t="s">
        <v>45</v>
      </c>
      <c r="C6" s="44" t="s">
        <v>46</v>
      </c>
      <c r="D6" s="45" t="s">
        <v>47</v>
      </c>
      <c r="E6" s="45"/>
      <c r="F6" s="45"/>
      <c r="G6" s="45"/>
      <c r="H6" s="45"/>
      <c r="I6" s="46" t="s">
        <v>48</v>
      </c>
      <c r="J6" s="46"/>
      <c r="K6" s="46"/>
      <c r="L6" s="46"/>
      <c r="M6" s="46"/>
      <c r="N6" s="47" t="s">
        <v>38</v>
      </c>
      <c r="O6" s="47"/>
      <c r="P6" s="47"/>
      <c r="Q6" s="47"/>
      <c r="R6" s="47"/>
      <c r="S6" s="48" t="s">
        <v>39</v>
      </c>
      <c r="T6" s="48"/>
      <c r="U6" s="48"/>
      <c r="V6" s="48"/>
      <c r="W6" s="48"/>
      <c r="X6" s="49" t="s">
        <v>49</v>
      </c>
      <c r="Y6" s="49"/>
      <c r="Z6" s="49"/>
      <c r="AA6" s="49"/>
      <c r="AB6" s="49"/>
    </row>
    <row r="7" customFormat="false" ht="21.75" hidden="false" customHeight="true" outlineLevel="0" collapsed="false">
      <c r="A7" s="44"/>
      <c r="B7" s="44"/>
      <c r="C7" s="44"/>
      <c r="D7" s="50" t="s">
        <v>9</v>
      </c>
      <c r="E7" s="50" t="s">
        <v>10</v>
      </c>
      <c r="F7" s="50" t="s">
        <v>11</v>
      </c>
      <c r="G7" s="50" t="s">
        <v>12</v>
      </c>
      <c r="H7" s="50" t="s">
        <v>13</v>
      </c>
      <c r="I7" s="50" t="s">
        <v>9</v>
      </c>
      <c r="J7" s="50" t="s">
        <v>10</v>
      </c>
      <c r="K7" s="50" t="s">
        <v>11</v>
      </c>
      <c r="L7" s="50" t="s">
        <v>12</v>
      </c>
      <c r="M7" s="50" t="s">
        <v>13</v>
      </c>
      <c r="N7" s="50" t="s">
        <v>9</v>
      </c>
      <c r="O7" s="50" t="s">
        <v>10</v>
      </c>
      <c r="P7" s="50" t="s">
        <v>11</v>
      </c>
      <c r="Q7" s="50" t="s">
        <v>12</v>
      </c>
      <c r="R7" s="50" t="s">
        <v>13</v>
      </c>
      <c r="S7" s="50" t="s">
        <v>9</v>
      </c>
      <c r="T7" s="50" t="s">
        <v>10</v>
      </c>
      <c r="U7" s="50" t="s">
        <v>11</v>
      </c>
      <c r="V7" s="50" t="s">
        <v>12</v>
      </c>
      <c r="W7" s="50" t="s">
        <v>13</v>
      </c>
      <c r="X7" s="50" t="s">
        <v>9</v>
      </c>
      <c r="Y7" s="50" t="s">
        <v>10</v>
      </c>
      <c r="Z7" s="50" t="s">
        <v>11</v>
      </c>
      <c r="AA7" s="50" t="s">
        <v>12</v>
      </c>
      <c r="AB7" s="50" t="s">
        <v>13</v>
      </c>
      <c r="AC7" s="51" t="s">
        <v>41</v>
      </c>
      <c r="AD7" s="52" t="s">
        <v>42</v>
      </c>
      <c r="AE7" s="7" t="s">
        <v>43</v>
      </c>
    </row>
    <row r="8" customFormat="false" ht="18" hidden="false" customHeight="true" outlineLevel="0" collapsed="false">
      <c r="A8" s="53" t="n">
        <v>1</v>
      </c>
      <c r="B8" s="53" t="s">
        <v>50</v>
      </c>
      <c r="C8" s="54" t="s">
        <v>51</v>
      </c>
      <c r="D8" s="55" t="n">
        <v>5.2</v>
      </c>
      <c r="E8" s="55" t="n">
        <v>4.6</v>
      </c>
      <c r="F8" s="55" t="n">
        <v>5.9</v>
      </c>
      <c r="G8" s="55" t="n">
        <v>4.1</v>
      </c>
      <c r="H8" s="55" t="n">
        <v>4.7</v>
      </c>
      <c r="I8" s="55" t="n">
        <v>5.5</v>
      </c>
      <c r="J8" s="55" t="n">
        <v>4.9</v>
      </c>
      <c r="K8" s="55" t="n">
        <v>5.6</v>
      </c>
      <c r="L8" s="55" t="n">
        <v>4.7</v>
      </c>
      <c r="M8" s="55" t="n">
        <v>5.1</v>
      </c>
      <c r="N8" s="55" t="n">
        <v>1</v>
      </c>
      <c r="O8" s="55" t="n">
        <v>1.2</v>
      </c>
      <c r="P8" s="55" t="n">
        <v>1.3</v>
      </c>
      <c r="Q8" s="55" t="n">
        <v>1.1</v>
      </c>
      <c r="R8" s="55" t="n">
        <v>1.2</v>
      </c>
      <c r="S8" s="55" t="n">
        <v>1.1</v>
      </c>
      <c r="T8" s="55" t="n">
        <v>1.3</v>
      </c>
      <c r="U8" s="55" t="n">
        <v>1.6</v>
      </c>
      <c r="V8" s="55" t="n">
        <v>1.4</v>
      </c>
      <c r="W8" s="55" t="n">
        <v>1.4</v>
      </c>
      <c r="X8" s="55" t="n">
        <v>12.1</v>
      </c>
      <c r="Y8" s="55" t="n">
        <v>12.7</v>
      </c>
      <c r="Z8" s="55" t="n">
        <v>19.4</v>
      </c>
      <c r="AA8" s="55" t="n">
        <v>16.5</v>
      </c>
      <c r="AB8" s="55" t="n">
        <v>16.1</v>
      </c>
      <c r="AC8" s="56" t="n">
        <f aca="false">((D8+E8+F8+G8+H8+I8+J8+K8+L8+M8)/2)+(N8+O8+P8+Q8+R8)+(S8+T8+U8+V8+W8)</f>
        <v>37.75</v>
      </c>
      <c r="AD8" s="57" t="n">
        <f aca="false">(X8+Y8+Z8+AA8+AB8)*50/100</f>
        <v>38.4</v>
      </c>
      <c r="AE8" s="58" t="n">
        <f aca="false">AC8+AD8</f>
        <v>76.15</v>
      </c>
    </row>
    <row r="9" customFormat="false" ht="18" hidden="false" customHeight="true" outlineLevel="0" collapsed="false">
      <c r="A9" s="59" t="n">
        <v>2</v>
      </c>
      <c r="B9" s="59" t="s">
        <v>52</v>
      </c>
      <c r="C9" s="60" t="s">
        <v>53</v>
      </c>
      <c r="D9" s="61" t="n">
        <v>3.5</v>
      </c>
      <c r="E9" s="61" t="n">
        <v>5.2</v>
      </c>
      <c r="F9" s="61" t="n">
        <v>3.5</v>
      </c>
      <c r="G9" s="61" t="n">
        <v>4.1</v>
      </c>
      <c r="H9" s="61" t="n">
        <v>6</v>
      </c>
      <c r="I9" s="61" t="n">
        <v>4.9</v>
      </c>
      <c r="J9" s="61" t="n">
        <v>4.7</v>
      </c>
      <c r="K9" s="61" t="n">
        <v>5.1</v>
      </c>
      <c r="L9" s="61" t="n">
        <v>5.5</v>
      </c>
      <c r="M9" s="61" t="n">
        <v>5.3</v>
      </c>
      <c r="N9" s="61" t="n">
        <v>1.2</v>
      </c>
      <c r="O9" s="61" t="n">
        <v>1</v>
      </c>
      <c r="P9" s="61" t="n">
        <v>1.3</v>
      </c>
      <c r="Q9" s="61" t="n">
        <v>1.3</v>
      </c>
      <c r="R9" s="61" t="n">
        <v>1.2</v>
      </c>
      <c r="S9" s="61" t="n">
        <v>1.9</v>
      </c>
      <c r="T9" s="61" t="n">
        <v>1.9</v>
      </c>
      <c r="U9" s="61" t="n">
        <v>1.3</v>
      </c>
      <c r="V9" s="61" t="n">
        <v>1.7</v>
      </c>
      <c r="W9" s="61" t="n">
        <v>1.4</v>
      </c>
      <c r="X9" s="61" t="n">
        <v>19.1</v>
      </c>
      <c r="Y9" s="61" t="n">
        <v>14.6</v>
      </c>
      <c r="Z9" s="61" t="n">
        <v>12.6</v>
      </c>
      <c r="AA9" s="61" t="n">
        <v>12.5</v>
      </c>
      <c r="AB9" s="61" t="n">
        <v>15.6</v>
      </c>
      <c r="AC9" s="56" t="n">
        <f aca="false">((D9+E9+F9+G9+H9+I9+J9+K9+L9+M9)/2)+(N9+O9+P9+Q9+R9)+(S9+T9+U9+V9+W9)</f>
        <v>38.1</v>
      </c>
      <c r="AD9" s="57" t="n">
        <f aca="false">(X9+Y9+Z9+AA9+AB9)*50/100</f>
        <v>37.2</v>
      </c>
      <c r="AE9" s="58" t="n">
        <f aca="false">AC9+AD9</f>
        <v>75.3</v>
      </c>
    </row>
    <row r="10" customFormat="false" ht="18" hidden="false" customHeight="true" outlineLevel="0" collapsed="false">
      <c r="A10" s="53" t="n">
        <v>3</v>
      </c>
      <c r="B10" s="53" t="s">
        <v>54</v>
      </c>
      <c r="C10" s="54" t="s">
        <v>55</v>
      </c>
      <c r="D10" s="55" t="n">
        <v>3.8</v>
      </c>
      <c r="E10" s="55" t="n">
        <v>4.8</v>
      </c>
      <c r="F10" s="55" t="n">
        <v>5.7</v>
      </c>
      <c r="G10" s="55" t="n">
        <v>4.2</v>
      </c>
      <c r="H10" s="55" t="n">
        <v>3.7</v>
      </c>
      <c r="I10" s="55" t="n">
        <v>6</v>
      </c>
      <c r="J10" s="55" t="n">
        <v>4.5</v>
      </c>
      <c r="K10" s="55" t="n">
        <v>3.3</v>
      </c>
      <c r="L10" s="55" t="n">
        <v>3.1</v>
      </c>
      <c r="M10" s="55" t="n">
        <v>3.3</v>
      </c>
      <c r="N10" s="55" t="n">
        <v>1.6</v>
      </c>
      <c r="O10" s="55" t="n">
        <v>1.8</v>
      </c>
      <c r="P10" s="55" t="n">
        <v>1.4</v>
      </c>
      <c r="Q10" s="55" t="n">
        <v>1.1</v>
      </c>
      <c r="R10" s="55" t="n">
        <v>1.4</v>
      </c>
      <c r="S10" s="55" t="n">
        <v>2</v>
      </c>
      <c r="T10" s="55" t="n">
        <v>1.5</v>
      </c>
      <c r="U10" s="55" t="n">
        <v>2</v>
      </c>
      <c r="V10" s="55" t="n">
        <v>1.9</v>
      </c>
      <c r="W10" s="55" t="n">
        <v>1</v>
      </c>
      <c r="X10" s="55" t="n">
        <v>17.2</v>
      </c>
      <c r="Y10" s="55" t="n">
        <v>16.8</v>
      </c>
      <c r="Z10" s="55" t="n">
        <v>15.4</v>
      </c>
      <c r="AA10" s="55" t="n">
        <v>12.7</v>
      </c>
      <c r="AB10" s="55" t="n">
        <v>16.4</v>
      </c>
      <c r="AC10" s="56" t="n">
        <f aca="false">((D10+E10+F10+G10+H10+I10+J10+K10+L10+M10)/2)+(N10+O10+P10+Q10+R10)+(S10+T10+U10+V10+W10)</f>
        <v>36.9</v>
      </c>
      <c r="AD10" s="57" t="n">
        <f aca="false">(X10+Y10+Z10+AA10+AB10)*50/100</f>
        <v>39.25</v>
      </c>
      <c r="AE10" s="58" t="n">
        <f aca="false">AC10+AD10</f>
        <v>76.15</v>
      </c>
    </row>
    <row r="11" customFormat="false" ht="18" hidden="false" customHeight="true" outlineLevel="0" collapsed="false">
      <c r="A11" s="59" t="n">
        <v>4</v>
      </c>
      <c r="B11" s="59" t="s">
        <v>56</v>
      </c>
      <c r="C11" s="60" t="s">
        <v>57</v>
      </c>
      <c r="D11" s="61" t="n">
        <v>3.3</v>
      </c>
      <c r="E11" s="61" t="n">
        <v>4.3</v>
      </c>
      <c r="F11" s="61" t="n">
        <v>4.4</v>
      </c>
      <c r="G11" s="61" t="n">
        <v>5.9</v>
      </c>
      <c r="H11" s="61" t="n">
        <v>5.6</v>
      </c>
      <c r="I11" s="61" t="n">
        <v>3.8</v>
      </c>
      <c r="J11" s="61" t="n">
        <v>4.5</v>
      </c>
      <c r="K11" s="61" t="n">
        <v>3.5</v>
      </c>
      <c r="L11" s="61" t="n">
        <v>5.7</v>
      </c>
      <c r="M11" s="61" t="n">
        <v>5.6</v>
      </c>
      <c r="N11" s="61" t="n">
        <v>1.3</v>
      </c>
      <c r="O11" s="61" t="n">
        <v>1.6</v>
      </c>
      <c r="P11" s="61" t="n">
        <v>1.6</v>
      </c>
      <c r="Q11" s="61" t="n">
        <v>1.2</v>
      </c>
      <c r="R11" s="61" t="n">
        <v>1.8</v>
      </c>
      <c r="S11" s="61" t="n">
        <v>1.5</v>
      </c>
      <c r="T11" s="61" t="n">
        <v>1.8</v>
      </c>
      <c r="U11" s="61" t="n">
        <v>1.5</v>
      </c>
      <c r="V11" s="61" t="n">
        <v>1</v>
      </c>
      <c r="W11" s="61" t="n">
        <v>1.3</v>
      </c>
      <c r="X11" s="61" t="n">
        <v>10.2</v>
      </c>
      <c r="Y11" s="61" t="n">
        <v>19.3</v>
      </c>
      <c r="Z11" s="61" t="n">
        <v>18.8</v>
      </c>
      <c r="AA11" s="61" t="n">
        <v>18.3</v>
      </c>
      <c r="AB11" s="61" t="n">
        <v>13.1</v>
      </c>
      <c r="AC11" s="56" t="n">
        <f aca="false">((D11+E11+F11+G11+H11+I11+J11+K11+L11+M11)/2)+(N11+O11+P11+Q11+R11)+(S11+T11+U11+V11+W11)</f>
        <v>37.9</v>
      </c>
      <c r="AD11" s="57" t="n">
        <f aca="false">(X11+Y11+Z11+AA11+AB11)*50/100</f>
        <v>39.85</v>
      </c>
      <c r="AE11" s="58" t="n">
        <f aca="false">AC11+AD11</f>
        <v>77.75</v>
      </c>
    </row>
    <row r="12" customFormat="false" ht="18" hidden="false" customHeight="true" outlineLevel="0" collapsed="false">
      <c r="A12" s="53" t="n">
        <v>5</v>
      </c>
      <c r="B12" s="53" t="s">
        <v>58</v>
      </c>
      <c r="C12" s="54" t="s">
        <v>59</v>
      </c>
      <c r="D12" s="55" t="n">
        <v>3.2</v>
      </c>
      <c r="E12" s="55" t="n">
        <v>5.6</v>
      </c>
      <c r="F12" s="55" t="n">
        <v>5.8</v>
      </c>
      <c r="G12" s="55" t="n">
        <v>3.3</v>
      </c>
      <c r="H12" s="55" t="n">
        <v>4.5</v>
      </c>
      <c r="I12" s="55" t="n">
        <v>3.2</v>
      </c>
      <c r="J12" s="55" t="n">
        <v>5.3</v>
      </c>
      <c r="K12" s="55" t="n">
        <v>5.3</v>
      </c>
      <c r="L12" s="55" t="n">
        <v>3.4</v>
      </c>
      <c r="M12" s="55" t="n">
        <v>4.4</v>
      </c>
      <c r="N12" s="55" t="n">
        <v>1.5</v>
      </c>
      <c r="O12" s="55" t="n">
        <v>1.3</v>
      </c>
      <c r="P12" s="55" t="n">
        <v>1.9</v>
      </c>
      <c r="Q12" s="55" t="n">
        <v>1.4</v>
      </c>
      <c r="R12" s="55" t="n">
        <v>1.2</v>
      </c>
      <c r="S12" s="55" t="n">
        <v>1.5</v>
      </c>
      <c r="T12" s="55" t="n">
        <v>1.7</v>
      </c>
      <c r="U12" s="55" t="n">
        <v>1.2</v>
      </c>
      <c r="V12" s="55" t="n">
        <v>1.3</v>
      </c>
      <c r="W12" s="55" t="n">
        <v>2</v>
      </c>
      <c r="X12" s="55" t="n">
        <v>16.5</v>
      </c>
      <c r="Y12" s="55" t="n">
        <v>14.4</v>
      </c>
      <c r="Z12" s="55" t="n">
        <v>15.2</v>
      </c>
      <c r="AA12" s="55" t="n">
        <v>11.2</v>
      </c>
      <c r="AB12" s="55" t="n">
        <v>12.2</v>
      </c>
      <c r="AC12" s="56" t="n">
        <f aca="false">((D12+E12+F12+G12+H12+I12+J12+K12+L12+M12)/2)+(N12+O12+P12+Q12+R12)+(S12+T12+U12+V12+W12)</f>
        <v>37</v>
      </c>
      <c r="AD12" s="57" t="n">
        <f aca="false">(X12+Y12+Z12+AA12+AB12)*50/100</f>
        <v>34.75</v>
      </c>
      <c r="AE12" s="58" t="n">
        <f aca="false">AC12+AD12</f>
        <v>71.75</v>
      </c>
    </row>
    <row r="13" customFormat="false" ht="18" hidden="false" customHeight="true" outlineLevel="0" collapsed="false">
      <c r="A13" s="59" t="n">
        <v>6</v>
      </c>
      <c r="B13" s="59" t="s">
        <v>60</v>
      </c>
      <c r="C13" s="60" t="s">
        <v>61</v>
      </c>
      <c r="D13" s="61" t="n">
        <v>4</v>
      </c>
      <c r="E13" s="61" t="n">
        <v>4.8</v>
      </c>
      <c r="F13" s="61" t="n">
        <v>3.7</v>
      </c>
      <c r="G13" s="61" t="n">
        <v>3.7</v>
      </c>
      <c r="H13" s="61" t="n">
        <v>3.2</v>
      </c>
      <c r="I13" s="61" t="n">
        <v>4.9</v>
      </c>
      <c r="J13" s="61" t="n">
        <v>3.7</v>
      </c>
      <c r="K13" s="61" t="n">
        <v>5.7</v>
      </c>
      <c r="L13" s="61" t="n">
        <v>5.6</v>
      </c>
      <c r="M13" s="61" t="n">
        <v>3.2</v>
      </c>
      <c r="N13" s="61" t="n">
        <v>1.2</v>
      </c>
      <c r="O13" s="61" t="n">
        <v>1.7</v>
      </c>
      <c r="P13" s="61" t="n">
        <v>1.2</v>
      </c>
      <c r="Q13" s="61" t="n">
        <v>1.1</v>
      </c>
      <c r="R13" s="61" t="n">
        <v>1.9</v>
      </c>
      <c r="S13" s="61" t="n">
        <v>1.6</v>
      </c>
      <c r="T13" s="61" t="n">
        <v>1.5</v>
      </c>
      <c r="U13" s="61" t="n">
        <v>1.8</v>
      </c>
      <c r="V13" s="61" t="n">
        <v>1.8</v>
      </c>
      <c r="W13" s="61" t="n">
        <v>1.2</v>
      </c>
      <c r="X13" s="61" t="n">
        <v>11</v>
      </c>
      <c r="Y13" s="61" t="n">
        <v>14.3</v>
      </c>
      <c r="Z13" s="61" t="n">
        <v>14.2</v>
      </c>
      <c r="AA13" s="61" t="n">
        <v>14.7</v>
      </c>
      <c r="AB13" s="61" t="n">
        <v>17.3</v>
      </c>
      <c r="AC13" s="56" t="n">
        <f aca="false">((D13+E13+F13+G13+H13+I13+J13+K13+L13+M13)/2)+(N13+O13+P13+Q13+R13)+(S13+T13+U13+V13+W13)</f>
        <v>36.25</v>
      </c>
      <c r="AD13" s="57" t="n">
        <f aca="false">(X13+Y13+Z13+AA13+AB13)*50/100</f>
        <v>35.75</v>
      </c>
      <c r="AE13" s="58" t="n">
        <f aca="false">AC13+AD13</f>
        <v>72</v>
      </c>
    </row>
    <row r="14" customFormat="false" ht="18" hidden="false" customHeight="true" outlineLevel="0" collapsed="false">
      <c r="A14" s="53" t="n">
        <v>7</v>
      </c>
      <c r="B14" s="53" t="s">
        <v>62</v>
      </c>
      <c r="C14" s="54" t="s">
        <v>63</v>
      </c>
      <c r="D14" s="55" t="n">
        <v>5</v>
      </c>
      <c r="E14" s="55" t="n">
        <v>6</v>
      </c>
      <c r="F14" s="55" t="n">
        <v>3.3</v>
      </c>
      <c r="G14" s="55" t="n">
        <v>4.2</v>
      </c>
      <c r="H14" s="55" t="n">
        <v>4</v>
      </c>
      <c r="I14" s="55" t="n">
        <v>5.6</v>
      </c>
      <c r="J14" s="55" t="n">
        <v>3.7</v>
      </c>
      <c r="K14" s="55" t="n">
        <v>3.6</v>
      </c>
      <c r="L14" s="55" t="n">
        <v>4.3</v>
      </c>
      <c r="M14" s="55" t="n">
        <v>4.3</v>
      </c>
      <c r="N14" s="55" t="n">
        <v>1.3</v>
      </c>
      <c r="O14" s="55" t="n">
        <v>1.2</v>
      </c>
      <c r="P14" s="55" t="n">
        <v>1.9</v>
      </c>
      <c r="Q14" s="55" t="n">
        <v>1.4</v>
      </c>
      <c r="R14" s="55" t="n">
        <v>1.9</v>
      </c>
      <c r="S14" s="55" t="n">
        <v>1.6</v>
      </c>
      <c r="T14" s="55" t="n">
        <v>1.1</v>
      </c>
      <c r="U14" s="55" t="n">
        <v>2</v>
      </c>
      <c r="V14" s="55" t="n">
        <v>1.8</v>
      </c>
      <c r="W14" s="55" t="n">
        <v>2</v>
      </c>
      <c r="X14" s="55" t="n">
        <v>19.3</v>
      </c>
      <c r="Y14" s="55" t="n">
        <v>18.5</v>
      </c>
      <c r="Z14" s="55" t="n">
        <v>11.7</v>
      </c>
      <c r="AA14" s="55" t="n">
        <v>14.9</v>
      </c>
      <c r="AB14" s="55" t="n">
        <v>12.1</v>
      </c>
      <c r="AC14" s="56" t="n">
        <f aca="false">((D14+E14+F14+G14+H14+I14+J14+K14+L14+M14)/2)+(N14+O14+P14+Q14+R14)+(S14+T14+U14+V14+W14)</f>
        <v>38.2</v>
      </c>
      <c r="AD14" s="57" t="n">
        <f aca="false">(X14+Y14+Z14+AA14+AB14)*50/100</f>
        <v>38.25</v>
      </c>
      <c r="AE14" s="58" t="n">
        <f aca="false">AC14+AD14</f>
        <v>76.45</v>
      </c>
    </row>
    <row r="15" customFormat="false" ht="18" hidden="false" customHeight="true" outlineLevel="0" collapsed="false">
      <c r="A15" s="59" t="n">
        <v>8</v>
      </c>
      <c r="B15" s="59" t="s">
        <v>64</v>
      </c>
      <c r="C15" s="60" t="s">
        <v>65</v>
      </c>
      <c r="D15" s="61" t="n">
        <v>4.2</v>
      </c>
      <c r="E15" s="61" t="n">
        <v>3.2</v>
      </c>
      <c r="F15" s="61" t="n">
        <v>4.1</v>
      </c>
      <c r="G15" s="61" t="n">
        <v>6</v>
      </c>
      <c r="H15" s="61" t="n">
        <v>3.8</v>
      </c>
      <c r="I15" s="61" t="n">
        <v>5.4</v>
      </c>
      <c r="J15" s="61" t="n">
        <v>4.4</v>
      </c>
      <c r="K15" s="61" t="n">
        <v>4.3</v>
      </c>
      <c r="L15" s="61" t="n">
        <v>5.9</v>
      </c>
      <c r="M15" s="61" t="n">
        <v>6</v>
      </c>
      <c r="N15" s="61" t="n">
        <v>1.6</v>
      </c>
      <c r="O15" s="61" t="n">
        <v>1.7</v>
      </c>
      <c r="P15" s="61" t="n">
        <v>1.2</v>
      </c>
      <c r="Q15" s="61" t="n">
        <v>1.3</v>
      </c>
      <c r="R15" s="61" t="n">
        <v>2</v>
      </c>
      <c r="S15" s="61" t="n">
        <v>1.6</v>
      </c>
      <c r="T15" s="61" t="n">
        <v>1.5</v>
      </c>
      <c r="U15" s="61" t="n">
        <v>1.7</v>
      </c>
      <c r="V15" s="61" t="n">
        <v>1.1</v>
      </c>
      <c r="W15" s="61" t="n">
        <v>1.6</v>
      </c>
      <c r="X15" s="61" t="n">
        <v>15</v>
      </c>
      <c r="Y15" s="61" t="n">
        <v>18.5</v>
      </c>
      <c r="Z15" s="61" t="n">
        <v>11.6</v>
      </c>
      <c r="AA15" s="61" t="n">
        <v>19.6</v>
      </c>
      <c r="AB15" s="61" t="n">
        <v>10.8</v>
      </c>
      <c r="AC15" s="56" t="n">
        <f aca="false">((D15+E15+F15+G15+H15+I15+J15+K15+L15+M15)/2)+(N15+O15+P15+Q15+R15)+(S15+T15+U15+V15+W15)</f>
        <v>38.95</v>
      </c>
      <c r="AD15" s="57" t="n">
        <f aca="false">(X15+Y15+Z15+AA15+AB15)*50/100</f>
        <v>37.75</v>
      </c>
      <c r="AE15" s="58" t="n">
        <f aca="false">AC15+AD15</f>
        <v>76.7</v>
      </c>
    </row>
    <row r="16" customFormat="false" ht="18" hidden="false" customHeight="true" outlineLevel="0" collapsed="false">
      <c r="A16" s="53" t="n">
        <v>9</v>
      </c>
      <c r="B16" s="53" t="s">
        <v>66</v>
      </c>
      <c r="C16" s="54" t="s">
        <v>67</v>
      </c>
      <c r="D16" s="55" t="n">
        <v>3.6</v>
      </c>
      <c r="E16" s="55" t="n">
        <v>4.8</v>
      </c>
      <c r="F16" s="55" t="n">
        <v>5</v>
      </c>
      <c r="G16" s="55" t="n">
        <v>3.7</v>
      </c>
      <c r="H16" s="55" t="n">
        <v>3.4</v>
      </c>
      <c r="I16" s="55" t="n">
        <v>5.7</v>
      </c>
      <c r="J16" s="55" t="n">
        <v>3.7</v>
      </c>
      <c r="K16" s="55" t="n">
        <v>4.8</v>
      </c>
      <c r="L16" s="55" t="n">
        <v>4.9</v>
      </c>
      <c r="M16" s="55" t="n">
        <v>4.3</v>
      </c>
      <c r="N16" s="55" t="n">
        <v>1.6</v>
      </c>
      <c r="O16" s="55" t="n">
        <v>1.5</v>
      </c>
      <c r="P16" s="55" t="n">
        <v>1.9</v>
      </c>
      <c r="Q16" s="55" t="n">
        <v>1.2</v>
      </c>
      <c r="R16" s="55" t="n">
        <v>1.7</v>
      </c>
      <c r="S16" s="55" t="n">
        <v>1.2</v>
      </c>
      <c r="T16" s="55" t="n">
        <v>1.4</v>
      </c>
      <c r="U16" s="55" t="n">
        <v>1.7</v>
      </c>
      <c r="V16" s="55" t="n">
        <v>1.3</v>
      </c>
      <c r="W16" s="55" t="n">
        <v>1.3</v>
      </c>
      <c r="X16" s="55" t="n">
        <v>17.5</v>
      </c>
      <c r="Y16" s="55" t="n">
        <v>10.7</v>
      </c>
      <c r="Z16" s="55" t="n">
        <v>14.6</v>
      </c>
      <c r="AA16" s="55" t="n">
        <v>20</v>
      </c>
      <c r="AB16" s="55" t="n">
        <v>20</v>
      </c>
      <c r="AC16" s="56" t="n">
        <f aca="false">((D16+E16+F16+G16+H16+I16+J16+K16+L16+M16)/2)+(N16+O16+P16+Q16+R16)+(S16+T16+U16+V16+W16)</f>
        <v>36.75</v>
      </c>
      <c r="AD16" s="57" t="n">
        <f aca="false">(X16+Y16+Z16+AA16+AB16)*50/100</f>
        <v>41.4</v>
      </c>
      <c r="AE16" s="58" t="n">
        <f aca="false">AC16+AD16</f>
        <v>78.15</v>
      </c>
    </row>
    <row r="17" customFormat="false" ht="18" hidden="false" customHeight="true" outlineLevel="0" collapsed="false">
      <c r="A17" s="59" t="n">
        <v>10</v>
      </c>
      <c r="B17" s="59" t="s">
        <v>68</v>
      </c>
      <c r="C17" s="60" t="s">
        <v>69</v>
      </c>
      <c r="D17" s="61" t="n">
        <v>3.2</v>
      </c>
      <c r="E17" s="61" t="n">
        <v>3.6</v>
      </c>
      <c r="F17" s="61" t="n">
        <v>3.8</v>
      </c>
      <c r="G17" s="61" t="n">
        <v>5.8</v>
      </c>
      <c r="H17" s="61" t="n">
        <v>5.6</v>
      </c>
      <c r="I17" s="61" t="n">
        <v>5.6</v>
      </c>
      <c r="J17" s="61" t="n">
        <v>4.1</v>
      </c>
      <c r="K17" s="61" t="n">
        <v>3.5</v>
      </c>
      <c r="L17" s="61" t="n">
        <v>5.5</v>
      </c>
      <c r="M17" s="61" t="n">
        <v>5.1</v>
      </c>
      <c r="N17" s="61" t="n">
        <v>1.6</v>
      </c>
      <c r="O17" s="61" t="n">
        <v>2</v>
      </c>
      <c r="P17" s="61" t="n">
        <v>1.7</v>
      </c>
      <c r="Q17" s="61" t="n">
        <v>1</v>
      </c>
      <c r="R17" s="61" t="n">
        <v>1.8</v>
      </c>
      <c r="S17" s="61" t="n">
        <v>1.3</v>
      </c>
      <c r="T17" s="61" t="n">
        <v>1.7</v>
      </c>
      <c r="U17" s="61" t="n">
        <v>1.9</v>
      </c>
      <c r="V17" s="61" t="n">
        <v>1.1</v>
      </c>
      <c r="W17" s="61" t="n">
        <v>1.1</v>
      </c>
      <c r="X17" s="61" t="n">
        <v>11.1</v>
      </c>
      <c r="Y17" s="61" t="n">
        <v>15.5</v>
      </c>
      <c r="Z17" s="61" t="n">
        <v>12.7</v>
      </c>
      <c r="AA17" s="61" t="n">
        <v>16</v>
      </c>
      <c r="AB17" s="61" t="n">
        <v>17.2</v>
      </c>
      <c r="AC17" s="56" t="n">
        <f aca="false">((D17+E17+F17+G17+H17+I17+J17+K17+L17+M17)/2)+(N17+O17+P17+Q17+R17)+(S17+T17+U17+V17+W17)</f>
        <v>38.1</v>
      </c>
      <c r="AD17" s="57" t="n">
        <f aca="false">(X17+Y17+Z17+AA17+AB17)*50/100</f>
        <v>36.25</v>
      </c>
      <c r="AE17" s="58" t="n">
        <f aca="false">AC17+AD17</f>
        <v>74.35</v>
      </c>
    </row>
    <row r="18" customFormat="false" ht="18" hidden="false" customHeight="true" outlineLevel="0" collapsed="false">
      <c r="A18" s="53" t="n">
        <v>11</v>
      </c>
      <c r="B18" s="53" t="s">
        <v>70</v>
      </c>
      <c r="C18" s="54" t="s">
        <v>71</v>
      </c>
      <c r="D18" s="55" t="n">
        <v>3.6</v>
      </c>
      <c r="E18" s="55" t="n">
        <v>4.9</v>
      </c>
      <c r="F18" s="55" t="n">
        <v>3.8</v>
      </c>
      <c r="G18" s="55" t="n">
        <v>4.5</v>
      </c>
      <c r="H18" s="55" t="n">
        <v>5.7</v>
      </c>
      <c r="I18" s="55" t="n">
        <v>5.5</v>
      </c>
      <c r="J18" s="55" t="n">
        <v>3.3</v>
      </c>
      <c r="K18" s="55" t="n">
        <v>4.3</v>
      </c>
      <c r="L18" s="55" t="n">
        <v>3.8</v>
      </c>
      <c r="M18" s="55" t="n">
        <v>3</v>
      </c>
      <c r="N18" s="55" t="n">
        <v>1.8</v>
      </c>
      <c r="O18" s="55" t="n">
        <v>1.6</v>
      </c>
      <c r="P18" s="55" t="n">
        <v>1.3</v>
      </c>
      <c r="Q18" s="55" t="n">
        <v>1.7</v>
      </c>
      <c r="R18" s="55" t="n">
        <v>1.6</v>
      </c>
      <c r="S18" s="55" t="n">
        <v>1.4</v>
      </c>
      <c r="T18" s="55" t="n">
        <v>1</v>
      </c>
      <c r="U18" s="55" t="n">
        <v>1.1</v>
      </c>
      <c r="V18" s="55" t="n">
        <v>1.9</v>
      </c>
      <c r="W18" s="55" t="n">
        <v>1.9</v>
      </c>
      <c r="X18" s="55" t="n">
        <v>15.5</v>
      </c>
      <c r="Y18" s="55" t="n">
        <v>18.3</v>
      </c>
      <c r="Z18" s="55" t="n">
        <v>15.8</v>
      </c>
      <c r="AA18" s="55" t="n">
        <v>11.5</v>
      </c>
      <c r="AB18" s="55" t="n">
        <v>11.3</v>
      </c>
      <c r="AC18" s="56" t="n">
        <f aca="false">((D18+E18+F18+G18+H18+I18+J18+K18+L18+M18)/2)+(N18+O18+P18+Q18+R18)+(S18+T18+U18+V18+W18)</f>
        <v>36.5</v>
      </c>
      <c r="AD18" s="57" t="n">
        <f aca="false">(X18+Y18+Z18+AA18+AB18)*50/100</f>
        <v>36.2</v>
      </c>
      <c r="AE18" s="58" t="n">
        <f aca="false">AC18+AD18</f>
        <v>72.7</v>
      </c>
    </row>
    <row r="19" customFormat="false" ht="18" hidden="false" customHeight="true" outlineLevel="0" collapsed="false">
      <c r="A19" s="59" t="n">
        <v>12</v>
      </c>
      <c r="B19" s="59" t="s">
        <v>72</v>
      </c>
      <c r="C19" s="60" t="s">
        <v>73</v>
      </c>
      <c r="D19" s="61" t="n">
        <v>3.9</v>
      </c>
      <c r="E19" s="61" t="n">
        <v>5.7</v>
      </c>
      <c r="F19" s="61" t="n">
        <v>5.4</v>
      </c>
      <c r="G19" s="61" t="n">
        <v>5.6</v>
      </c>
      <c r="H19" s="61" t="n">
        <v>5.7</v>
      </c>
      <c r="I19" s="61" t="n">
        <v>3.6</v>
      </c>
      <c r="J19" s="61" t="n">
        <v>3.7</v>
      </c>
      <c r="K19" s="61" t="n">
        <v>3.3</v>
      </c>
      <c r="L19" s="61" t="n">
        <v>5.3</v>
      </c>
      <c r="M19" s="61" t="n">
        <v>5.7</v>
      </c>
      <c r="N19" s="61" t="n">
        <v>1.4</v>
      </c>
      <c r="O19" s="61" t="n">
        <v>1.6</v>
      </c>
      <c r="P19" s="61" t="n">
        <v>1.2</v>
      </c>
      <c r="Q19" s="61" t="n">
        <v>1.9</v>
      </c>
      <c r="R19" s="61" t="n">
        <v>1.9</v>
      </c>
      <c r="S19" s="61" t="n">
        <v>2</v>
      </c>
      <c r="T19" s="61" t="n">
        <v>1.8</v>
      </c>
      <c r="U19" s="61" t="n">
        <v>1.9</v>
      </c>
      <c r="V19" s="61" t="n">
        <v>1</v>
      </c>
      <c r="W19" s="61" t="n">
        <v>1.7</v>
      </c>
      <c r="X19" s="61" t="n">
        <v>13.3</v>
      </c>
      <c r="Y19" s="61" t="n">
        <v>19.3</v>
      </c>
      <c r="Z19" s="61" t="n">
        <v>18</v>
      </c>
      <c r="AA19" s="61" t="n">
        <v>18.6</v>
      </c>
      <c r="AB19" s="61" t="n">
        <v>18.1</v>
      </c>
      <c r="AC19" s="56" t="n">
        <f aca="false">((D19+E19+F19+G19+H19+I19+J19+K19+L19+M19)/2)+(N19+O19+P19+Q19+R19)+(S19+T19+U19+V19+W19)</f>
        <v>40.35</v>
      </c>
      <c r="AD19" s="57" t="n">
        <f aca="false">(X19+Y19+Z19+AA19+AB19)*50/100</f>
        <v>43.65</v>
      </c>
      <c r="AE19" s="58" t="n">
        <f aca="false">AC19+AD19</f>
        <v>84</v>
      </c>
    </row>
    <row r="20" customFormat="false" ht="18" hidden="false" customHeight="true" outlineLevel="0" collapsed="false">
      <c r="A20" s="53" t="n">
        <v>13</v>
      </c>
      <c r="B20" s="53" t="s">
        <v>74</v>
      </c>
      <c r="C20" s="54" t="s">
        <v>75</v>
      </c>
      <c r="D20" s="55" t="n">
        <v>3.8</v>
      </c>
      <c r="E20" s="55" t="n">
        <v>5.4</v>
      </c>
      <c r="F20" s="55" t="n">
        <v>3.3</v>
      </c>
      <c r="G20" s="55" t="n">
        <v>5.6</v>
      </c>
      <c r="H20" s="55" t="n">
        <v>5.6</v>
      </c>
      <c r="I20" s="55" t="n">
        <v>3.7</v>
      </c>
      <c r="J20" s="55" t="n">
        <v>5.4</v>
      </c>
      <c r="K20" s="55" t="n">
        <v>4.4</v>
      </c>
      <c r="L20" s="55" t="n">
        <v>3.9</v>
      </c>
      <c r="M20" s="55" t="n">
        <v>5.4</v>
      </c>
      <c r="N20" s="55" t="n">
        <v>1.2</v>
      </c>
      <c r="O20" s="55" t="n">
        <v>1</v>
      </c>
      <c r="P20" s="55" t="n">
        <v>1.2</v>
      </c>
      <c r="Q20" s="55" t="n">
        <v>1.3</v>
      </c>
      <c r="R20" s="55" t="n">
        <v>1.9</v>
      </c>
      <c r="S20" s="55" t="n">
        <v>2</v>
      </c>
      <c r="T20" s="55" t="n">
        <v>1.3</v>
      </c>
      <c r="U20" s="55" t="n">
        <v>1.6</v>
      </c>
      <c r="V20" s="55" t="n">
        <v>1.4</v>
      </c>
      <c r="W20" s="55" t="n">
        <v>2</v>
      </c>
      <c r="X20" s="55" t="n">
        <v>15.4</v>
      </c>
      <c r="Y20" s="55" t="n">
        <v>19.4</v>
      </c>
      <c r="Z20" s="55" t="n">
        <v>11.2</v>
      </c>
      <c r="AA20" s="55" t="n">
        <v>19.7</v>
      </c>
      <c r="AB20" s="55" t="n">
        <v>11.8</v>
      </c>
      <c r="AC20" s="56" t="n">
        <f aca="false">((D20+E20+F20+G20+H20+I20+J20+K20+L20+M20)/2)+(N20+O20+P20+Q20+R20)+(S20+T20+U20+V20+W20)</f>
        <v>38.15</v>
      </c>
      <c r="AD20" s="57" t="n">
        <f aca="false">(X20+Y20+Z20+AA20+AB20)*50/100</f>
        <v>38.75</v>
      </c>
      <c r="AE20" s="58" t="n">
        <f aca="false">AC20+AD20</f>
        <v>76.9</v>
      </c>
    </row>
    <row r="21" customFormat="false" ht="18" hidden="false" customHeight="true" outlineLevel="0" collapsed="false">
      <c r="A21" s="59" t="n">
        <v>14</v>
      </c>
      <c r="B21" s="59" t="s">
        <v>76</v>
      </c>
      <c r="C21" s="60" t="s">
        <v>77</v>
      </c>
      <c r="D21" s="61" t="n">
        <v>5.9</v>
      </c>
      <c r="E21" s="61" t="n">
        <v>3.8</v>
      </c>
      <c r="F21" s="61" t="n">
        <v>3.3</v>
      </c>
      <c r="G21" s="61" t="n">
        <v>4.3</v>
      </c>
      <c r="H21" s="61" t="n">
        <v>5.2</v>
      </c>
      <c r="I21" s="61" t="n">
        <v>3.9</v>
      </c>
      <c r="J21" s="61" t="n">
        <v>4.8</v>
      </c>
      <c r="K21" s="61" t="n">
        <v>4.5</v>
      </c>
      <c r="L21" s="61" t="n">
        <v>4.2</v>
      </c>
      <c r="M21" s="61" t="n">
        <v>4.7</v>
      </c>
      <c r="N21" s="61" t="n">
        <v>1.3</v>
      </c>
      <c r="O21" s="61" t="n">
        <v>1.7</v>
      </c>
      <c r="P21" s="61" t="n">
        <v>1</v>
      </c>
      <c r="Q21" s="61" t="n">
        <v>1.9</v>
      </c>
      <c r="R21" s="61" t="n">
        <v>1.5</v>
      </c>
      <c r="S21" s="61" t="n">
        <v>1.7</v>
      </c>
      <c r="T21" s="61" t="n">
        <v>1.7</v>
      </c>
      <c r="U21" s="61" t="n">
        <v>1.7</v>
      </c>
      <c r="V21" s="61" t="n">
        <v>1.4</v>
      </c>
      <c r="W21" s="61" t="n">
        <v>1.1</v>
      </c>
      <c r="X21" s="61" t="n">
        <v>16.6</v>
      </c>
      <c r="Y21" s="61" t="n">
        <v>13.3</v>
      </c>
      <c r="Z21" s="61" t="n">
        <v>13.1</v>
      </c>
      <c r="AA21" s="61" t="n">
        <v>18.5</v>
      </c>
      <c r="AB21" s="61" t="n">
        <v>17.2</v>
      </c>
      <c r="AC21" s="56" t="n">
        <f aca="false">((D21+E21+F21+G21+H21+I21+J21+K21+L21+M21)/2)+(N21+O21+P21+Q21+R21)+(S21+T21+U21+V21+W21)</f>
        <v>37.3</v>
      </c>
      <c r="AD21" s="57" t="n">
        <f aca="false">(X21+Y21+Z21+AA21+AB21)*50/100</f>
        <v>39.35</v>
      </c>
      <c r="AE21" s="58" t="n">
        <f aca="false">AC21+AD21</f>
        <v>76.65</v>
      </c>
    </row>
    <row r="22" customFormat="false" ht="18" hidden="false" customHeight="true" outlineLevel="0" collapsed="false">
      <c r="A22" s="53" t="n">
        <v>15</v>
      </c>
      <c r="B22" s="53" t="s">
        <v>78</v>
      </c>
      <c r="C22" s="54" t="s">
        <v>79</v>
      </c>
      <c r="D22" s="55" t="n">
        <v>3.9</v>
      </c>
      <c r="E22" s="55" t="n">
        <v>3.9</v>
      </c>
      <c r="F22" s="55" t="n">
        <v>4.2</v>
      </c>
      <c r="G22" s="55" t="n">
        <v>4.2</v>
      </c>
      <c r="H22" s="55" t="n">
        <v>3.9</v>
      </c>
      <c r="I22" s="55" t="n">
        <v>3.4</v>
      </c>
      <c r="J22" s="55" t="n">
        <v>4.3</v>
      </c>
      <c r="K22" s="55" t="n">
        <v>5.8</v>
      </c>
      <c r="L22" s="55" t="n">
        <v>5</v>
      </c>
      <c r="M22" s="55" t="n">
        <v>5.7</v>
      </c>
      <c r="N22" s="55" t="n">
        <v>1.6</v>
      </c>
      <c r="O22" s="55" t="n">
        <v>1.3</v>
      </c>
      <c r="P22" s="55" t="n">
        <v>1.5</v>
      </c>
      <c r="Q22" s="55" t="n">
        <v>1</v>
      </c>
      <c r="R22" s="55" t="n">
        <v>1.3</v>
      </c>
      <c r="S22" s="55" t="n">
        <v>1.4</v>
      </c>
      <c r="T22" s="55" t="n">
        <v>1.6</v>
      </c>
      <c r="U22" s="55" t="n">
        <v>1.7</v>
      </c>
      <c r="V22" s="55" t="n">
        <v>1.5</v>
      </c>
      <c r="W22" s="55" t="n">
        <v>1.4</v>
      </c>
      <c r="X22" s="55" t="n">
        <v>12.1</v>
      </c>
      <c r="Y22" s="55" t="n">
        <v>14.7</v>
      </c>
      <c r="Z22" s="55" t="n">
        <v>19</v>
      </c>
      <c r="AA22" s="55" t="n">
        <v>18</v>
      </c>
      <c r="AB22" s="55" t="n">
        <v>11.7</v>
      </c>
      <c r="AC22" s="56" t="n">
        <f aca="false">((D22+E22+F22+G22+H22+I22+J22+K22+L22+M22)/2)+(N22+O22+P22+Q22+R22)+(S22+T22+U22+V22+W22)</f>
        <v>36.45</v>
      </c>
      <c r="AD22" s="57" t="n">
        <f aca="false">(X22+Y22+Z22+AA22+AB22)*50/100</f>
        <v>37.75</v>
      </c>
      <c r="AE22" s="58" t="n">
        <f aca="false">AC22+AD22</f>
        <v>74.2</v>
      </c>
    </row>
    <row r="23" customFormat="false" ht="18" hidden="false" customHeight="true" outlineLevel="0" collapsed="false">
      <c r="A23" s="59" t="n">
        <v>16</v>
      </c>
      <c r="B23" s="59" t="s">
        <v>80</v>
      </c>
      <c r="C23" s="60" t="s">
        <v>81</v>
      </c>
      <c r="D23" s="61" t="n">
        <v>3.3</v>
      </c>
      <c r="E23" s="61" t="n">
        <v>4.5</v>
      </c>
      <c r="F23" s="61" t="n">
        <v>4.9</v>
      </c>
      <c r="G23" s="61" t="n">
        <v>4</v>
      </c>
      <c r="H23" s="61" t="n">
        <v>5.5</v>
      </c>
      <c r="I23" s="61" t="n">
        <v>5.3</v>
      </c>
      <c r="J23" s="61" t="n">
        <v>5</v>
      </c>
      <c r="K23" s="61" t="n">
        <v>3.7</v>
      </c>
      <c r="L23" s="61" t="n">
        <v>3.6</v>
      </c>
      <c r="M23" s="61" t="n">
        <v>3.1</v>
      </c>
      <c r="N23" s="61" t="n">
        <v>1.2</v>
      </c>
      <c r="O23" s="61" t="n">
        <v>1.5</v>
      </c>
      <c r="P23" s="61" t="n">
        <v>1.8</v>
      </c>
      <c r="Q23" s="61" t="n">
        <v>1.1</v>
      </c>
      <c r="R23" s="61" t="n">
        <v>1.4</v>
      </c>
      <c r="S23" s="61" t="n">
        <v>1.6</v>
      </c>
      <c r="T23" s="61" t="n">
        <v>1.2</v>
      </c>
      <c r="U23" s="61" t="n">
        <v>1.7</v>
      </c>
      <c r="V23" s="61" t="n">
        <v>1.5</v>
      </c>
      <c r="W23" s="61" t="n">
        <v>1.2</v>
      </c>
      <c r="X23" s="61" t="n">
        <v>16.6</v>
      </c>
      <c r="Y23" s="61" t="n">
        <v>10.1</v>
      </c>
      <c r="Z23" s="61" t="n">
        <v>17.5</v>
      </c>
      <c r="AA23" s="61" t="n">
        <v>17.7</v>
      </c>
      <c r="AB23" s="61" t="n">
        <v>11.1</v>
      </c>
      <c r="AC23" s="56" t="n">
        <f aca="false">((D23+E23+F23+G23+H23+I23+J23+K23+L23+M23)/2)+(N23+O23+P23+Q23+R23)+(S23+T23+U23+V23+W23)</f>
        <v>35.65</v>
      </c>
      <c r="AD23" s="57" t="n">
        <f aca="false">(X23+Y23+Z23+AA23+AB23)*50/100</f>
        <v>36.5</v>
      </c>
      <c r="AE23" s="58" t="n">
        <f aca="false">AC23+AD23</f>
        <v>72.15</v>
      </c>
    </row>
    <row r="24" customFormat="false" ht="18" hidden="false" customHeight="true" outlineLevel="0" collapsed="false">
      <c r="A24" s="53" t="n">
        <v>17</v>
      </c>
      <c r="B24" s="53" t="s">
        <v>82</v>
      </c>
      <c r="C24" s="54" t="s">
        <v>83</v>
      </c>
      <c r="D24" s="55" t="n">
        <v>4.3</v>
      </c>
      <c r="E24" s="55" t="n">
        <v>3.5</v>
      </c>
      <c r="F24" s="55" t="n">
        <v>5.9</v>
      </c>
      <c r="G24" s="55" t="n">
        <v>4.6</v>
      </c>
      <c r="H24" s="55" t="n">
        <v>3.2</v>
      </c>
      <c r="I24" s="55" t="n">
        <v>3.7</v>
      </c>
      <c r="J24" s="55" t="n">
        <v>5.5</v>
      </c>
      <c r="K24" s="55" t="n">
        <v>4.4</v>
      </c>
      <c r="L24" s="55" t="n">
        <v>5.4</v>
      </c>
      <c r="M24" s="55" t="n">
        <v>5</v>
      </c>
      <c r="N24" s="55" t="n">
        <v>2</v>
      </c>
      <c r="O24" s="55" t="n">
        <v>1.6</v>
      </c>
      <c r="P24" s="55" t="n">
        <v>2</v>
      </c>
      <c r="Q24" s="55" t="n">
        <v>1.9</v>
      </c>
      <c r="R24" s="55" t="n">
        <v>1.6</v>
      </c>
      <c r="S24" s="55" t="n">
        <v>1.7</v>
      </c>
      <c r="T24" s="55" t="n">
        <v>1.5</v>
      </c>
      <c r="U24" s="55" t="n">
        <v>1.8</v>
      </c>
      <c r="V24" s="55" t="n">
        <v>1.5</v>
      </c>
      <c r="W24" s="55" t="n">
        <v>1.9</v>
      </c>
      <c r="X24" s="55" t="n">
        <v>17.4</v>
      </c>
      <c r="Y24" s="55" t="n">
        <v>14.7</v>
      </c>
      <c r="Z24" s="55" t="n">
        <v>12.6</v>
      </c>
      <c r="AA24" s="55" t="n">
        <v>12.5</v>
      </c>
      <c r="AB24" s="55" t="n">
        <v>16.4</v>
      </c>
      <c r="AC24" s="56" t="n">
        <f aca="false">((D24+E24+F24+G24+H24+I24+J24+K24+L24+M24)/2)+(N24+O24+P24+Q24+R24)+(S24+T24+U24+V24+W24)</f>
        <v>40.25</v>
      </c>
      <c r="AD24" s="57" t="n">
        <f aca="false">(X24+Y24+Z24+AA24+AB24)*50/100</f>
        <v>36.8</v>
      </c>
      <c r="AE24" s="58" t="n">
        <f aca="false">AC24+AD24</f>
        <v>77.05</v>
      </c>
    </row>
    <row r="25" customFormat="false" ht="18" hidden="false" customHeight="true" outlineLevel="0" collapsed="false">
      <c r="A25" s="59" t="n">
        <v>18</v>
      </c>
      <c r="B25" s="59" t="s">
        <v>84</v>
      </c>
      <c r="C25" s="60" t="s">
        <v>85</v>
      </c>
      <c r="D25" s="61" t="n">
        <v>5.3</v>
      </c>
      <c r="E25" s="61" t="n">
        <v>4.6</v>
      </c>
      <c r="F25" s="61" t="n">
        <v>4.9</v>
      </c>
      <c r="G25" s="61" t="n">
        <v>3.8</v>
      </c>
      <c r="H25" s="61" t="n">
        <v>3.2</v>
      </c>
      <c r="I25" s="61" t="n">
        <v>3.9</v>
      </c>
      <c r="J25" s="61" t="n">
        <v>3.8</v>
      </c>
      <c r="K25" s="61" t="n">
        <v>4</v>
      </c>
      <c r="L25" s="61" t="n">
        <v>4.6</v>
      </c>
      <c r="M25" s="61" t="n">
        <v>3.4</v>
      </c>
      <c r="N25" s="61" t="n">
        <v>1.2</v>
      </c>
      <c r="O25" s="61" t="n">
        <v>1.7</v>
      </c>
      <c r="P25" s="61" t="n">
        <v>1.7</v>
      </c>
      <c r="Q25" s="61" t="n">
        <v>1.1</v>
      </c>
      <c r="R25" s="61" t="n">
        <v>1.4</v>
      </c>
      <c r="S25" s="61" t="n">
        <v>1.5</v>
      </c>
      <c r="T25" s="61" t="n">
        <v>1.4</v>
      </c>
      <c r="U25" s="61" t="n">
        <v>1.2</v>
      </c>
      <c r="V25" s="61" t="n">
        <v>1.4</v>
      </c>
      <c r="W25" s="61" t="n">
        <v>1.9</v>
      </c>
      <c r="X25" s="61" t="n">
        <v>15.8</v>
      </c>
      <c r="Y25" s="61" t="n">
        <v>17</v>
      </c>
      <c r="Z25" s="61" t="n">
        <v>18.6</v>
      </c>
      <c r="AA25" s="61" t="n">
        <v>17.7</v>
      </c>
      <c r="AB25" s="61" t="n">
        <v>13.8</v>
      </c>
      <c r="AC25" s="56" t="n">
        <f aca="false">((D25+E25+F25+G25+H25+I25+J25+K25+L25+M25)/2)+(N25+O25+P25+Q25+R25)+(S25+T25+U25+V25+W25)</f>
        <v>35.25</v>
      </c>
      <c r="AD25" s="57" t="n">
        <f aca="false">(X25+Y25+Z25+AA25+AB25)*50/100</f>
        <v>41.45</v>
      </c>
      <c r="AE25" s="58" t="n">
        <f aca="false">AC25+AD25</f>
        <v>76.7</v>
      </c>
    </row>
    <row r="26" customFormat="false" ht="18" hidden="false" customHeight="true" outlineLevel="0" collapsed="false">
      <c r="A26" s="53" t="n">
        <v>19</v>
      </c>
      <c r="B26" s="53" t="s">
        <v>86</v>
      </c>
      <c r="C26" s="54" t="s">
        <v>87</v>
      </c>
      <c r="D26" s="55" t="n">
        <v>3</v>
      </c>
      <c r="E26" s="55" t="n">
        <v>4.1</v>
      </c>
      <c r="F26" s="55" t="n">
        <v>5.3</v>
      </c>
      <c r="G26" s="55" t="n">
        <v>5.6</v>
      </c>
      <c r="H26" s="55" t="n">
        <v>5.9</v>
      </c>
      <c r="I26" s="55" t="n">
        <v>4.3</v>
      </c>
      <c r="J26" s="55" t="n">
        <v>5.2</v>
      </c>
      <c r="K26" s="55" t="n">
        <v>4.6</v>
      </c>
      <c r="L26" s="55" t="n">
        <v>4.8</v>
      </c>
      <c r="M26" s="55" t="n">
        <v>3.7</v>
      </c>
      <c r="N26" s="55" t="n">
        <v>1.2</v>
      </c>
      <c r="O26" s="55" t="n">
        <v>1.4</v>
      </c>
      <c r="P26" s="55" t="n">
        <v>1</v>
      </c>
      <c r="Q26" s="55" t="n">
        <v>1.3</v>
      </c>
      <c r="R26" s="55" t="n">
        <v>1.7</v>
      </c>
      <c r="S26" s="55" t="n">
        <v>1.4</v>
      </c>
      <c r="T26" s="55" t="n">
        <v>1.2</v>
      </c>
      <c r="U26" s="55" t="n">
        <v>1.5</v>
      </c>
      <c r="V26" s="55" t="n">
        <v>1.1</v>
      </c>
      <c r="W26" s="55" t="n">
        <v>1.6</v>
      </c>
      <c r="X26" s="55" t="n">
        <v>10.3</v>
      </c>
      <c r="Y26" s="55" t="n">
        <v>13.9</v>
      </c>
      <c r="Z26" s="55" t="n">
        <v>15.6</v>
      </c>
      <c r="AA26" s="55" t="n">
        <v>10.3</v>
      </c>
      <c r="AB26" s="55" t="n">
        <v>16.4</v>
      </c>
      <c r="AC26" s="56" t="n">
        <f aca="false">((D26+E26+F26+G26+H26+I26+J26+K26+L26+M26)/2)+(N26+O26+P26+Q26+R26)+(S26+T26+U26+V26+W26)</f>
        <v>36.65</v>
      </c>
      <c r="AD26" s="57" t="n">
        <f aca="false">(X26+Y26+Z26+AA26+AB26)*50/100</f>
        <v>33.25</v>
      </c>
      <c r="AE26" s="58" t="n">
        <f aca="false">AC26+AD26</f>
        <v>69.9</v>
      </c>
    </row>
    <row r="27" customFormat="false" ht="18" hidden="false" customHeight="true" outlineLevel="0" collapsed="false">
      <c r="A27" s="59" t="n">
        <v>20</v>
      </c>
      <c r="B27" s="59" t="s">
        <v>88</v>
      </c>
      <c r="C27" s="60" t="s">
        <v>89</v>
      </c>
      <c r="D27" s="61" t="n">
        <v>3.4</v>
      </c>
      <c r="E27" s="61" t="n">
        <v>4.4</v>
      </c>
      <c r="F27" s="61" t="n">
        <v>3.2</v>
      </c>
      <c r="G27" s="61" t="n">
        <v>4.1</v>
      </c>
      <c r="H27" s="61" t="n">
        <v>3.6</v>
      </c>
      <c r="I27" s="61" t="n">
        <v>4</v>
      </c>
      <c r="J27" s="61" t="n">
        <v>5.3</v>
      </c>
      <c r="K27" s="61" t="n">
        <v>4.1</v>
      </c>
      <c r="L27" s="61" t="n">
        <v>5.3</v>
      </c>
      <c r="M27" s="61" t="n">
        <v>5.5</v>
      </c>
      <c r="N27" s="61" t="n">
        <v>1.3</v>
      </c>
      <c r="O27" s="61" t="n">
        <v>1.1</v>
      </c>
      <c r="P27" s="61" t="n">
        <v>1</v>
      </c>
      <c r="Q27" s="61" t="n">
        <v>1.5</v>
      </c>
      <c r="R27" s="61" t="n">
        <v>2</v>
      </c>
      <c r="S27" s="61" t="n">
        <v>1.3</v>
      </c>
      <c r="T27" s="61" t="n">
        <v>1.7</v>
      </c>
      <c r="U27" s="61" t="n">
        <v>1.8</v>
      </c>
      <c r="V27" s="61" t="n">
        <v>1.7</v>
      </c>
      <c r="W27" s="61" t="n">
        <v>1.8</v>
      </c>
      <c r="X27" s="61" t="n">
        <v>19.5</v>
      </c>
      <c r="Y27" s="61" t="n">
        <v>12</v>
      </c>
      <c r="Z27" s="61" t="n">
        <v>10.2</v>
      </c>
      <c r="AA27" s="61" t="n">
        <v>11.5</v>
      </c>
      <c r="AB27" s="61" t="n">
        <v>11.3</v>
      </c>
      <c r="AC27" s="56" t="n">
        <f aca="false">((D27+E27+F27+G27+H27+I27+J27+K27+L27+M27)/2)+(N27+O27+P27+Q27+R27)+(S27+T27+U27+V27+W27)</f>
        <v>36.65</v>
      </c>
      <c r="AD27" s="57" t="n">
        <f aca="false">(X27+Y27+Z27+AA27+AB27)*50/100</f>
        <v>32.25</v>
      </c>
      <c r="AE27" s="58" t="n">
        <f aca="false">AC27+AD27</f>
        <v>68.9</v>
      </c>
    </row>
    <row r="29" customFormat="false" ht="21.75" hidden="false" customHeight="true" outlineLevel="0" collapsed="false">
      <c r="A29" s="62" t="s">
        <v>90</v>
      </c>
      <c r="B29" s="62"/>
      <c r="C29" s="62"/>
    </row>
    <row r="30" customFormat="false" ht="18" hidden="false" customHeight="true" outlineLevel="0" collapsed="false">
      <c r="A30" s="63" t="s">
        <v>91</v>
      </c>
      <c r="B30" s="63"/>
      <c r="C30" s="63"/>
      <c r="D30" s="64" t="n">
        <f aca="false">AVERAGE(D8:D27)</f>
        <v>3.97</v>
      </c>
      <c r="E30" s="64" t="n">
        <f aca="false">AVERAGE(E8:E27)</f>
        <v>4.585</v>
      </c>
      <c r="F30" s="64" t="n">
        <f aca="false">AVERAGE(F8:F27)</f>
        <v>4.47</v>
      </c>
      <c r="G30" s="64" t="n">
        <f aca="false">AVERAGE(G8:G27)</f>
        <v>4.565</v>
      </c>
      <c r="H30" s="64" t="n">
        <f aca="false">AVERAGE(H8:H27)</f>
        <v>4.6</v>
      </c>
    </row>
    <row r="31" customFormat="false" ht="18" hidden="false" customHeight="true" outlineLevel="0" collapsed="false">
      <c r="A31" s="65" t="s">
        <v>92</v>
      </c>
      <c r="B31" s="65"/>
      <c r="C31" s="65"/>
      <c r="I31" s="64" t="n">
        <f aca="false">AVERAGE(I8:I27)</f>
        <v>4.595</v>
      </c>
      <c r="J31" s="64" t="n">
        <f aca="false">AVERAGE(J8:J27)</f>
        <v>4.49</v>
      </c>
      <c r="K31" s="64" t="n">
        <f aca="false">AVERAGE(K8:K27)</f>
        <v>4.39</v>
      </c>
      <c r="L31" s="64" t="n">
        <f aca="false">AVERAGE(L8:L27)</f>
        <v>4.725</v>
      </c>
      <c r="M31" s="64" t="n">
        <f aca="false">AVERAGE(M8:M27)</f>
        <v>4.59</v>
      </c>
    </row>
    <row r="32" customFormat="false" ht="18" hidden="false" customHeight="true" outlineLevel="0" collapsed="false">
      <c r="A32" s="66" t="s">
        <v>93</v>
      </c>
      <c r="B32" s="66"/>
      <c r="C32" s="66"/>
      <c r="N32" s="64" t="n">
        <f aca="false">AVERAGE(N8:N27)</f>
        <v>1.405</v>
      </c>
      <c r="O32" s="64" t="n">
        <f aca="false">AVERAGE(O8:O27)</f>
        <v>1.475</v>
      </c>
      <c r="P32" s="64" t="n">
        <f aca="false">AVERAGE(P8:P27)</f>
        <v>1.455</v>
      </c>
      <c r="Q32" s="64" t="n">
        <f aca="false">AVERAGE(Q8:Q27)</f>
        <v>1.34</v>
      </c>
      <c r="R32" s="64" t="n">
        <f aca="false">AVERAGE(R8:R27)</f>
        <v>1.62</v>
      </c>
    </row>
    <row r="33" customFormat="false" ht="18" hidden="false" customHeight="true" outlineLevel="0" collapsed="false">
      <c r="A33" s="67" t="s">
        <v>94</v>
      </c>
      <c r="B33" s="67"/>
      <c r="C33" s="67"/>
      <c r="S33" s="64" t="n">
        <f aca="false">AVERAGE(S8:S27)</f>
        <v>1.565</v>
      </c>
      <c r="T33" s="64" t="n">
        <f aca="false">AVERAGE(T8:T27)</f>
        <v>1.49</v>
      </c>
      <c r="U33" s="64" t="n">
        <f aca="false">AVERAGE(U8:U27)</f>
        <v>1.635</v>
      </c>
      <c r="V33" s="64" t="n">
        <f aca="false">AVERAGE(V8:V27)</f>
        <v>1.44</v>
      </c>
      <c r="W33" s="64" t="n">
        <f aca="false">AVERAGE(W8:W27)</f>
        <v>1.54</v>
      </c>
    </row>
    <row r="34" customFormat="false" ht="18" hidden="false" customHeight="true" outlineLevel="0" collapsed="false">
      <c r="A34" s="68" t="s">
        <v>95</v>
      </c>
      <c r="B34" s="68"/>
      <c r="C34" s="68"/>
      <c r="X34" s="64" t="n">
        <f aca="false">AVERAGE(X8:X27)</f>
        <v>15.075</v>
      </c>
      <c r="Y34" s="64" t="n">
        <f aca="false">AVERAGE(Y8:Y27)</f>
        <v>15.4</v>
      </c>
      <c r="Z34" s="64" t="n">
        <f aca="false">AVERAGE(Z8:Z27)</f>
        <v>14.89</v>
      </c>
      <c r="AA34" s="64" t="n">
        <f aca="false">AVERAGE(AA8:AA27)</f>
        <v>15.62</v>
      </c>
      <c r="AB34" s="64" t="n">
        <f aca="false">AVERAGE(AB8:AB27)</f>
        <v>14.495</v>
      </c>
    </row>
    <row r="35" customFormat="false" ht="21.75" hidden="false" customHeight="true" outlineLevel="0" collapsed="false">
      <c r="A35" s="62" t="s">
        <v>96</v>
      </c>
      <c r="B35" s="62"/>
      <c r="C35" s="62"/>
      <c r="D35" s="69" t="n">
        <f aca="false">(D30+I31+N32+S33+X34)/36</f>
        <v>0.739166666666667</v>
      </c>
      <c r="E35" s="69" t="n">
        <f aca="false">(E30+J31+O32+T33+Y34)/36</f>
        <v>0.762222222222222</v>
      </c>
      <c r="F35" s="69" t="n">
        <f aca="false">(F30+K31+P32+U33+Z34)/36</f>
        <v>0.745555555555556</v>
      </c>
      <c r="G35" s="69" t="n">
        <f aca="false">(G30+L31+Q32+V33+AA34)/36</f>
        <v>0.769166666666667</v>
      </c>
      <c r="H35" s="69" t="n">
        <f aca="false">(H30+M31+R32+W33+AB34)/36</f>
        <v>0.745694444444444</v>
      </c>
    </row>
    <row r="36" customFormat="false" ht="21.75" hidden="false" customHeight="true" outlineLevel="0" collapsed="false">
      <c r="A36" s="46" t="s">
        <v>97</v>
      </c>
      <c r="B36" s="46"/>
      <c r="C36" s="46"/>
      <c r="D36" s="70" t="n">
        <f aca="false">IF(D35&gt;=0.6,3,IF(D35&gt;=0.4,2,1))</f>
        <v>3</v>
      </c>
      <c r="E36" s="70" t="n">
        <f aca="false">IF(E35&gt;=0.6,3,IF(E35&gt;=0.4,2,1))</f>
        <v>3</v>
      </c>
      <c r="F36" s="70" t="n">
        <f aca="false">IF(F35&gt;=0.6,3,IF(F35&gt;=0.4,2,1))</f>
        <v>3</v>
      </c>
      <c r="G36" s="70" t="n">
        <f aca="false">IF(G35&gt;=0.6,3,IF(G35&gt;=0.4,2,1))</f>
        <v>3</v>
      </c>
      <c r="H36" s="70" t="n">
        <f aca="false">IF(H35&gt;=0.6,3,IF(H35&gt;=0.4,2,1))</f>
        <v>3</v>
      </c>
    </row>
  </sheetData>
  <mergeCells count="27">
    <mergeCell ref="A1:AG1"/>
    <mergeCell ref="A2:AG2"/>
    <mergeCell ref="A4:A5"/>
    <mergeCell ref="B4:F4"/>
    <mergeCell ref="G4:K4"/>
    <mergeCell ref="L4:P4"/>
    <mergeCell ref="Q4:U4"/>
    <mergeCell ref="V4:Z4"/>
    <mergeCell ref="AA4:AA5"/>
    <mergeCell ref="AB4:AB5"/>
    <mergeCell ref="AC4:AC5"/>
    <mergeCell ref="A6:A7"/>
    <mergeCell ref="B6:B7"/>
    <mergeCell ref="C6:C7"/>
    <mergeCell ref="D6:H6"/>
    <mergeCell ref="I6:M6"/>
    <mergeCell ref="N6:R6"/>
    <mergeCell ref="S6:W6"/>
    <mergeCell ref="X6:AB6"/>
    <mergeCell ref="A29:C29"/>
    <mergeCell ref="A30:C30"/>
    <mergeCell ref="A31:C31"/>
    <mergeCell ref="A32:C32"/>
    <mergeCell ref="A33:C33"/>
    <mergeCell ref="A34:C34"/>
    <mergeCell ref="A35:C35"/>
    <mergeCell ref="A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31" min="4" style="0" width="9"/>
  </cols>
  <sheetData>
    <row r="1" customFormat="false" ht="34.5" hidden="false" customHeight="true" outlineLevel="0" collapsed="false">
      <c r="A1" s="30" t="s">
        <v>98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 customFormat="false" ht="18" hidden="false" customHeight="true" outlineLevel="0" collapsed="false">
      <c r="A2" s="31" t="s">
        <v>34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</row>
    <row r="4" customFormat="false" ht="24.75" hidden="false" customHeight="true" outlineLevel="0" collapsed="false">
      <c r="A4" s="32" t="s">
        <v>35</v>
      </c>
      <c r="B4" s="33" t="s">
        <v>36</v>
      </c>
      <c r="C4" s="33"/>
      <c r="D4" s="33"/>
      <c r="E4" s="33"/>
      <c r="F4" s="33"/>
      <c r="G4" s="34" t="s">
        <v>37</v>
      </c>
      <c r="H4" s="34"/>
      <c r="I4" s="34"/>
      <c r="J4" s="34"/>
      <c r="K4" s="34"/>
      <c r="L4" s="35" t="s">
        <v>38</v>
      </c>
      <c r="M4" s="35"/>
      <c r="N4" s="35"/>
      <c r="O4" s="35"/>
      <c r="P4" s="35"/>
      <c r="Q4" s="36" t="s">
        <v>39</v>
      </c>
      <c r="R4" s="36"/>
      <c r="S4" s="36"/>
      <c r="T4" s="36"/>
      <c r="U4" s="36"/>
      <c r="V4" s="37" t="s">
        <v>40</v>
      </c>
      <c r="W4" s="37"/>
      <c r="X4" s="37"/>
      <c r="Y4" s="37"/>
      <c r="Z4" s="37"/>
      <c r="AA4" s="38" t="s">
        <v>41</v>
      </c>
      <c r="AB4" s="39" t="s">
        <v>42</v>
      </c>
      <c r="AC4" s="40" t="s">
        <v>43</v>
      </c>
    </row>
    <row r="5" customFormat="false" ht="19.5" hidden="false" customHeight="true" outlineLevel="0" collapsed="false">
      <c r="A5" s="32"/>
      <c r="B5" s="41" t="n">
        <v>6</v>
      </c>
      <c r="C5" s="41" t="n">
        <v>6</v>
      </c>
      <c r="D5" s="41" t="n">
        <v>6</v>
      </c>
      <c r="E5" s="41" t="n">
        <v>6</v>
      </c>
      <c r="F5" s="41" t="n">
        <v>6</v>
      </c>
      <c r="G5" s="42" t="n">
        <v>6</v>
      </c>
      <c r="H5" s="42" t="n">
        <v>6</v>
      </c>
      <c r="I5" s="42" t="n">
        <v>6</v>
      </c>
      <c r="J5" s="42" t="n">
        <v>6</v>
      </c>
      <c r="K5" s="42" t="n">
        <v>6</v>
      </c>
      <c r="L5" s="4" t="n">
        <v>2</v>
      </c>
      <c r="M5" s="4" t="n">
        <v>2</v>
      </c>
      <c r="N5" s="4" t="n">
        <v>2</v>
      </c>
      <c r="O5" s="4" t="n">
        <v>2</v>
      </c>
      <c r="P5" s="4" t="n">
        <v>2</v>
      </c>
      <c r="Q5" s="6" t="n">
        <v>2</v>
      </c>
      <c r="R5" s="6" t="n">
        <v>2</v>
      </c>
      <c r="S5" s="6" t="n">
        <v>2</v>
      </c>
      <c r="T5" s="6" t="n">
        <v>2</v>
      </c>
      <c r="U5" s="6" t="n">
        <v>2</v>
      </c>
      <c r="V5" s="43" t="n">
        <v>20</v>
      </c>
      <c r="W5" s="43" t="n">
        <v>20</v>
      </c>
      <c r="X5" s="43" t="n">
        <v>20</v>
      </c>
      <c r="Y5" s="43" t="n">
        <v>20</v>
      </c>
      <c r="Z5" s="43" t="n">
        <v>20</v>
      </c>
      <c r="AA5" s="38"/>
      <c r="AB5" s="38"/>
      <c r="AC5" s="38"/>
    </row>
    <row r="6" customFormat="false" ht="21.75" hidden="false" customHeight="true" outlineLevel="0" collapsed="false">
      <c r="A6" s="44" t="s">
        <v>44</v>
      </c>
      <c r="B6" s="44" t="s">
        <v>45</v>
      </c>
      <c r="C6" s="44" t="s">
        <v>46</v>
      </c>
      <c r="D6" s="45" t="s">
        <v>47</v>
      </c>
      <c r="E6" s="45"/>
      <c r="F6" s="45"/>
      <c r="G6" s="45"/>
      <c r="H6" s="45"/>
      <c r="I6" s="46" t="s">
        <v>48</v>
      </c>
      <c r="J6" s="46"/>
      <c r="K6" s="46"/>
      <c r="L6" s="46"/>
      <c r="M6" s="46"/>
      <c r="N6" s="47" t="s">
        <v>38</v>
      </c>
      <c r="O6" s="47"/>
      <c r="P6" s="47"/>
      <c r="Q6" s="47"/>
      <c r="R6" s="47"/>
      <c r="S6" s="48" t="s">
        <v>39</v>
      </c>
      <c r="T6" s="48"/>
      <c r="U6" s="48"/>
      <c r="V6" s="48"/>
      <c r="W6" s="48"/>
      <c r="X6" s="49" t="s">
        <v>49</v>
      </c>
      <c r="Y6" s="49"/>
      <c r="Z6" s="49"/>
      <c r="AA6" s="49"/>
      <c r="AB6" s="49"/>
    </row>
    <row r="7" customFormat="false" ht="21.75" hidden="false" customHeight="true" outlineLevel="0" collapsed="false">
      <c r="A7" s="44"/>
      <c r="B7" s="44"/>
      <c r="C7" s="44"/>
      <c r="D7" s="50" t="s">
        <v>9</v>
      </c>
      <c r="E7" s="50" t="s">
        <v>10</v>
      </c>
      <c r="F7" s="50" t="s">
        <v>11</v>
      </c>
      <c r="G7" s="50" t="s">
        <v>12</v>
      </c>
      <c r="H7" s="50" t="s">
        <v>13</v>
      </c>
      <c r="I7" s="50" t="s">
        <v>9</v>
      </c>
      <c r="J7" s="50" t="s">
        <v>10</v>
      </c>
      <c r="K7" s="50" t="s">
        <v>11</v>
      </c>
      <c r="L7" s="50" t="s">
        <v>12</v>
      </c>
      <c r="M7" s="50" t="s">
        <v>13</v>
      </c>
      <c r="N7" s="50" t="s">
        <v>9</v>
      </c>
      <c r="O7" s="50" t="s">
        <v>10</v>
      </c>
      <c r="P7" s="50" t="s">
        <v>11</v>
      </c>
      <c r="Q7" s="50" t="s">
        <v>12</v>
      </c>
      <c r="R7" s="50" t="s">
        <v>13</v>
      </c>
      <c r="S7" s="50" t="s">
        <v>9</v>
      </c>
      <c r="T7" s="50" t="s">
        <v>10</v>
      </c>
      <c r="U7" s="50" t="s">
        <v>11</v>
      </c>
      <c r="V7" s="50" t="s">
        <v>12</v>
      </c>
      <c r="W7" s="50" t="s">
        <v>13</v>
      </c>
      <c r="X7" s="50" t="s">
        <v>9</v>
      </c>
      <c r="Y7" s="50" t="s">
        <v>10</v>
      </c>
      <c r="Z7" s="50" t="s">
        <v>11</v>
      </c>
      <c r="AA7" s="50" t="s">
        <v>12</v>
      </c>
      <c r="AB7" s="50" t="s">
        <v>13</v>
      </c>
      <c r="AC7" s="51" t="s">
        <v>41</v>
      </c>
      <c r="AD7" s="52" t="s">
        <v>42</v>
      </c>
      <c r="AE7" s="7" t="s">
        <v>43</v>
      </c>
    </row>
    <row r="8" customFormat="false" ht="18" hidden="false" customHeight="true" outlineLevel="0" collapsed="false">
      <c r="A8" s="53" t="n">
        <v>1</v>
      </c>
      <c r="B8" s="53" t="s">
        <v>50</v>
      </c>
      <c r="C8" s="54" t="s">
        <v>51</v>
      </c>
      <c r="D8" s="55" t="n">
        <v>5</v>
      </c>
      <c r="E8" s="55" t="n">
        <v>4.7</v>
      </c>
      <c r="F8" s="55" t="n">
        <v>3.7</v>
      </c>
      <c r="G8" s="55" t="n">
        <v>5.1</v>
      </c>
      <c r="H8" s="55" t="n">
        <v>5.3</v>
      </c>
      <c r="I8" s="55" t="n">
        <v>3.5</v>
      </c>
      <c r="J8" s="55" t="n">
        <v>4.8</v>
      </c>
      <c r="K8" s="55" t="n">
        <v>5.2</v>
      </c>
      <c r="L8" s="55" t="n">
        <v>3.3</v>
      </c>
      <c r="M8" s="55" t="n">
        <v>5.5</v>
      </c>
      <c r="N8" s="55" t="n">
        <v>2</v>
      </c>
      <c r="O8" s="55" t="n">
        <v>1.1</v>
      </c>
      <c r="P8" s="55" t="n">
        <v>1</v>
      </c>
      <c r="Q8" s="55" t="n">
        <v>1.3</v>
      </c>
      <c r="R8" s="55" t="n">
        <v>1.7</v>
      </c>
      <c r="S8" s="55" t="n">
        <v>2</v>
      </c>
      <c r="T8" s="55" t="n">
        <v>1.4</v>
      </c>
      <c r="U8" s="55" t="n">
        <v>1.7</v>
      </c>
      <c r="V8" s="55" t="n">
        <v>1.1</v>
      </c>
      <c r="W8" s="55" t="n">
        <v>1.7</v>
      </c>
      <c r="X8" s="55" t="n">
        <v>16.3</v>
      </c>
      <c r="Y8" s="55" t="n">
        <v>11</v>
      </c>
      <c r="Z8" s="55" t="n">
        <v>17.7</v>
      </c>
      <c r="AA8" s="55" t="n">
        <v>18.5</v>
      </c>
      <c r="AB8" s="55" t="n">
        <v>16</v>
      </c>
      <c r="AC8" s="56" t="n">
        <f aca="false">((D8+E8+F8+G8+H8+I8+J8+K8+L8+M8)/2)+(N8+O8+P8+Q8+R8)+(S8+T8+U8+V8+W8)</f>
        <v>38.05</v>
      </c>
      <c r="AD8" s="57" t="n">
        <f aca="false">(X8+Y8+Z8+AA8+AB8)*50/100</f>
        <v>39.75</v>
      </c>
      <c r="AE8" s="58" t="n">
        <f aca="false">AC8+AD8</f>
        <v>77.8</v>
      </c>
    </row>
    <row r="9" customFormat="false" ht="18" hidden="false" customHeight="true" outlineLevel="0" collapsed="false">
      <c r="A9" s="59" t="n">
        <v>2</v>
      </c>
      <c r="B9" s="59" t="s">
        <v>52</v>
      </c>
      <c r="C9" s="60" t="s">
        <v>53</v>
      </c>
      <c r="D9" s="61" t="n">
        <v>3.4</v>
      </c>
      <c r="E9" s="61" t="n">
        <v>6</v>
      </c>
      <c r="F9" s="61" t="n">
        <v>5.3</v>
      </c>
      <c r="G9" s="61" t="n">
        <v>4</v>
      </c>
      <c r="H9" s="61" t="n">
        <v>4.3</v>
      </c>
      <c r="I9" s="61" t="n">
        <v>4.1</v>
      </c>
      <c r="J9" s="61" t="n">
        <v>4.5</v>
      </c>
      <c r="K9" s="61" t="n">
        <v>4</v>
      </c>
      <c r="L9" s="61" t="n">
        <v>5.5</v>
      </c>
      <c r="M9" s="61" t="n">
        <v>5.5</v>
      </c>
      <c r="N9" s="61" t="n">
        <v>1.1</v>
      </c>
      <c r="O9" s="61" t="n">
        <v>2</v>
      </c>
      <c r="P9" s="61" t="n">
        <v>1.6</v>
      </c>
      <c r="Q9" s="61" t="n">
        <v>1.8</v>
      </c>
      <c r="R9" s="61" t="n">
        <v>1.7</v>
      </c>
      <c r="S9" s="61" t="n">
        <v>1.4</v>
      </c>
      <c r="T9" s="61" t="n">
        <v>1.7</v>
      </c>
      <c r="U9" s="61" t="n">
        <v>2</v>
      </c>
      <c r="V9" s="61" t="n">
        <v>1.3</v>
      </c>
      <c r="W9" s="61" t="n">
        <v>1.8</v>
      </c>
      <c r="X9" s="61" t="n">
        <v>15.4</v>
      </c>
      <c r="Y9" s="61" t="n">
        <v>14.8</v>
      </c>
      <c r="Z9" s="61" t="n">
        <v>14.4</v>
      </c>
      <c r="AA9" s="61" t="n">
        <v>17.3</v>
      </c>
      <c r="AB9" s="61" t="n">
        <v>12.7</v>
      </c>
      <c r="AC9" s="56" t="n">
        <f aca="false">((D9+E9+F9+G9+H9+I9+J9+K9+L9+M9)/2)+(N9+O9+P9+Q9+R9)+(S9+T9+U9+V9+W9)</f>
        <v>39.7</v>
      </c>
      <c r="AD9" s="57" t="n">
        <f aca="false">(X9+Y9+Z9+AA9+AB9)*50/100</f>
        <v>37.3</v>
      </c>
      <c r="AE9" s="58" t="n">
        <f aca="false">AC9+AD9</f>
        <v>77</v>
      </c>
    </row>
    <row r="10" customFormat="false" ht="18" hidden="false" customHeight="true" outlineLevel="0" collapsed="false">
      <c r="A10" s="53" t="n">
        <v>3</v>
      </c>
      <c r="B10" s="53" t="s">
        <v>54</v>
      </c>
      <c r="C10" s="54" t="s">
        <v>55</v>
      </c>
      <c r="D10" s="55" t="n">
        <v>5.6</v>
      </c>
      <c r="E10" s="55" t="n">
        <v>5.5</v>
      </c>
      <c r="F10" s="55" t="n">
        <v>3.3</v>
      </c>
      <c r="G10" s="55" t="n">
        <v>5.6</v>
      </c>
      <c r="H10" s="55" t="n">
        <v>3.7</v>
      </c>
      <c r="I10" s="55" t="n">
        <v>4.4</v>
      </c>
      <c r="J10" s="55" t="n">
        <v>4.8</v>
      </c>
      <c r="K10" s="55" t="n">
        <v>4.1</v>
      </c>
      <c r="L10" s="55" t="n">
        <v>3.1</v>
      </c>
      <c r="M10" s="55" t="n">
        <v>5.6</v>
      </c>
      <c r="N10" s="55" t="n">
        <v>1.2</v>
      </c>
      <c r="O10" s="55" t="n">
        <v>1.2</v>
      </c>
      <c r="P10" s="55" t="n">
        <v>1.8</v>
      </c>
      <c r="Q10" s="55" t="n">
        <v>1.3</v>
      </c>
      <c r="R10" s="55" t="n">
        <v>1.9</v>
      </c>
      <c r="S10" s="55" t="n">
        <v>1.7</v>
      </c>
      <c r="T10" s="55" t="n">
        <v>1.3</v>
      </c>
      <c r="U10" s="55" t="n">
        <v>1</v>
      </c>
      <c r="V10" s="55" t="n">
        <v>1.9</v>
      </c>
      <c r="W10" s="55" t="n">
        <v>1.1</v>
      </c>
      <c r="X10" s="55" t="n">
        <v>17.2</v>
      </c>
      <c r="Y10" s="55" t="n">
        <v>14.9</v>
      </c>
      <c r="Z10" s="55" t="n">
        <v>17.6</v>
      </c>
      <c r="AA10" s="55" t="n">
        <v>16.9</v>
      </c>
      <c r="AB10" s="55" t="n">
        <v>16.5</v>
      </c>
      <c r="AC10" s="56" t="n">
        <f aca="false">((D10+E10+F10+G10+H10+I10+J10+K10+L10+M10)/2)+(N10+O10+P10+Q10+R10)+(S10+T10+U10+V10+W10)</f>
        <v>37.25</v>
      </c>
      <c r="AD10" s="57" t="n">
        <f aca="false">(X10+Y10+Z10+AA10+AB10)*50/100</f>
        <v>41.55</v>
      </c>
      <c r="AE10" s="58" t="n">
        <f aca="false">AC10+AD10</f>
        <v>78.8</v>
      </c>
    </row>
    <row r="11" customFormat="false" ht="18" hidden="false" customHeight="true" outlineLevel="0" collapsed="false">
      <c r="A11" s="59" t="n">
        <v>4</v>
      </c>
      <c r="B11" s="59" t="s">
        <v>56</v>
      </c>
      <c r="C11" s="60" t="s">
        <v>57</v>
      </c>
      <c r="D11" s="61" t="n">
        <v>4.5</v>
      </c>
      <c r="E11" s="61" t="n">
        <v>5.4</v>
      </c>
      <c r="F11" s="61" t="n">
        <v>3.3</v>
      </c>
      <c r="G11" s="61" t="n">
        <v>3.7</v>
      </c>
      <c r="H11" s="61" t="n">
        <v>5.1</v>
      </c>
      <c r="I11" s="61" t="n">
        <v>3.9</v>
      </c>
      <c r="J11" s="61" t="n">
        <v>4.7</v>
      </c>
      <c r="K11" s="61" t="n">
        <v>4.4</v>
      </c>
      <c r="L11" s="61" t="n">
        <v>4.6</v>
      </c>
      <c r="M11" s="61" t="n">
        <v>4.3</v>
      </c>
      <c r="N11" s="61" t="n">
        <v>1.7</v>
      </c>
      <c r="O11" s="61" t="n">
        <v>1.3</v>
      </c>
      <c r="P11" s="61" t="n">
        <v>1.7</v>
      </c>
      <c r="Q11" s="61" t="n">
        <v>1.3</v>
      </c>
      <c r="R11" s="61" t="n">
        <v>1.3</v>
      </c>
      <c r="S11" s="61" t="n">
        <v>1.1</v>
      </c>
      <c r="T11" s="61" t="n">
        <v>1.2</v>
      </c>
      <c r="U11" s="61" t="n">
        <v>1.1</v>
      </c>
      <c r="V11" s="61" t="n">
        <v>1.5</v>
      </c>
      <c r="W11" s="61" t="n">
        <v>1.8</v>
      </c>
      <c r="X11" s="61" t="n">
        <v>11.9</v>
      </c>
      <c r="Y11" s="61" t="n">
        <v>12.2</v>
      </c>
      <c r="Z11" s="61" t="n">
        <v>14.8</v>
      </c>
      <c r="AA11" s="61" t="n">
        <v>17.2</v>
      </c>
      <c r="AB11" s="61" t="n">
        <v>19.8</v>
      </c>
      <c r="AC11" s="56" t="n">
        <f aca="false">((D11+E11+F11+G11+H11+I11+J11+K11+L11+M11)/2)+(N11+O11+P11+Q11+R11)+(S11+T11+U11+V11+W11)</f>
        <v>35.95</v>
      </c>
      <c r="AD11" s="57" t="n">
        <f aca="false">(X11+Y11+Z11+AA11+AB11)*50/100</f>
        <v>37.95</v>
      </c>
      <c r="AE11" s="58" t="n">
        <f aca="false">AC11+AD11</f>
        <v>73.9</v>
      </c>
    </row>
    <row r="12" customFormat="false" ht="18" hidden="false" customHeight="true" outlineLevel="0" collapsed="false">
      <c r="A12" s="53" t="n">
        <v>5</v>
      </c>
      <c r="B12" s="53" t="s">
        <v>58</v>
      </c>
      <c r="C12" s="54" t="s">
        <v>59</v>
      </c>
      <c r="D12" s="55" t="n">
        <v>4.6</v>
      </c>
      <c r="E12" s="55" t="n">
        <v>3.8</v>
      </c>
      <c r="F12" s="55" t="n">
        <v>3.3</v>
      </c>
      <c r="G12" s="55" t="n">
        <v>3.6</v>
      </c>
      <c r="H12" s="55" t="n">
        <v>3.7</v>
      </c>
      <c r="I12" s="55" t="n">
        <v>3.5</v>
      </c>
      <c r="J12" s="55" t="n">
        <v>3</v>
      </c>
      <c r="K12" s="55" t="n">
        <v>4.6</v>
      </c>
      <c r="L12" s="55" t="n">
        <v>3.8</v>
      </c>
      <c r="M12" s="55" t="n">
        <v>5.9</v>
      </c>
      <c r="N12" s="55" t="n">
        <v>1.6</v>
      </c>
      <c r="O12" s="55" t="n">
        <v>1.7</v>
      </c>
      <c r="P12" s="55" t="n">
        <v>1.1</v>
      </c>
      <c r="Q12" s="55" t="n">
        <v>1.9</v>
      </c>
      <c r="R12" s="55" t="n">
        <v>1.5</v>
      </c>
      <c r="S12" s="55" t="n">
        <v>1.9</v>
      </c>
      <c r="T12" s="55" t="n">
        <v>1.6</v>
      </c>
      <c r="U12" s="55" t="n">
        <v>1.5</v>
      </c>
      <c r="V12" s="55" t="n">
        <v>1.4</v>
      </c>
      <c r="W12" s="55" t="n">
        <v>1.2</v>
      </c>
      <c r="X12" s="55" t="n">
        <v>10.5</v>
      </c>
      <c r="Y12" s="55" t="n">
        <v>19.4</v>
      </c>
      <c r="Z12" s="55" t="n">
        <v>14.8</v>
      </c>
      <c r="AA12" s="55" t="n">
        <v>18.2</v>
      </c>
      <c r="AB12" s="55" t="n">
        <v>14</v>
      </c>
      <c r="AC12" s="56" t="n">
        <f aca="false">((D12+E12+F12+G12+H12+I12+J12+K12+L12+M12)/2)+(N12+O12+P12+Q12+R12)+(S12+T12+U12+V12+W12)</f>
        <v>35.3</v>
      </c>
      <c r="AD12" s="57" t="n">
        <f aca="false">(X12+Y12+Z12+AA12+AB12)*50/100</f>
        <v>38.45</v>
      </c>
      <c r="AE12" s="58" t="n">
        <f aca="false">AC12+AD12</f>
        <v>73.75</v>
      </c>
    </row>
    <row r="13" customFormat="false" ht="18" hidden="false" customHeight="true" outlineLevel="0" collapsed="false">
      <c r="A13" s="59" t="n">
        <v>6</v>
      </c>
      <c r="B13" s="59" t="s">
        <v>60</v>
      </c>
      <c r="C13" s="60" t="s">
        <v>61</v>
      </c>
      <c r="D13" s="61" t="n">
        <v>3.2</v>
      </c>
      <c r="E13" s="61" t="n">
        <v>4.9</v>
      </c>
      <c r="F13" s="61" t="n">
        <v>3.2</v>
      </c>
      <c r="G13" s="61" t="n">
        <v>3.4</v>
      </c>
      <c r="H13" s="61" t="n">
        <v>4.7</v>
      </c>
      <c r="I13" s="61" t="n">
        <v>3.9</v>
      </c>
      <c r="J13" s="61" t="n">
        <v>6</v>
      </c>
      <c r="K13" s="61" t="n">
        <v>3.4</v>
      </c>
      <c r="L13" s="61" t="n">
        <v>5.3</v>
      </c>
      <c r="M13" s="61" t="n">
        <v>4.8</v>
      </c>
      <c r="N13" s="61" t="n">
        <v>1.8</v>
      </c>
      <c r="O13" s="61" t="n">
        <v>1.2</v>
      </c>
      <c r="P13" s="61" t="n">
        <v>1.5</v>
      </c>
      <c r="Q13" s="61" t="n">
        <v>1.5</v>
      </c>
      <c r="R13" s="61" t="n">
        <v>1.4</v>
      </c>
      <c r="S13" s="61" t="n">
        <v>1.9</v>
      </c>
      <c r="T13" s="61" t="n">
        <v>2</v>
      </c>
      <c r="U13" s="61" t="n">
        <v>1.3</v>
      </c>
      <c r="V13" s="61" t="n">
        <v>1.6</v>
      </c>
      <c r="W13" s="61" t="n">
        <v>1.6</v>
      </c>
      <c r="X13" s="61" t="n">
        <v>17.4</v>
      </c>
      <c r="Y13" s="61" t="n">
        <v>19.5</v>
      </c>
      <c r="Z13" s="61" t="n">
        <v>12.1</v>
      </c>
      <c r="AA13" s="61" t="n">
        <v>12.1</v>
      </c>
      <c r="AB13" s="61" t="n">
        <v>16.6</v>
      </c>
      <c r="AC13" s="56" t="n">
        <f aca="false">((D13+E13+F13+G13+H13+I13+J13+K13+L13+M13)/2)+(N13+O13+P13+Q13+R13)+(S13+T13+U13+V13+W13)</f>
        <v>37.2</v>
      </c>
      <c r="AD13" s="57" t="n">
        <f aca="false">(X13+Y13+Z13+AA13+AB13)*50/100</f>
        <v>38.85</v>
      </c>
      <c r="AE13" s="58" t="n">
        <f aca="false">AC13+AD13</f>
        <v>76.05</v>
      </c>
    </row>
    <row r="14" customFormat="false" ht="18" hidden="false" customHeight="true" outlineLevel="0" collapsed="false">
      <c r="A14" s="53" t="n">
        <v>7</v>
      </c>
      <c r="B14" s="53" t="s">
        <v>62</v>
      </c>
      <c r="C14" s="54" t="s">
        <v>63</v>
      </c>
      <c r="D14" s="55" t="n">
        <v>3.5</v>
      </c>
      <c r="E14" s="55" t="n">
        <v>3.5</v>
      </c>
      <c r="F14" s="55" t="n">
        <v>3.2</v>
      </c>
      <c r="G14" s="55" t="n">
        <v>3</v>
      </c>
      <c r="H14" s="55" t="n">
        <v>4.4</v>
      </c>
      <c r="I14" s="55" t="n">
        <v>4.8</v>
      </c>
      <c r="J14" s="55" t="n">
        <v>3.9</v>
      </c>
      <c r="K14" s="55" t="n">
        <v>3.7</v>
      </c>
      <c r="L14" s="55" t="n">
        <v>5.1</v>
      </c>
      <c r="M14" s="55" t="n">
        <v>5.1</v>
      </c>
      <c r="N14" s="55" t="n">
        <v>1.5</v>
      </c>
      <c r="O14" s="55" t="n">
        <v>1.7</v>
      </c>
      <c r="P14" s="55" t="n">
        <v>1.9</v>
      </c>
      <c r="Q14" s="55" t="n">
        <v>1.8</v>
      </c>
      <c r="R14" s="55" t="n">
        <v>1.6</v>
      </c>
      <c r="S14" s="55" t="n">
        <v>1.7</v>
      </c>
      <c r="T14" s="55" t="n">
        <v>1.9</v>
      </c>
      <c r="U14" s="55" t="n">
        <v>1.4</v>
      </c>
      <c r="V14" s="55" t="n">
        <v>1.5</v>
      </c>
      <c r="W14" s="55" t="n">
        <v>1.6</v>
      </c>
      <c r="X14" s="55" t="n">
        <v>19.1</v>
      </c>
      <c r="Y14" s="55" t="n">
        <v>18.3</v>
      </c>
      <c r="Z14" s="55" t="n">
        <v>10.7</v>
      </c>
      <c r="AA14" s="55" t="n">
        <v>11.7</v>
      </c>
      <c r="AB14" s="55" t="n">
        <v>13.1</v>
      </c>
      <c r="AC14" s="56" t="n">
        <f aca="false">((D14+E14+F14+G14+H14+I14+J14+K14+L14+M14)/2)+(N14+O14+P14+Q14+R14)+(S14+T14+U14+V14+W14)</f>
        <v>36.7</v>
      </c>
      <c r="AD14" s="57" t="n">
        <f aca="false">(X14+Y14+Z14+AA14+AB14)*50/100</f>
        <v>36.45</v>
      </c>
      <c r="AE14" s="58" t="n">
        <f aca="false">AC14+AD14</f>
        <v>73.15</v>
      </c>
    </row>
    <row r="15" customFormat="false" ht="18" hidden="false" customHeight="true" outlineLevel="0" collapsed="false">
      <c r="A15" s="59" t="n">
        <v>8</v>
      </c>
      <c r="B15" s="59" t="s">
        <v>64</v>
      </c>
      <c r="C15" s="60" t="s">
        <v>65</v>
      </c>
      <c r="D15" s="61" t="n">
        <v>5.2</v>
      </c>
      <c r="E15" s="61" t="n">
        <v>4.7</v>
      </c>
      <c r="F15" s="61" t="n">
        <v>3.9</v>
      </c>
      <c r="G15" s="61" t="n">
        <v>3.4</v>
      </c>
      <c r="H15" s="61" t="n">
        <v>5.1</v>
      </c>
      <c r="I15" s="61" t="n">
        <v>5.1</v>
      </c>
      <c r="J15" s="61" t="n">
        <v>5.8</v>
      </c>
      <c r="K15" s="61" t="n">
        <v>4.5</v>
      </c>
      <c r="L15" s="61" t="n">
        <v>4.5</v>
      </c>
      <c r="M15" s="61" t="n">
        <v>3.2</v>
      </c>
      <c r="N15" s="61" t="n">
        <v>1</v>
      </c>
      <c r="O15" s="61" t="n">
        <v>1.4</v>
      </c>
      <c r="P15" s="61" t="n">
        <v>1.3</v>
      </c>
      <c r="Q15" s="61" t="n">
        <v>1.3</v>
      </c>
      <c r="R15" s="61" t="n">
        <v>1.1</v>
      </c>
      <c r="S15" s="61" t="n">
        <v>2</v>
      </c>
      <c r="T15" s="61" t="n">
        <v>1.8</v>
      </c>
      <c r="U15" s="61" t="n">
        <v>1.6</v>
      </c>
      <c r="V15" s="61" t="n">
        <v>2</v>
      </c>
      <c r="W15" s="61" t="n">
        <v>2</v>
      </c>
      <c r="X15" s="61" t="n">
        <v>16.7</v>
      </c>
      <c r="Y15" s="61" t="n">
        <v>12.7</v>
      </c>
      <c r="Z15" s="61" t="n">
        <v>10.4</v>
      </c>
      <c r="AA15" s="61" t="n">
        <v>17.6</v>
      </c>
      <c r="AB15" s="61" t="n">
        <v>14.7</v>
      </c>
      <c r="AC15" s="56" t="n">
        <f aca="false">((D15+E15+F15+G15+H15+I15+J15+K15+L15+M15)/2)+(N15+O15+P15+Q15+R15)+(S15+T15+U15+V15+W15)</f>
        <v>38.2</v>
      </c>
      <c r="AD15" s="57" t="n">
        <f aca="false">(X15+Y15+Z15+AA15+AB15)*50/100</f>
        <v>36.05</v>
      </c>
      <c r="AE15" s="58" t="n">
        <f aca="false">AC15+AD15</f>
        <v>74.25</v>
      </c>
    </row>
    <row r="16" customFormat="false" ht="18" hidden="false" customHeight="true" outlineLevel="0" collapsed="false">
      <c r="A16" s="53" t="n">
        <v>9</v>
      </c>
      <c r="B16" s="53" t="s">
        <v>66</v>
      </c>
      <c r="C16" s="54" t="s">
        <v>67</v>
      </c>
      <c r="D16" s="55" t="n">
        <v>5</v>
      </c>
      <c r="E16" s="55" t="n">
        <v>5.7</v>
      </c>
      <c r="F16" s="55" t="n">
        <v>3.5</v>
      </c>
      <c r="G16" s="55" t="n">
        <v>4.8</v>
      </c>
      <c r="H16" s="55" t="n">
        <v>4.9</v>
      </c>
      <c r="I16" s="55" t="n">
        <v>4.5</v>
      </c>
      <c r="J16" s="55" t="n">
        <v>3.3</v>
      </c>
      <c r="K16" s="55" t="n">
        <v>4</v>
      </c>
      <c r="L16" s="55" t="n">
        <v>4</v>
      </c>
      <c r="M16" s="55" t="n">
        <v>5</v>
      </c>
      <c r="N16" s="55" t="n">
        <v>1.9</v>
      </c>
      <c r="O16" s="55" t="n">
        <v>1.3</v>
      </c>
      <c r="P16" s="55" t="n">
        <v>1.7</v>
      </c>
      <c r="Q16" s="55" t="n">
        <v>1.3</v>
      </c>
      <c r="R16" s="55" t="n">
        <v>1.9</v>
      </c>
      <c r="S16" s="55" t="n">
        <v>1.8</v>
      </c>
      <c r="T16" s="55" t="n">
        <v>1.6</v>
      </c>
      <c r="U16" s="55" t="n">
        <v>1.5</v>
      </c>
      <c r="V16" s="55" t="n">
        <v>1.3</v>
      </c>
      <c r="W16" s="55" t="n">
        <v>1.3</v>
      </c>
      <c r="X16" s="55" t="n">
        <v>19.7</v>
      </c>
      <c r="Y16" s="55" t="n">
        <v>14</v>
      </c>
      <c r="Z16" s="55" t="n">
        <v>15.1</v>
      </c>
      <c r="AA16" s="55" t="n">
        <v>19.9</v>
      </c>
      <c r="AB16" s="55" t="n">
        <v>16.6</v>
      </c>
      <c r="AC16" s="56" t="n">
        <f aca="false">((D16+E16+F16+G16+H16+I16+J16+K16+L16+M16)/2)+(N16+O16+P16+Q16+R16)+(S16+T16+U16+V16+W16)</f>
        <v>37.95</v>
      </c>
      <c r="AD16" s="57" t="n">
        <f aca="false">(X16+Y16+Z16+AA16+AB16)*50/100</f>
        <v>42.65</v>
      </c>
      <c r="AE16" s="58" t="n">
        <f aca="false">AC16+AD16</f>
        <v>80.6</v>
      </c>
    </row>
    <row r="17" customFormat="false" ht="18" hidden="false" customHeight="true" outlineLevel="0" collapsed="false">
      <c r="A17" s="59" t="n">
        <v>10</v>
      </c>
      <c r="B17" s="59" t="s">
        <v>68</v>
      </c>
      <c r="C17" s="60" t="s">
        <v>69</v>
      </c>
      <c r="D17" s="61" t="n">
        <v>4.6</v>
      </c>
      <c r="E17" s="61" t="n">
        <v>4.2</v>
      </c>
      <c r="F17" s="61" t="n">
        <v>3.6</v>
      </c>
      <c r="G17" s="61" t="n">
        <v>4.1</v>
      </c>
      <c r="H17" s="61" t="n">
        <v>5.3</v>
      </c>
      <c r="I17" s="61" t="n">
        <v>4.9</v>
      </c>
      <c r="J17" s="61" t="n">
        <v>5.3</v>
      </c>
      <c r="K17" s="61" t="n">
        <v>3.6</v>
      </c>
      <c r="L17" s="61" t="n">
        <v>4.6</v>
      </c>
      <c r="M17" s="61" t="n">
        <v>5.8</v>
      </c>
      <c r="N17" s="61" t="n">
        <v>1.4</v>
      </c>
      <c r="O17" s="61" t="n">
        <v>1.7</v>
      </c>
      <c r="P17" s="61" t="n">
        <v>1.1</v>
      </c>
      <c r="Q17" s="61" t="n">
        <v>2</v>
      </c>
      <c r="R17" s="61" t="n">
        <v>1.6</v>
      </c>
      <c r="S17" s="61" t="n">
        <v>1.2</v>
      </c>
      <c r="T17" s="61" t="n">
        <v>1.2</v>
      </c>
      <c r="U17" s="61" t="n">
        <v>1.6</v>
      </c>
      <c r="V17" s="61" t="n">
        <v>1.6</v>
      </c>
      <c r="W17" s="61" t="n">
        <v>1.1</v>
      </c>
      <c r="X17" s="61" t="n">
        <v>19.9</v>
      </c>
      <c r="Y17" s="61" t="n">
        <v>19.1</v>
      </c>
      <c r="Z17" s="61" t="n">
        <v>14.6</v>
      </c>
      <c r="AA17" s="61" t="n">
        <v>11.2</v>
      </c>
      <c r="AB17" s="61" t="n">
        <v>18.3</v>
      </c>
      <c r="AC17" s="56" t="n">
        <f aca="false">((D17+E17+F17+G17+H17+I17+J17+K17+L17+M17)/2)+(N17+O17+P17+Q17+R17)+(S17+T17+U17+V17+W17)</f>
        <v>37.5</v>
      </c>
      <c r="AD17" s="57" t="n">
        <f aca="false">(X17+Y17+Z17+AA17+AB17)*50/100</f>
        <v>41.55</v>
      </c>
      <c r="AE17" s="58" t="n">
        <f aca="false">AC17+AD17</f>
        <v>79.05</v>
      </c>
    </row>
    <row r="18" customFormat="false" ht="18" hidden="false" customHeight="true" outlineLevel="0" collapsed="false">
      <c r="A18" s="53" t="n">
        <v>11</v>
      </c>
      <c r="B18" s="53" t="s">
        <v>70</v>
      </c>
      <c r="C18" s="54" t="s">
        <v>71</v>
      </c>
      <c r="D18" s="55" t="n">
        <v>4.5</v>
      </c>
      <c r="E18" s="55" t="n">
        <v>5.1</v>
      </c>
      <c r="F18" s="55" t="n">
        <v>4.5</v>
      </c>
      <c r="G18" s="55" t="n">
        <v>3.8</v>
      </c>
      <c r="H18" s="55" t="n">
        <v>5.5</v>
      </c>
      <c r="I18" s="55" t="n">
        <v>5.9</v>
      </c>
      <c r="J18" s="55" t="n">
        <v>3.7</v>
      </c>
      <c r="K18" s="55" t="n">
        <v>4.7</v>
      </c>
      <c r="L18" s="55" t="n">
        <v>4.2</v>
      </c>
      <c r="M18" s="55" t="n">
        <v>5.8</v>
      </c>
      <c r="N18" s="55" t="n">
        <v>1.5</v>
      </c>
      <c r="O18" s="55" t="n">
        <v>1.9</v>
      </c>
      <c r="P18" s="55" t="n">
        <v>1.9</v>
      </c>
      <c r="Q18" s="55" t="n">
        <v>1.3</v>
      </c>
      <c r="R18" s="55" t="n">
        <v>1.8</v>
      </c>
      <c r="S18" s="55" t="n">
        <v>1.4</v>
      </c>
      <c r="T18" s="55" t="n">
        <v>1.9</v>
      </c>
      <c r="U18" s="55" t="n">
        <v>1.5</v>
      </c>
      <c r="V18" s="55" t="n">
        <v>1.8</v>
      </c>
      <c r="W18" s="55" t="n">
        <v>1.3</v>
      </c>
      <c r="X18" s="55" t="n">
        <v>13</v>
      </c>
      <c r="Y18" s="55" t="n">
        <v>15.9</v>
      </c>
      <c r="Z18" s="55" t="n">
        <v>20</v>
      </c>
      <c r="AA18" s="55" t="n">
        <v>14.9</v>
      </c>
      <c r="AB18" s="55" t="n">
        <v>11.5</v>
      </c>
      <c r="AC18" s="56" t="n">
        <f aca="false">((D18+E18+F18+G18+H18+I18+J18+K18+L18+M18)/2)+(N18+O18+P18+Q18+R18)+(S18+T18+U18+V18+W18)</f>
        <v>40.15</v>
      </c>
      <c r="AD18" s="57" t="n">
        <f aca="false">(X18+Y18+Z18+AA18+AB18)*50/100</f>
        <v>37.65</v>
      </c>
      <c r="AE18" s="58" t="n">
        <f aca="false">AC18+AD18</f>
        <v>77.8</v>
      </c>
    </row>
    <row r="19" customFormat="false" ht="18" hidden="false" customHeight="true" outlineLevel="0" collapsed="false">
      <c r="A19" s="59" t="n">
        <v>12</v>
      </c>
      <c r="B19" s="59" t="s">
        <v>72</v>
      </c>
      <c r="C19" s="60" t="s">
        <v>73</v>
      </c>
      <c r="D19" s="61" t="n">
        <v>4.6</v>
      </c>
      <c r="E19" s="61" t="n">
        <v>4</v>
      </c>
      <c r="F19" s="61" t="n">
        <v>4.7</v>
      </c>
      <c r="G19" s="61" t="n">
        <v>4.6</v>
      </c>
      <c r="H19" s="61" t="n">
        <v>4.4</v>
      </c>
      <c r="I19" s="61" t="n">
        <v>4</v>
      </c>
      <c r="J19" s="61" t="n">
        <v>3.6</v>
      </c>
      <c r="K19" s="61" t="n">
        <v>5.1</v>
      </c>
      <c r="L19" s="61" t="n">
        <v>4.7</v>
      </c>
      <c r="M19" s="61" t="n">
        <v>3.7</v>
      </c>
      <c r="N19" s="61" t="n">
        <v>1.8</v>
      </c>
      <c r="O19" s="61" t="n">
        <v>1</v>
      </c>
      <c r="P19" s="61" t="n">
        <v>1.7</v>
      </c>
      <c r="Q19" s="61" t="n">
        <v>1.7</v>
      </c>
      <c r="R19" s="61" t="n">
        <v>1.8</v>
      </c>
      <c r="S19" s="61" t="n">
        <v>1.4</v>
      </c>
      <c r="T19" s="61" t="n">
        <v>1.7</v>
      </c>
      <c r="U19" s="61" t="n">
        <v>1.8</v>
      </c>
      <c r="V19" s="61" t="n">
        <v>2</v>
      </c>
      <c r="W19" s="61" t="n">
        <v>1.5</v>
      </c>
      <c r="X19" s="61" t="n">
        <v>10.4</v>
      </c>
      <c r="Y19" s="61" t="n">
        <v>15</v>
      </c>
      <c r="Z19" s="61" t="n">
        <v>15.9</v>
      </c>
      <c r="AA19" s="61" t="n">
        <v>18.7</v>
      </c>
      <c r="AB19" s="61" t="n">
        <v>18.7</v>
      </c>
      <c r="AC19" s="56" t="n">
        <f aca="false">((D19+E19+F19+G19+H19+I19+J19+K19+L19+M19)/2)+(N19+O19+P19+Q19+R19)+(S19+T19+U19+V19+W19)</f>
        <v>38.1</v>
      </c>
      <c r="AD19" s="57" t="n">
        <f aca="false">(X19+Y19+Z19+AA19+AB19)*50/100</f>
        <v>39.35</v>
      </c>
      <c r="AE19" s="58" t="n">
        <f aca="false">AC19+AD19</f>
        <v>77.45</v>
      </c>
    </row>
    <row r="20" customFormat="false" ht="18" hidden="false" customHeight="true" outlineLevel="0" collapsed="false">
      <c r="A20" s="53" t="n">
        <v>13</v>
      </c>
      <c r="B20" s="53" t="s">
        <v>74</v>
      </c>
      <c r="C20" s="54" t="s">
        <v>75</v>
      </c>
      <c r="D20" s="55" t="n">
        <v>4.3</v>
      </c>
      <c r="E20" s="55" t="n">
        <v>4.6</v>
      </c>
      <c r="F20" s="55" t="n">
        <v>4.4</v>
      </c>
      <c r="G20" s="55" t="n">
        <v>5.2</v>
      </c>
      <c r="H20" s="55" t="n">
        <v>4.2</v>
      </c>
      <c r="I20" s="55" t="n">
        <v>5</v>
      </c>
      <c r="J20" s="55" t="n">
        <v>3.5</v>
      </c>
      <c r="K20" s="55" t="n">
        <v>4.4</v>
      </c>
      <c r="L20" s="55" t="n">
        <v>5.9</v>
      </c>
      <c r="M20" s="55" t="n">
        <v>4</v>
      </c>
      <c r="N20" s="55" t="n">
        <v>1.7</v>
      </c>
      <c r="O20" s="55" t="n">
        <v>1.6</v>
      </c>
      <c r="P20" s="55" t="n">
        <v>1.9</v>
      </c>
      <c r="Q20" s="55" t="n">
        <v>1.9</v>
      </c>
      <c r="R20" s="55" t="n">
        <v>1.9</v>
      </c>
      <c r="S20" s="55" t="n">
        <v>1.4</v>
      </c>
      <c r="T20" s="55" t="n">
        <v>1.3</v>
      </c>
      <c r="U20" s="55" t="n">
        <v>1.7</v>
      </c>
      <c r="V20" s="55" t="n">
        <v>1.8</v>
      </c>
      <c r="W20" s="55" t="n">
        <v>1.9</v>
      </c>
      <c r="X20" s="55" t="n">
        <v>10.4</v>
      </c>
      <c r="Y20" s="55" t="n">
        <v>10.7</v>
      </c>
      <c r="Z20" s="55" t="n">
        <v>16.3</v>
      </c>
      <c r="AA20" s="55" t="n">
        <v>19.2</v>
      </c>
      <c r="AB20" s="55" t="n">
        <v>20</v>
      </c>
      <c r="AC20" s="56" t="n">
        <f aca="false">((D20+E20+F20+G20+H20+I20+J20+K20+L20+M20)/2)+(N20+O20+P20+Q20+R20)+(S20+T20+U20+V20+W20)</f>
        <v>39.85</v>
      </c>
      <c r="AD20" s="57" t="n">
        <f aca="false">(X20+Y20+Z20+AA20+AB20)*50/100</f>
        <v>38.3</v>
      </c>
      <c r="AE20" s="58" t="n">
        <f aca="false">AC20+AD20</f>
        <v>78.15</v>
      </c>
    </row>
    <row r="21" customFormat="false" ht="18" hidden="false" customHeight="true" outlineLevel="0" collapsed="false">
      <c r="A21" s="59" t="n">
        <v>14</v>
      </c>
      <c r="B21" s="59" t="s">
        <v>76</v>
      </c>
      <c r="C21" s="60" t="s">
        <v>77</v>
      </c>
      <c r="D21" s="61" t="n">
        <v>5.2</v>
      </c>
      <c r="E21" s="61" t="n">
        <v>4.3</v>
      </c>
      <c r="F21" s="61" t="n">
        <v>3.3</v>
      </c>
      <c r="G21" s="61" t="n">
        <v>4.9</v>
      </c>
      <c r="H21" s="61" t="n">
        <v>5.6</v>
      </c>
      <c r="I21" s="61" t="n">
        <v>4.3</v>
      </c>
      <c r="J21" s="61" t="n">
        <v>5.1</v>
      </c>
      <c r="K21" s="61" t="n">
        <v>5.7</v>
      </c>
      <c r="L21" s="61" t="n">
        <v>3.1</v>
      </c>
      <c r="M21" s="61" t="n">
        <v>5.4</v>
      </c>
      <c r="N21" s="61" t="n">
        <v>1.3</v>
      </c>
      <c r="O21" s="61" t="n">
        <v>1.4</v>
      </c>
      <c r="P21" s="61" t="n">
        <v>1.1</v>
      </c>
      <c r="Q21" s="61" t="n">
        <v>1.5</v>
      </c>
      <c r="R21" s="61" t="n">
        <v>1.6</v>
      </c>
      <c r="S21" s="61" t="n">
        <v>1.8</v>
      </c>
      <c r="T21" s="61" t="n">
        <v>1.2</v>
      </c>
      <c r="U21" s="61" t="n">
        <v>1.1</v>
      </c>
      <c r="V21" s="61" t="n">
        <v>1.9</v>
      </c>
      <c r="W21" s="61" t="n">
        <v>1.6</v>
      </c>
      <c r="X21" s="61" t="n">
        <v>12.4</v>
      </c>
      <c r="Y21" s="61" t="n">
        <v>19.1</v>
      </c>
      <c r="Z21" s="61" t="n">
        <v>11.4</v>
      </c>
      <c r="AA21" s="61" t="n">
        <v>14.6</v>
      </c>
      <c r="AB21" s="61" t="n">
        <v>12.5</v>
      </c>
      <c r="AC21" s="56" t="n">
        <f aca="false">((D21+E21+F21+G21+H21+I21+J21+K21+L21+M21)/2)+(N21+O21+P21+Q21+R21)+(S21+T21+U21+V21+W21)</f>
        <v>37.95</v>
      </c>
      <c r="AD21" s="57" t="n">
        <f aca="false">(X21+Y21+Z21+AA21+AB21)*50/100</f>
        <v>35</v>
      </c>
      <c r="AE21" s="58" t="n">
        <f aca="false">AC21+AD21</f>
        <v>72.95</v>
      </c>
    </row>
    <row r="22" customFormat="false" ht="18" hidden="false" customHeight="true" outlineLevel="0" collapsed="false">
      <c r="A22" s="53" t="n">
        <v>15</v>
      </c>
      <c r="B22" s="53" t="s">
        <v>78</v>
      </c>
      <c r="C22" s="54" t="s">
        <v>79</v>
      </c>
      <c r="D22" s="55" t="n">
        <v>3.8</v>
      </c>
      <c r="E22" s="55" t="n">
        <v>3</v>
      </c>
      <c r="F22" s="55" t="n">
        <v>5.4</v>
      </c>
      <c r="G22" s="55" t="n">
        <v>5.7</v>
      </c>
      <c r="H22" s="55" t="n">
        <v>5</v>
      </c>
      <c r="I22" s="55" t="n">
        <v>3.5</v>
      </c>
      <c r="J22" s="55" t="n">
        <v>4.3</v>
      </c>
      <c r="K22" s="55" t="n">
        <v>4</v>
      </c>
      <c r="L22" s="55" t="n">
        <v>4.8</v>
      </c>
      <c r="M22" s="55" t="n">
        <v>4.9</v>
      </c>
      <c r="N22" s="55" t="n">
        <v>1.4</v>
      </c>
      <c r="O22" s="55" t="n">
        <v>1.3</v>
      </c>
      <c r="P22" s="55" t="n">
        <v>1.8</v>
      </c>
      <c r="Q22" s="55" t="n">
        <v>1.2</v>
      </c>
      <c r="R22" s="55" t="n">
        <v>1.4</v>
      </c>
      <c r="S22" s="55" t="n">
        <v>1.5</v>
      </c>
      <c r="T22" s="55" t="n">
        <v>1.2</v>
      </c>
      <c r="U22" s="55" t="n">
        <v>1.6</v>
      </c>
      <c r="V22" s="55" t="n">
        <v>1.6</v>
      </c>
      <c r="W22" s="55" t="n">
        <v>2</v>
      </c>
      <c r="X22" s="55" t="n">
        <v>13</v>
      </c>
      <c r="Y22" s="55" t="n">
        <v>19.8</v>
      </c>
      <c r="Z22" s="55" t="n">
        <v>16.6</v>
      </c>
      <c r="AA22" s="55" t="n">
        <v>12.7</v>
      </c>
      <c r="AB22" s="55" t="n">
        <v>15.7</v>
      </c>
      <c r="AC22" s="56" t="n">
        <f aca="false">((D22+E22+F22+G22+H22+I22+J22+K22+L22+M22)/2)+(N22+O22+P22+Q22+R22)+(S22+T22+U22+V22+W22)</f>
        <v>37.2</v>
      </c>
      <c r="AD22" s="57" t="n">
        <f aca="false">(X22+Y22+Z22+AA22+AB22)*50/100</f>
        <v>38.9</v>
      </c>
      <c r="AE22" s="58" t="n">
        <f aca="false">AC22+AD22</f>
        <v>76.1</v>
      </c>
    </row>
    <row r="23" customFormat="false" ht="18" hidden="false" customHeight="true" outlineLevel="0" collapsed="false">
      <c r="A23" s="59" t="n">
        <v>16</v>
      </c>
      <c r="B23" s="59" t="s">
        <v>80</v>
      </c>
      <c r="C23" s="60" t="s">
        <v>81</v>
      </c>
      <c r="D23" s="61" t="n">
        <v>5.1</v>
      </c>
      <c r="E23" s="61" t="n">
        <v>5.2</v>
      </c>
      <c r="F23" s="61" t="n">
        <v>3.1</v>
      </c>
      <c r="G23" s="61" t="n">
        <v>4.8</v>
      </c>
      <c r="H23" s="61" t="n">
        <v>4.5</v>
      </c>
      <c r="I23" s="61" t="n">
        <v>5.7</v>
      </c>
      <c r="J23" s="61" t="n">
        <v>3.9</v>
      </c>
      <c r="K23" s="61" t="n">
        <v>5.4</v>
      </c>
      <c r="L23" s="61" t="n">
        <v>4.8</v>
      </c>
      <c r="M23" s="61" t="n">
        <v>4.1</v>
      </c>
      <c r="N23" s="61" t="n">
        <v>1.6</v>
      </c>
      <c r="O23" s="61" t="n">
        <v>1.6</v>
      </c>
      <c r="P23" s="61" t="n">
        <v>1.7</v>
      </c>
      <c r="Q23" s="61" t="n">
        <v>1.7</v>
      </c>
      <c r="R23" s="61" t="n">
        <v>1.7</v>
      </c>
      <c r="S23" s="61" t="n">
        <v>1.8</v>
      </c>
      <c r="T23" s="61" t="n">
        <v>1.6</v>
      </c>
      <c r="U23" s="61" t="n">
        <v>1.9</v>
      </c>
      <c r="V23" s="61" t="n">
        <v>1.6</v>
      </c>
      <c r="W23" s="61" t="n">
        <v>1.3</v>
      </c>
      <c r="X23" s="61" t="n">
        <v>14.4</v>
      </c>
      <c r="Y23" s="61" t="n">
        <v>15.8</v>
      </c>
      <c r="Z23" s="61" t="n">
        <v>17.3</v>
      </c>
      <c r="AA23" s="61" t="n">
        <v>10.9</v>
      </c>
      <c r="AB23" s="61" t="n">
        <v>13</v>
      </c>
      <c r="AC23" s="56" t="n">
        <f aca="false">((D23+E23+F23+G23+H23+I23+J23+K23+L23+M23)/2)+(N23+O23+P23+Q23+R23)+(S23+T23+U23+V23+W23)</f>
        <v>39.8</v>
      </c>
      <c r="AD23" s="57" t="n">
        <f aca="false">(X23+Y23+Z23+AA23+AB23)*50/100</f>
        <v>35.7</v>
      </c>
      <c r="AE23" s="58" t="n">
        <f aca="false">AC23+AD23</f>
        <v>75.5</v>
      </c>
    </row>
    <row r="24" customFormat="false" ht="18" hidden="false" customHeight="true" outlineLevel="0" collapsed="false">
      <c r="A24" s="53" t="n">
        <v>17</v>
      </c>
      <c r="B24" s="53" t="s">
        <v>82</v>
      </c>
      <c r="C24" s="54" t="s">
        <v>83</v>
      </c>
      <c r="D24" s="55" t="n">
        <v>5.2</v>
      </c>
      <c r="E24" s="55" t="n">
        <v>3.5</v>
      </c>
      <c r="F24" s="55" t="n">
        <v>3.4</v>
      </c>
      <c r="G24" s="55" t="n">
        <v>4.6</v>
      </c>
      <c r="H24" s="55" t="n">
        <v>5.9</v>
      </c>
      <c r="I24" s="55" t="n">
        <v>4.6</v>
      </c>
      <c r="J24" s="55" t="n">
        <v>5.7</v>
      </c>
      <c r="K24" s="55" t="n">
        <v>5.5</v>
      </c>
      <c r="L24" s="55" t="n">
        <v>3.8</v>
      </c>
      <c r="M24" s="55" t="n">
        <v>5.5</v>
      </c>
      <c r="N24" s="55" t="n">
        <v>1.5</v>
      </c>
      <c r="O24" s="55" t="n">
        <v>1.8</v>
      </c>
      <c r="P24" s="55" t="n">
        <v>1.7</v>
      </c>
      <c r="Q24" s="55" t="n">
        <v>1.3</v>
      </c>
      <c r="R24" s="55" t="n">
        <v>1.1</v>
      </c>
      <c r="S24" s="55" t="n">
        <v>2</v>
      </c>
      <c r="T24" s="55" t="n">
        <v>1.1</v>
      </c>
      <c r="U24" s="55" t="n">
        <v>2</v>
      </c>
      <c r="V24" s="55" t="n">
        <v>1.9</v>
      </c>
      <c r="W24" s="55" t="n">
        <v>1.7</v>
      </c>
      <c r="X24" s="55" t="n">
        <v>19.8</v>
      </c>
      <c r="Y24" s="55" t="n">
        <v>19.7</v>
      </c>
      <c r="Z24" s="55" t="n">
        <v>18</v>
      </c>
      <c r="AA24" s="55" t="n">
        <v>13.7</v>
      </c>
      <c r="AB24" s="55" t="n">
        <v>17.9</v>
      </c>
      <c r="AC24" s="56" t="n">
        <f aca="false">((D24+E24+F24+G24+H24+I24+J24+K24+L24+M24)/2)+(N24+O24+P24+Q24+R24)+(S24+T24+U24+V24+W24)</f>
        <v>39.95</v>
      </c>
      <c r="AD24" s="57" t="n">
        <f aca="false">(X24+Y24+Z24+AA24+AB24)*50/100</f>
        <v>44.55</v>
      </c>
      <c r="AE24" s="58" t="n">
        <f aca="false">AC24+AD24</f>
        <v>84.5</v>
      </c>
    </row>
    <row r="25" customFormat="false" ht="18" hidden="false" customHeight="true" outlineLevel="0" collapsed="false">
      <c r="A25" s="59" t="n">
        <v>18</v>
      </c>
      <c r="B25" s="59" t="s">
        <v>84</v>
      </c>
      <c r="C25" s="60" t="s">
        <v>85</v>
      </c>
      <c r="D25" s="61" t="n">
        <v>3</v>
      </c>
      <c r="E25" s="61" t="n">
        <v>4.6</v>
      </c>
      <c r="F25" s="61" t="n">
        <v>4.4</v>
      </c>
      <c r="G25" s="61" t="n">
        <v>5</v>
      </c>
      <c r="H25" s="61" t="n">
        <v>5</v>
      </c>
      <c r="I25" s="61" t="n">
        <v>4.8</v>
      </c>
      <c r="J25" s="61" t="n">
        <v>5.5</v>
      </c>
      <c r="K25" s="61" t="n">
        <v>5.8</v>
      </c>
      <c r="L25" s="61" t="n">
        <v>3.3</v>
      </c>
      <c r="M25" s="61" t="n">
        <v>3.7</v>
      </c>
      <c r="N25" s="61" t="n">
        <v>1</v>
      </c>
      <c r="O25" s="61" t="n">
        <v>1.9</v>
      </c>
      <c r="P25" s="61" t="n">
        <v>1.6</v>
      </c>
      <c r="Q25" s="61" t="n">
        <v>1.9</v>
      </c>
      <c r="R25" s="61" t="n">
        <v>1.2</v>
      </c>
      <c r="S25" s="61" t="n">
        <v>1.1</v>
      </c>
      <c r="T25" s="61" t="n">
        <v>1.8</v>
      </c>
      <c r="U25" s="61" t="n">
        <v>1.9</v>
      </c>
      <c r="V25" s="61" t="n">
        <v>1.3</v>
      </c>
      <c r="W25" s="61" t="n">
        <v>1.4</v>
      </c>
      <c r="X25" s="61" t="n">
        <v>11.4</v>
      </c>
      <c r="Y25" s="61" t="n">
        <v>19.5</v>
      </c>
      <c r="Z25" s="61" t="n">
        <v>13</v>
      </c>
      <c r="AA25" s="61" t="n">
        <v>14.9</v>
      </c>
      <c r="AB25" s="61" t="n">
        <v>11</v>
      </c>
      <c r="AC25" s="56" t="n">
        <f aca="false">((D25+E25+F25+G25+H25+I25+J25+K25+L25+M25)/2)+(N25+O25+P25+Q25+R25)+(S25+T25+U25+V25+W25)</f>
        <v>37.65</v>
      </c>
      <c r="AD25" s="57" t="n">
        <f aca="false">(X25+Y25+Z25+AA25+AB25)*50/100</f>
        <v>34.9</v>
      </c>
      <c r="AE25" s="58" t="n">
        <f aca="false">AC25+AD25</f>
        <v>72.55</v>
      </c>
    </row>
    <row r="26" customFormat="false" ht="18" hidden="false" customHeight="true" outlineLevel="0" collapsed="false">
      <c r="A26" s="53" t="n">
        <v>19</v>
      </c>
      <c r="B26" s="53" t="s">
        <v>86</v>
      </c>
      <c r="C26" s="54" t="s">
        <v>87</v>
      </c>
      <c r="D26" s="55" t="n">
        <v>5.7</v>
      </c>
      <c r="E26" s="55" t="n">
        <v>3.4</v>
      </c>
      <c r="F26" s="55" t="n">
        <v>4.4</v>
      </c>
      <c r="G26" s="55" t="n">
        <v>5</v>
      </c>
      <c r="H26" s="55" t="n">
        <v>5.2</v>
      </c>
      <c r="I26" s="55" t="n">
        <v>5.8</v>
      </c>
      <c r="J26" s="55" t="n">
        <v>4.3</v>
      </c>
      <c r="K26" s="55" t="n">
        <v>5.2</v>
      </c>
      <c r="L26" s="55" t="n">
        <v>3.5</v>
      </c>
      <c r="M26" s="55" t="n">
        <v>4.2</v>
      </c>
      <c r="N26" s="55" t="n">
        <v>1.1</v>
      </c>
      <c r="O26" s="55" t="n">
        <v>1.5</v>
      </c>
      <c r="P26" s="55" t="n">
        <v>1.4</v>
      </c>
      <c r="Q26" s="55" t="n">
        <v>2</v>
      </c>
      <c r="R26" s="55" t="n">
        <v>1</v>
      </c>
      <c r="S26" s="55" t="n">
        <v>1.4</v>
      </c>
      <c r="T26" s="55" t="n">
        <v>1.4</v>
      </c>
      <c r="U26" s="55" t="n">
        <v>2</v>
      </c>
      <c r="V26" s="55" t="n">
        <v>1.9</v>
      </c>
      <c r="W26" s="55" t="n">
        <v>1.1</v>
      </c>
      <c r="X26" s="55" t="n">
        <v>16.9</v>
      </c>
      <c r="Y26" s="55" t="n">
        <v>15.4</v>
      </c>
      <c r="Z26" s="55" t="n">
        <v>19.8</v>
      </c>
      <c r="AA26" s="55" t="n">
        <v>13.6</v>
      </c>
      <c r="AB26" s="55" t="n">
        <v>14</v>
      </c>
      <c r="AC26" s="56" t="n">
        <f aca="false">((D26+E26+F26+G26+H26+I26+J26+K26+L26+M26)/2)+(N26+O26+P26+Q26+R26)+(S26+T26+U26+V26+W26)</f>
        <v>38.15</v>
      </c>
      <c r="AD26" s="57" t="n">
        <f aca="false">(X26+Y26+Z26+AA26+AB26)*50/100</f>
        <v>39.85</v>
      </c>
      <c r="AE26" s="58" t="n">
        <f aca="false">AC26+AD26</f>
        <v>78</v>
      </c>
    </row>
    <row r="27" customFormat="false" ht="18" hidden="false" customHeight="true" outlineLevel="0" collapsed="false">
      <c r="A27" s="59" t="n">
        <v>20</v>
      </c>
      <c r="B27" s="59" t="s">
        <v>88</v>
      </c>
      <c r="C27" s="60" t="s">
        <v>89</v>
      </c>
      <c r="D27" s="61" t="n">
        <v>3.6</v>
      </c>
      <c r="E27" s="61" t="n">
        <v>3.4</v>
      </c>
      <c r="F27" s="61" t="n">
        <v>5.5</v>
      </c>
      <c r="G27" s="61" t="n">
        <v>4.4</v>
      </c>
      <c r="H27" s="61" t="n">
        <v>5</v>
      </c>
      <c r="I27" s="61" t="n">
        <v>4.9</v>
      </c>
      <c r="J27" s="61" t="n">
        <v>4.8</v>
      </c>
      <c r="K27" s="61" t="n">
        <v>3.1</v>
      </c>
      <c r="L27" s="61" t="n">
        <v>5.4</v>
      </c>
      <c r="M27" s="61" t="n">
        <v>3.7</v>
      </c>
      <c r="N27" s="61" t="n">
        <v>1.1</v>
      </c>
      <c r="O27" s="61" t="n">
        <v>1.6</v>
      </c>
      <c r="P27" s="61" t="n">
        <v>1.1</v>
      </c>
      <c r="Q27" s="61" t="n">
        <v>1.8</v>
      </c>
      <c r="R27" s="61" t="n">
        <v>1.2</v>
      </c>
      <c r="S27" s="61" t="n">
        <v>1.2</v>
      </c>
      <c r="T27" s="61" t="n">
        <v>1.9</v>
      </c>
      <c r="U27" s="61" t="n">
        <v>1.3</v>
      </c>
      <c r="V27" s="61" t="n">
        <v>1.1</v>
      </c>
      <c r="W27" s="61" t="n">
        <v>1.9</v>
      </c>
      <c r="X27" s="61" t="n">
        <v>10</v>
      </c>
      <c r="Y27" s="61" t="n">
        <v>18.6</v>
      </c>
      <c r="Z27" s="61" t="n">
        <v>11.4</v>
      </c>
      <c r="AA27" s="61" t="n">
        <v>11.3</v>
      </c>
      <c r="AB27" s="61" t="n">
        <v>12.5</v>
      </c>
      <c r="AC27" s="56" t="n">
        <f aca="false">((D27+E27+F27+G27+H27+I27+J27+K27+L27+M27)/2)+(N27+O27+P27+Q27+R27)+(S27+T27+U27+V27+W27)</f>
        <v>36.1</v>
      </c>
      <c r="AD27" s="57" t="n">
        <f aca="false">(X27+Y27+Z27+AA27+AB27)*50/100</f>
        <v>31.9</v>
      </c>
      <c r="AE27" s="58" t="n">
        <f aca="false">AC27+AD27</f>
        <v>68</v>
      </c>
    </row>
    <row r="29" customFormat="false" ht="21.75" hidden="false" customHeight="true" outlineLevel="0" collapsed="false">
      <c r="A29" s="62" t="s">
        <v>90</v>
      </c>
      <c r="B29" s="62"/>
      <c r="C29" s="62"/>
    </row>
    <row r="30" customFormat="false" ht="18" hidden="false" customHeight="true" outlineLevel="0" collapsed="false">
      <c r="A30" s="63" t="s">
        <v>91</v>
      </c>
      <c r="B30" s="63"/>
      <c r="C30" s="63"/>
      <c r="D30" s="64" t="n">
        <f aca="false">AVERAGE(D8:D27)</f>
        <v>4.48</v>
      </c>
      <c r="E30" s="64" t="n">
        <f aca="false">AVERAGE(E8:E27)</f>
        <v>4.475</v>
      </c>
      <c r="F30" s="64" t="n">
        <f aca="false">AVERAGE(F8:F27)</f>
        <v>3.97</v>
      </c>
      <c r="G30" s="64" t="n">
        <f aca="false">AVERAGE(G8:G27)</f>
        <v>4.435</v>
      </c>
      <c r="H30" s="64" t="n">
        <f aca="false">AVERAGE(H8:H27)</f>
        <v>4.84</v>
      </c>
    </row>
    <row r="31" customFormat="false" ht="18" hidden="false" customHeight="true" outlineLevel="0" collapsed="false">
      <c r="A31" s="65" t="s">
        <v>92</v>
      </c>
      <c r="B31" s="65"/>
      <c r="C31" s="65"/>
      <c r="I31" s="64" t="n">
        <f aca="false">AVERAGE(I8:I27)</f>
        <v>4.555</v>
      </c>
      <c r="J31" s="64" t="n">
        <f aca="false">AVERAGE(J8:J27)</f>
        <v>4.525</v>
      </c>
      <c r="K31" s="64" t="n">
        <f aca="false">AVERAGE(K8:K27)</f>
        <v>4.52</v>
      </c>
      <c r="L31" s="64" t="n">
        <f aca="false">AVERAGE(L8:L27)</f>
        <v>4.365</v>
      </c>
      <c r="M31" s="64" t="n">
        <f aca="false">AVERAGE(M8:M27)</f>
        <v>4.785</v>
      </c>
    </row>
    <row r="32" customFormat="false" ht="18" hidden="false" customHeight="true" outlineLevel="0" collapsed="false">
      <c r="A32" s="66" t="s">
        <v>93</v>
      </c>
      <c r="B32" s="66"/>
      <c r="C32" s="66"/>
      <c r="N32" s="64" t="n">
        <f aca="false">AVERAGE(N8:N27)</f>
        <v>1.46</v>
      </c>
      <c r="O32" s="64" t="n">
        <f aca="false">AVERAGE(O8:O27)</f>
        <v>1.51</v>
      </c>
      <c r="P32" s="64" t="n">
        <f aca="false">AVERAGE(P8:P27)</f>
        <v>1.53</v>
      </c>
      <c r="Q32" s="64" t="n">
        <f aca="false">AVERAGE(Q8:Q27)</f>
        <v>1.59</v>
      </c>
      <c r="R32" s="64" t="n">
        <f aca="false">AVERAGE(R8:R27)</f>
        <v>1.52</v>
      </c>
    </row>
    <row r="33" customFormat="false" ht="18" hidden="false" customHeight="true" outlineLevel="0" collapsed="false">
      <c r="A33" s="67" t="s">
        <v>94</v>
      </c>
      <c r="B33" s="67"/>
      <c r="C33" s="67"/>
      <c r="S33" s="64" t="n">
        <f aca="false">AVERAGE(S8:S27)</f>
        <v>1.585</v>
      </c>
      <c r="T33" s="64" t="n">
        <f aca="false">AVERAGE(T8:T27)</f>
        <v>1.54</v>
      </c>
      <c r="U33" s="64" t="n">
        <f aca="false">AVERAGE(U8:U27)</f>
        <v>1.575</v>
      </c>
      <c r="V33" s="64" t="n">
        <f aca="false">AVERAGE(V8:V27)</f>
        <v>1.605</v>
      </c>
      <c r="W33" s="64" t="n">
        <f aca="false">AVERAGE(W8:W27)</f>
        <v>1.545</v>
      </c>
    </row>
    <row r="34" customFormat="false" ht="18" hidden="false" customHeight="true" outlineLevel="0" collapsed="false">
      <c r="A34" s="68" t="s">
        <v>95</v>
      </c>
      <c r="B34" s="68"/>
      <c r="C34" s="68"/>
      <c r="X34" s="64" t="n">
        <f aca="false">AVERAGE(X8:X27)</f>
        <v>14.79</v>
      </c>
      <c r="Y34" s="64" t="n">
        <f aca="false">AVERAGE(Y8:Y27)</f>
        <v>16.27</v>
      </c>
      <c r="Z34" s="64" t="n">
        <f aca="false">AVERAGE(Z8:Z27)</f>
        <v>15.095</v>
      </c>
      <c r="AA34" s="64" t="n">
        <f aca="false">AVERAGE(AA8:AA27)</f>
        <v>15.255</v>
      </c>
      <c r="AB34" s="64" t="n">
        <f aca="false">AVERAGE(AB8:AB27)</f>
        <v>15.255</v>
      </c>
    </row>
    <row r="35" customFormat="false" ht="21.75" hidden="false" customHeight="true" outlineLevel="0" collapsed="false">
      <c r="A35" s="62" t="s">
        <v>96</v>
      </c>
      <c r="B35" s="62"/>
      <c r="C35" s="62"/>
      <c r="D35" s="69" t="n">
        <f aca="false">(D30+I31+N32+S33+X34)/36</f>
        <v>0.746388888888889</v>
      </c>
      <c r="E35" s="69" t="n">
        <f aca="false">(E30+J31+O32+T33+Y34)/36</f>
        <v>0.786666666666667</v>
      </c>
      <c r="F35" s="69" t="n">
        <f aca="false">(F30+K31+P32+U33+Z34)/36</f>
        <v>0.741388888888889</v>
      </c>
      <c r="G35" s="69" t="n">
        <f aca="false">(G30+L31+Q32+V33+AA34)/36</f>
        <v>0.756944444444444</v>
      </c>
      <c r="H35" s="69" t="n">
        <f aca="false">(H30+M31+R32+W33+AB34)/36</f>
        <v>0.77625</v>
      </c>
    </row>
    <row r="36" customFormat="false" ht="21.75" hidden="false" customHeight="true" outlineLevel="0" collapsed="false">
      <c r="A36" s="46" t="s">
        <v>97</v>
      </c>
      <c r="B36" s="46"/>
      <c r="C36" s="46"/>
      <c r="D36" s="70" t="n">
        <f aca="false">IF(D35&gt;=0.6,3,IF(D35&gt;=0.4,2,1))</f>
        <v>3</v>
      </c>
      <c r="E36" s="70" t="n">
        <f aca="false">IF(E35&gt;=0.6,3,IF(E35&gt;=0.4,2,1))</f>
        <v>3</v>
      </c>
      <c r="F36" s="70" t="n">
        <f aca="false">IF(F35&gt;=0.6,3,IF(F35&gt;=0.4,2,1))</f>
        <v>3</v>
      </c>
      <c r="G36" s="70" t="n">
        <f aca="false">IF(G35&gt;=0.6,3,IF(G35&gt;=0.4,2,1))</f>
        <v>3</v>
      </c>
      <c r="H36" s="70" t="n">
        <f aca="false">IF(H35&gt;=0.6,3,IF(H35&gt;=0.4,2,1))</f>
        <v>3</v>
      </c>
    </row>
  </sheetData>
  <mergeCells count="27">
    <mergeCell ref="A1:AG1"/>
    <mergeCell ref="A2:AG2"/>
    <mergeCell ref="A4:A5"/>
    <mergeCell ref="B4:F4"/>
    <mergeCell ref="G4:K4"/>
    <mergeCell ref="L4:P4"/>
    <mergeCell ref="Q4:U4"/>
    <mergeCell ref="V4:Z4"/>
    <mergeCell ref="AA4:AA5"/>
    <mergeCell ref="AB4:AB5"/>
    <mergeCell ref="AC4:AC5"/>
    <mergeCell ref="A6:A7"/>
    <mergeCell ref="B6:B7"/>
    <mergeCell ref="C6:C7"/>
    <mergeCell ref="D6:H6"/>
    <mergeCell ref="I6:M6"/>
    <mergeCell ref="N6:R6"/>
    <mergeCell ref="S6:W6"/>
    <mergeCell ref="X6:AB6"/>
    <mergeCell ref="A29:C29"/>
    <mergeCell ref="A30:C30"/>
    <mergeCell ref="A31:C31"/>
    <mergeCell ref="A32:C32"/>
    <mergeCell ref="A33:C33"/>
    <mergeCell ref="A34:C34"/>
    <mergeCell ref="A35:C35"/>
    <mergeCell ref="A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31" min="4" style="0" width="9"/>
  </cols>
  <sheetData>
    <row r="1" customFormat="false" ht="34.5" hidden="false" customHeight="true" outlineLevel="0" collapsed="false">
      <c r="A1" s="30" t="s">
        <v>99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 customFormat="false" ht="18" hidden="false" customHeight="true" outlineLevel="0" collapsed="false">
      <c r="A2" s="31" t="s">
        <v>34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</row>
    <row r="4" customFormat="false" ht="24.75" hidden="false" customHeight="true" outlineLevel="0" collapsed="false">
      <c r="A4" s="32" t="s">
        <v>35</v>
      </c>
      <c r="B4" s="33" t="s">
        <v>36</v>
      </c>
      <c r="C4" s="33"/>
      <c r="D4" s="33"/>
      <c r="E4" s="33"/>
      <c r="F4" s="33"/>
      <c r="G4" s="34" t="s">
        <v>37</v>
      </c>
      <c r="H4" s="34"/>
      <c r="I4" s="34"/>
      <c r="J4" s="34"/>
      <c r="K4" s="34"/>
      <c r="L4" s="35" t="s">
        <v>38</v>
      </c>
      <c r="M4" s="35"/>
      <c r="N4" s="35"/>
      <c r="O4" s="35"/>
      <c r="P4" s="35"/>
      <c r="Q4" s="36" t="s">
        <v>39</v>
      </c>
      <c r="R4" s="36"/>
      <c r="S4" s="36"/>
      <c r="T4" s="36"/>
      <c r="U4" s="36"/>
      <c r="V4" s="37" t="s">
        <v>40</v>
      </c>
      <c r="W4" s="37"/>
      <c r="X4" s="37"/>
      <c r="Y4" s="37"/>
      <c r="Z4" s="37"/>
      <c r="AA4" s="38" t="s">
        <v>41</v>
      </c>
      <c r="AB4" s="39" t="s">
        <v>42</v>
      </c>
      <c r="AC4" s="40" t="s">
        <v>43</v>
      </c>
    </row>
    <row r="5" customFormat="false" ht="19.5" hidden="false" customHeight="true" outlineLevel="0" collapsed="false">
      <c r="A5" s="32"/>
      <c r="B5" s="41" t="n">
        <v>6</v>
      </c>
      <c r="C5" s="41" t="n">
        <v>6</v>
      </c>
      <c r="D5" s="41" t="n">
        <v>6</v>
      </c>
      <c r="E5" s="41" t="n">
        <v>6</v>
      </c>
      <c r="F5" s="41" t="n">
        <v>6</v>
      </c>
      <c r="G5" s="42" t="n">
        <v>6</v>
      </c>
      <c r="H5" s="42" t="n">
        <v>6</v>
      </c>
      <c r="I5" s="42" t="n">
        <v>6</v>
      </c>
      <c r="J5" s="42" t="n">
        <v>6</v>
      </c>
      <c r="K5" s="42" t="n">
        <v>6</v>
      </c>
      <c r="L5" s="4" t="n">
        <v>2</v>
      </c>
      <c r="M5" s="4" t="n">
        <v>2</v>
      </c>
      <c r="N5" s="4" t="n">
        <v>2</v>
      </c>
      <c r="O5" s="4" t="n">
        <v>2</v>
      </c>
      <c r="P5" s="4" t="n">
        <v>2</v>
      </c>
      <c r="Q5" s="6" t="n">
        <v>2</v>
      </c>
      <c r="R5" s="6" t="n">
        <v>2</v>
      </c>
      <c r="S5" s="6" t="n">
        <v>2</v>
      </c>
      <c r="T5" s="6" t="n">
        <v>2</v>
      </c>
      <c r="U5" s="6" t="n">
        <v>2</v>
      </c>
      <c r="V5" s="43" t="n">
        <v>20</v>
      </c>
      <c r="W5" s="43" t="n">
        <v>20</v>
      </c>
      <c r="X5" s="43" t="n">
        <v>20</v>
      </c>
      <c r="Y5" s="43" t="n">
        <v>20</v>
      </c>
      <c r="Z5" s="43" t="n">
        <v>20</v>
      </c>
      <c r="AA5" s="38"/>
      <c r="AB5" s="38"/>
      <c r="AC5" s="38"/>
    </row>
    <row r="6" customFormat="false" ht="21.75" hidden="false" customHeight="true" outlineLevel="0" collapsed="false">
      <c r="A6" s="44" t="s">
        <v>44</v>
      </c>
      <c r="B6" s="44" t="s">
        <v>45</v>
      </c>
      <c r="C6" s="44" t="s">
        <v>46</v>
      </c>
      <c r="D6" s="45" t="s">
        <v>47</v>
      </c>
      <c r="E6" s="45"/>
      <c r="F6" s="45"/>
      <c r="G6" s="45"/>
      <c r="H6" s="45"/>
      <c r="I6" s="46" t="s">
        <v>48</v>
      </c>
      <c r="J6" s="46"/>
      <c r="K6" s="46"/>
      <c r="L6" s="46"/>
      <c r="M6" s="46"/>
      <c r="N6" s="47" t="s">
        <v>38</v>
      </c>
      <c r="O6" s="47"/>
      <c r="P6" s="47"/>
      <c r="Q6" s="47"/>
      <c r="R6" s="47"/>
      <c r="S6" s="48" t="s">
        <v>39</v>
      </c>
      <c r="T6" s="48"/>
      <c r="U6" s="48"/>
      <c r="V6" s="48"/>
      <c r="W6" s="48"/>
      <c r="X6" s="49" t="s">
        <v>49</v>
      </c>
      <c r="Y6" s="49"/>
      <c r="Z6" s="49"/>
      <c r="AA6" s="49"/>
      <c r="AB6" s="49"/>
    </row>
    <row r="7" customFormat="false" ht="21.75" hidden="false" customHeight="true" outlineLevel="0" collapsed="false">
      <c r="A7" s="44"/>
      <c r="B7" s="44"/>
      <c r="C7" s="44"/>
      <c r="D7" s="50" t="s">
        <v>9</v>
      </c>
      <c r="E7" s="50" t="s">
        <v>10</v>
      </c>
      <c r="F7" s="50" t="s">
        <v>11</v>
      </c>
      <c r="G7" s="50" t="s">
        <v>12</v>
      </c>
      <c r="H7" s="50" t="s">
        <v>13</v>
      </c>
      <c r="I7" s="50" t="s">
        <v>9</v>
      </c>
      <c r="J7" s="50" t="s">
        <v>10</v>
      </c>
      <c r="K7" s="50" t="s">
        <v>11</v>
      </c>
      <c r="L7" s="50" t="s">
        <v>12</v>
      </c>
      <c r="M7" s="50" t="s">
        <v>13</v>
      </c>
      <c r="N7" s="50" t="s">
        <v>9</v>
      </c>
      <c r="O7" s="50" t="s">
        <v>10</v>
      </c>
      <c r="P7" s="50" t="s">
        <v>11</v>
      </c>
      <c r="Q7" s="50" t="s">
        <v>12</v>
      </c>
      <c r="R7" s="50" t="s">
        <v>13</v>
      </c>
      <c r="S7" s="50" t="s">
        <v>9</v>
      </c>
      <c r="T7" s="50" t="s">
        <v>10</v>
      </c>
      <c r="U7" s="50" t="s">
        <v>11</v>
      </c>
      <c r="V7" s="50" t="s">
        <v>12</v>
      </c>
      <c r="W7" s="50" t="s">
        <v>13</v>
      </c>
      <c r="X7" s="50" t="s">
        <v>9</v>
      </c>
      <c r="Y7" s="50" t="s">
        <v>10</v>
      </c>
      <c r="Z7" s="50" t="s">
        <v>11</v>
      </c>
      <c r="AA7" s="50" t="s">
        <v>12</v>
      </c>
      <c r="AB7" s="50" t="s">
        <v>13</v>
      </c>
      <c r="AC7" s="51" t="s">
        <v>41</v>
      </c>
      <c r="AD7" s="52" t="s">
        <v>42</v>
      </c>
      <c r="AE7" s="7" t="s">
        <v>43</v>
      </c>
    </row>
    <row r="8" customFormat="false" ht="18" hidden="false" customHeight="true" outlineLevel="0" collapsed="false">
      <c r="A8" s="53" t="n">
        <v>1</v>
      </c>
      <c r="B8" s="53" t="s">
        <v>50</v>
      </c>
      <c r="C8" s="54" t="s">
        <v>51</v>
      </c>
      <c r="D8" s="55" t="n">
        <v>3.5</v>
      </c>
      <c r="E8" s="55" t="n">
        <v>5</v>
      </c>
      <c r="F8" s="55" t="n">
        <v>3.1</v>
      </c>
      <c r="G8" s="55" t="n">
        <v>3</v>
      </c>
      <c r="H8" s="55" t="n">
        <v>5.4</v>
      </c>
      <c r="I8" s="55" t="n">
        <v>3.7</v>
      </c>
      <c r="J8" s="55" t="n">
        <v>4</v>
      </c>
      <c r="K8" s="55" t="n">
        <v>3.5</v>
      </c>
      <c r="L8" s="55" t="n">
        <v>3.2</v>
      </c>
      <c r="M8" s="55" t="n">
        <v>5.2</v>
      </c>
      <c r="N8" s="55" t="n">
        <v>1.5</v>
      </c>
      <c r="O8" s="55" t="n">
        <v>1.7</v>
      </c>
      <c r="P8" s="55" t="n">
        <v>1.5</v>
      </c>
      <c r="Q8" s="55" t="n">
        <v>1.8</v>
      </c>
      <c r="R8" s="55" t="n">
        <v>1.5</v>
      </c>
      <c r="S8" s="55" t="n">
        <v>1.1</v>
      </c>
      <c r="T8" s="55" t="n">
        <v>1.5</v>
      </c>
      <c r="U8" s="55" t="n">
        <v>1.9</v>
      </c>
      <c r="V8" s="55" t="n">
        <v>1</v>
      </c>
      <c r="W8" s="55" t="n">
        <v>1.8</v>
      </c>
      <c r="X8" s="55" t="n">
        <v>18.7</v>
      </c>
      <c r="Y8" s="55" t="n">
        <v>15.2</v>
      </c>
      <c r="Z8" s="55" t="n">
        <v>14.6</v>
      </c>
      <c r="AA8" s="55" t="n">
        <v>19.6</v>
      </c>
      <c r="AB8" s="55" t="n">
        <v>10.6</v>
      </c>
      <c r="AC8" s="56" t="n">
        <f aca="false">((D8+E8+F8+G8+H8+I8+J8+K8+L8+M8)/2)+(N8+O8+P8+Q8+R8)+(S8+T8+U8+V8+W8)</f>
        <v>35.1</v>
      </c>
      <c r="AD8" s="57" t="n">
        <f aca="false">(X8+Y8+Z8+AA8+AB8)*50/100</f>
        <v>39.35</v>
      </c>
      <c r="AE8" s="58" t="n">
        <f aca="false">AC8+AD8</f>
        <v>74.45</v>
      </c>
    </row>
    <row r="9" customFormat="false" ht="18" hidden="false" customHeight="true" outlineLevel="0" collapsed="false">
      <c r="A9" s="59" t="n">
        <v>2</v>
      </c>
      <c r="B9" s="59" t="s">
        <v>52</v>
      </c>
      <c r="C9" s="60" t="s">
        <v>53</v>
      </c>
      <c r="D9" s="61" t="n">
        <v>4.4</v>
      </c>
      <c r="E9" s="61" t="n">
        <v>4.2</v>
      </c>
      <c r="F9" s="61" t="n">
        <v>5.1</v>
      </c>
      <c r="G9" s="61" t="n">
        <v>4.5</v>
      </c>
      <c r="H9" s="61" t="n">
        <v>5.7</v>
      </c>
      <c r="I9" s="61" t="n">
        <v>3.2</v>
      </c>
      <c r="J9" s="61" t="n">
        <v>3.2</v>
      </c>
      <c r="K9" s="61" t="n">
        <v>4.8</v>
      </c>
      <c r="L9" s="61" t="n">
        <v>3.2</v>
      </c>
      <c r="M9" s="61" t="n">
        <v>3.8</v>
      </c>
      <c r="N9" s="61" t="n">
        <v>1.6</v>
      </c>
      <c r="O9" s="61" t="n">
        <v>1.5</v>
      </c>
      <c r="P9" s="61" t="n">
        <v>1.3</v>
      </c>
      <c r="Q9" s="61" t="n">
        <v>2</v>
      </c>
      <c r="R9" s="61" t="n">
        <v>1.5</v>
      </c>
      <c r="S9" s="61" t="n">
        <v>1.5</v>
      </c>
      <c r="T9" s="61" t="n">
        <v>1.6</v>
      </c>
      <c r="U9" s="61" t="n">
        <v>1.1</v>
      </c>
      <c r="V9" s="61" t="n">
        <v>1.7</v>
      </c>
      <c r="W9" s="61" t="n">
        <v>1.9</v>
      </c>
      <c r="X9" s="61" t="n">
        <v>16.5</v>
      </c>
      <c r="Y9" s="61" t="n">
        <v>17.7</v>
      </c>
      <c r="Z9" s="61" t="n">
        <v>17.2</v>
      </c>
      <c r="AA9" s="61" t="n">
        <v>12.2</v>
      </c>
      <c r="AB9" s="61" t="n">
        <v>14.5</v>
      </c>
      <c r="AC9" s="56" t="n">
        <f aca="false">((D9+E9+F9+G9+H9+I9+J9+K9+L9+M9)/2)+(N9+O9+P9+Q9+R9)+(S9+T9+U9+V9+W9)</f>
        <v>36.75</v>
      </c>
      <c r="AD9" s="57" t="n">
        <f aca="false">(X9+Y9+Z9+AA9+AB9)*50/100</f>
        <v>39.05</v>
      </c>
      <c r="AE9" s="58" t="n">
        <f aca="false">AC9+AD9</f>
        <v>75.8</v>
      </c>
    </row>
    <row r="10" customFormat="false" ht="18" hidden="false" customHeight="true" outlineLevel="0" collapsed="false">
      <c r="A10" s="53" t="n">
        <v>3</v>
      </c>
      <c r="B10" s="53" t="s">
        <v>54</v>
      </c>
      <c r="C10" s="54" t="s">
        <v>55</v>
      </c>
      <c r="D10" s="55" t="n">
        <v>3.7</v>
      </c>
      <c r="E10" s="55" t="n">
        <v>4</v>
      </c>
      <c r="F10" s="55" t="n">
        <v>4.4</v>
      </c>
      <c r="G10" s="55" t="n">
        <v>4.2</v>
      </c>
      <c r="H10" s="55" t="n">
        <v>3.3</v>
      </c>
      <c r="I10" s="55" t="n">
        <v>4.3</v>
      </c>
      <c r="J10" s="55" t="n">
        <v>5</v>
      </c>
      <c r="K10" s="55" t="n">
        <v>4.1</v>
      </c>
      <c r="L10" s="55" t="n">
        <v>3.5</v>
      </c>
      <c r="M10" s="55" t="n">
        <v>5.8</v>
      </c>
      <c r="N10" s="55" t="n">
        <v>1.1</v>
      </c>
      <c r="O10" s="55" t="n">
        <v>1.8</v>
      </c>
      <c r="P10" s="55" t="n">
        <v>1.1</v>
      </c>
      <c r="Q10" s="55" t="n">
        <v>1.1</v>
      </c>
      <c r="R10" s="55" t="n">
        <v>1.7</v>
      </c>
      <c r="S10" s="55" t="n">
        <v>1.8</v>
      </c>
      <c r="T10" s="55" t="n">
        <v>1.6</v>
      </c>
      <c r="U10" s="55" t="n">
        <v>1.6</v>
      </c>
      <c r="V10" s="55" t="n">
        <v>1.6</v>
      </c>
      <c r="W10" s="55" t="n">
        <v>1.3</v>
      </c>
      <c r="X10" s="55" t="n">
        <v>11.2</v>
      </c>
      <c r="Y10" s="55" t="n">
        <v>13.5</v>
      </c>
      <c r="Z10" s="55" t="n">
        <v>16.7</v>
      </c>
      <c r="AA10" s="55" t="n">
        <v>17.5</v>
      </c>
      <c r="AB10" s="55" t="n">
        <v>18.7</v>
      </c>
      <c r="AC10" s="56" t="n">
        <f aca="false">((D10+E10+F10+G10+H10+I10+J10+K10+L10+M10)/2)+(N10+O10+P10+Q10+R10)+(S10+T10+U10+V10+W10)</f>
        <v>35.85</v>
      </c>
      <c r="AD10" s="57" t="n">
        <f aca="false">(X10+Y10+Z10+AA10+AB10)*50/100</f>
        <v>38.8</v>
      </c>
      <c r="AE10" s="58" t="n">
        <f aca="false">AC10+AD10</f>
        <v>74.65</v>
      </c>
    </row>
    <row r="11" customFormat="false" ht="18" hidden="false" customHeight="true" outlineLevel="0" collapsed="false">
      <c r="A11" s="59" t="n">
        <v>4</v>
      </c>
      <c r="B11" s="59" t="s">
        <v>56</v>
      </c>
      <c r="C11" s="60" t="s">
        <v>57</v>
      </c>
      <c r="D11" s="61" t="n">
        <v>5.2</v>
      </c>
      <c r="E11" s="61" t="n">
        <v>5.9</v>
      </c>
      <c r="F11" s="61" t="n">
        <v>4.8</v>
      </c>
      <c r="G11" s="61" t="n">
        <v>4.1</v>
      </c>
      <c r="H11" s="61" t="n">
        <v>4.7</v>
      </c>
      <c r="I11" s="61" t="n">
        <v>3.6</v>
      </c>
      <c r="J11" s="61" t="n">
        <v>5</v>
      </c>
      <c r="K11" s="61" t="n">
        <v>3.7</v>
      </c>
      <c r="L11" s="61" t="n">
        <v>3.3</v>
      </c>
      <c r="M11" s="61" t="n">
        <v>5.5</v>
      </c>
      <c r="N11" s="61" t="n">
        <v>1.4</v>
      </c>
      <c r="O11" s="61" t="n">
        <v>1.8</v>
      </c>
      <c r="P11" s="61" t="n">
        <v>1.6</v>
      </c>
      <c r="Q11" s="61" t="n">
        <v>1.8</v>
      </c>
      <c r="R11" s="61" t="n">
        <v>1.8</v>
      </c>
      <c r="S11" s="61" t="n">
        <v>2</v>
      </c>
      <c r="T11" s="61" t="n">
        <v>1.8</v>
      </c>
      <c r="U11" s="61" t="n">
        <v>1.6</v>
      </c>
      <c r="V11" s="61" t="n">
        <v>1.6</v>
      </c>
      <c r="W11" s="61" t="n">
        <v>1</v>
      </c>
      <c r="X11" s="61" t="n">
        <v>19.3</v>
      </c>
      <c r="Y11" s="61" t="n">
        <v>18.3</v>
      </c>
      <c r="Z11" s="61" t="n">
        <v>12.7</v>
      </c>
      <c r="AA11" s="61" t="n">
        <v>11.8</v>
      </c>
      <c r="AB11" s="61" t="n">
        <v>17</v>
      </c>
      <c r="AC11" s="56" t="n">
        <f aca="false">((D11+E11+F11+G11+H11+I11+J11+K11+L11+M11)/2)+(N11+O11+P11+Q11+R11)+(S11+T11+U11+V11+W11)</f>
        <v>39.3</v>
      </c>
      <c r="AD11" s="57" t="n">
        <f aca="false">(X11+Y11+Z11+AA11+AB11)*50/100</f>
        <v>39.55</v>
      </c>
      <c r="AE11" s="58" t="n">
        <f aca="false">AC11+AD11</f>
        <v>78.85</v>
      </c>
    </row>
    <row r="12" customFormat="false" ht="18" hidden="false" customHeight="true" outlineLevel="0" collapsed="false">
      <c r="A12" s="53" t="n">
        <v>5</v>
      </c>
      <c r="B12" s="53" t="s">
        <v>58</v>
      </c>
      <c r="C12" s="54" t="s">
        <v>59</v>
      </c>
      <c r="D12" s="55" t="n">
        <v>3.9</v>
      </c>
      <c r="E12" s="55" t="n">
        <v>4</v>
      </c>
      <c r="F12" s="55" t="n">
        <v>3</v>
      </c>
      <c r="G12" s="55" t="n">
        <v>5.6</v>
      </c>
      <c r="H12" s="55" t="n">
        <v>4.7</v>
      </c>
      <c r="I12" s="55" t="n">
        <v>4.2</v>
      </c>
      <c r="J12" s="55" t="n">
        <v>3.4</v>
      </c>
      <c r="K12" s="55" t="n">
        <v>4.9</v>
      </c>
      <c r="L12" s="55" t="n">
        <v>3.1</v>
      </c>
      <c r="M12" s="55" t="n">
        <v>5.2</v>
      </c>
      <c r="N12" s="55" t="n">
        <v>1.2</v>
      </c>
      <c r="O12" s="55" t="n">
        <v>1.4</v>
      </c>
      <c r="P12" s="55" t="n">
        <v>1.3</v>
      </c>
      <c r="Q12" s="55" t="n">
        <v>1.4</v>
      </c>
      <c r="R12" s="55" t="n">
        <v>1.7</v>
      </c>
      <c r="S12" s="55" t="n">
        <v>1.8</v>
      </c>
      <c r="T12" s="55" t="n">
        <v>1.6</v>
      </c>
      <c r="U12" s="55" t="n">
        <v>1.1</v>
      </c>
      <c r="V12" s="55" t="n">
        <v>1.1</v>
      </c>
      <c r="W12" s="55" t="n">
        <v>1.2</v>
      </c>
      <c r="X12" s="55" t="n">
        <v>16.2</v>
      </c>
      <c r="Y12" s="55" t="n">
        <v>16.7</v>
      </c>
      <c r="Z12" s="55" t="n">
        <v>12.7</v>
      </c>
      <c r="AA12" s="55" t="n">
        <v>16.6</v>
      </c>
      <c r="AB12" s="55" t="n">
        <v>14.9</v>
      </c>
      <c r="AC12" s="56" t="n">
        <f aca="false">((D12+E12+F12+G12+H12+I12+J12+K12+L12+M12)/2)+(N12+O12+P12+Q12+R12)+(S12+T12+U12+V12+W12)</f>
        <v>34.8</v>
      </c>
      <c r="AD12" s="57" t="n">
        <f aca="false">(X12+Y12+Z12+AA12+AB12)*50/100</f>
        <v>38.55</v>
      </c>
      <c r="AE12" s="58" t="n">
        <f aca="false">AC12+AD12</f>
        <v>73.35</v>
      </c>
    </row>
    <row r="13" customFormat="false" ht="18" hidden="false" customHeight="true" outlineLevel="0" collapsed="false">
      <c r="A13" s="59" t="n">
        <v>6</v>
      </c>
      <c r="B13" s="59" t="s">
        <v>60</v>
      </c>
      <c r="C13" s="60" t="s">
        <v>61</v>
      </c>
      <c r="D13" s="61" t="n">
        <v>4.3</v>
      </c>
      <c r="E13" s="61" t="n">
        <v>3.8</v>
      </c>
      <c r="F13" s="61" t="n">
        <v>5.3</v>
      </c>
      <c r="G13" s="61" t="n">
        <v>3.3</v>
      </c>
      <c r="H13" s="61" t="n">
        <v>4.3</v>
      </c>
      <c r="I13" s="61" t="n">
        <v>3.8</v>
      </c>
      <c r="J13" s="61" t="n">
        <v>5</v>
      </c>
      <c r="K13" s="61" t="n">
        <v>4.5</v>
      </c>
      <c r="L13" s="61" t="n">
        <v>5</v>
      </c>
      <c r="M13" s="61" t="n">
        <v>3.1</v>
      </c>
      <c r="N13" s="61" t="n">
        <v>1.4</v>
      </c>
      <c r="O13" s="61" t="n">
        <v>1.6</v>
      </c>
      <c r="P13" s="61" t="n">
        <v>1</v>
      </c>
      <c r="Q13" s="61" t="n">
        <v>1.3</v>
      </c>
      <c r="R13" s="61" t="n">
        <v>1.2</v>
      </c>
      <c r="S13" s="61" t="n">
        <v>1.1</v>
      </c>
      <c r="T13" s="61" t="n">
        <v>1.3</v>
      </c>
      <c r="U13" s="61" t="n">
        <v>1.3</v>
      </c>
      <c r="V13" s="61" t="n">
        <v>1</v>
      </c>
      <c r="W13" s="61" t="n">
        <v>1.7</v>
      </c>
      <c r="X13" s="61" t="n">
        <v>11.8</v>
      </c>
      <c r="Y13" s="61" t="n">
        <v>13.8</v>
      </c>
      <c r="Z13" s="61" t="n">
        <v>17</v>
      </c>
      <c r="AA13" s="61" t="n">
        <v>15</v>
      </c>
      <c r="AB13" s="61" t="n">
        <v>18.3</v>
      </c>
      <c r="AC13" s="56" t="n">
        <f aca="false">((D13+E13+F13+G13+H13+I13+J13+K13+L13+M13)/2)+(N13+O13+P13+Q13+R13)+(S13+T13+U13+V13+W13)</f>
        <v>34.1</v>
      </c>
      <c r="AD13" s="57" t="n">
        <f aca="false">(X13+Y13+Z13+AA13+AB13)*50/100</f>
        <v>37.95</v>
      </c>
      <c r="AE13" s="58" t="n">
        <f aca="false">AC13+AD13</f>
        <v>72.05</v>
      </c>
    </row>
    <row r="14" customFormat="false" ht="18" hidden="false" customHeight="true" outlineLevel="0" collapsed="false">
      <c r="A14" s="53" t="n">
        <v>7</v>
      </c>
      <c r="B14" s="53" t="s">
        <v>62</v>
      </c>
      <c r="C14" s="54" t="s">
        <v>63</v>
      </c>
      <c r="D14" s="55" t="n">
        <v>5.4</v>
      </c>
      <c r="E14" s="55" t="n">
        <v>3.2</v>
      </c>
      <c r="F14" s="55" t="n">
        <v>5.6</v>
      </c>
      <c r="G14" s="55" t="n">
        <v>3.1</v>
      </c>
      <c r="H14" s="55" t="n">
        <v>3.1</v>
      </c>
      <c r="I14" s="55" t="n">
        <v>5.8</v>
      </c>
      <c r="J14" s="55" t="n">
        <v>5.6</v>
      </c>
      <c r="K14" s="55" t="n">
        <v>4.7</v>
      </c>
      <c r="L14" s="55" t="n">
        <v>4.7</v>
      </c>
      <c r="M14" s="55" t="n">
        <v>5.1</v>
      </c>
      <c r="N14" s="55" t="n">
        <v>1.4</v>
      </c>
      <c r="O14" s="55" t="n">
        <v>1.1</v>
      </c>
      <c r="P14" s="55" t="n">
        <v>1</v>
      </c>
      <c r="Q14" s="55" t="n">
        <v>1.3</v>
      </c>
      <c r="R14" s="55" t="n">
        <v>1.8</v>
      </c>
      <c r="S14" s="55" t="n">
        <v>1.6</v>
      </c>
      <c r="T14" s="55" t="n">
        <v>1.8</v>
      </c>
      <c r="U14" s="55" t="n">
        <v>1.9</v>
      </c>
      <c r="V14" s="55" t="n">
        <v>1.1</v>
      </c>
      <c r="W14" s="55" t="n">
        <v>1.8</v>
      </c>
      <c r="X14" s="55" t="n">
        <v>12.4</v>
      </c>
      <c r="Y14" s="55" t="n">
        <v>15.9</v>
      </c>
      <c r="Z14" s="55" t="n">
        <v>15.2</v>
      </c>
      <c r="AA14" s="55" t="n">
        <v>14</v>
      </c>
      <c r="AB14" s="55" t="n">
        <v>13.1</v>
      </c>
      <c r="AC14" s="56" t="n">
        <f aca="false">((D14+E14+F14+G14+H14+I14+J14+K14+L14+M14)/2)+(N14+O14+P14+Q14+R14)+(S14+T14+U14+V14+W14)</f>
        <v>37.95</v>
      </c>
      <c r="AD14" s="57" t="n">
        <f aca="false">(X14+Y14+Z14+AA14+AB14)*50/100</f>
        <v>35.3</v>
      </c>
      <c r="AE14" s="58" t="n">
        <f aca="false">AC14+AD14</f>
        <v>73.25</v>
      </c>
    </row>
    <row r="15" customFormat="false" ht="18" hidden="false" customHeight="true" outlineLevel="0" collapsed="false">
      <c r="A15" s="59" t="n">
        <v>8</v>
      </c>
      <c r="B15" s="59" t="s">
        <v>64</v>
      </c>
      <c r="C15" s="60" t="s">
        <v>65</v>
      </c>
      <c r="D15" s="61" t="n">
        <v>4</v>
      </c>
      <c r="E15" s="61" t="n">
        <v>4</v>
      </c>
      <c r="F15" s="61" t="n">
        <v>3.5</v>
      </c>
      <c r="G15" s="61" t="n">
        <v>4.5</v>
      </c>
      <c r="H15" s="61" t="n">
        <v>3.3</v>
      </c>
      <c r="I15" s="61" t="n">
        <v>4.5</v>
      </c>
      <c r="J15" s="61" t="n">
        <v>5.7</v>
      </c>
      <c r="K15" s="61" t="n">
        <v>4</v>
      </c>
      <c r="L15" s="61" t="n">
        <v>5.2</v>
      </c>
      <c r="M15" s="61" t="n">
        <v>5.5</v>
      </c>
      <c r="N15" s="61" t="n">
        <v>1.8</v>
      </c>
      <c r="O15" s="61" t="n">
        <v>1.2</v>
      </c>
      <c r="P15" s="61" t="n">
        <v>1.1</v>
      </c>
      <c r="Q15" s="61" t="n">
        <v>1.2</v>
      </c>
      <c r="R15" s="61" t="n">
        <v>1.6</v>
      </c>
      <c r="S15" s="61" t="n">
        <v>1.8</v>
      </c>
      <c r="T15" s="61" t="n">
        <v>1.7</v>
      </c>
      <c r="U15" s="61" t="n">
        <v>1.2</v>
      </c>
      <c r="V15" s="61" t="n">
        <v>1.8</v>
      </c>
      <c r="W15" s="61" t="n">
        <v>1.5</v>
      </c>
      <c r="X15" s="61" t="n">
        <v>17.5</v>
      </c>
      <c r="Y15" s="61" t="n">
        <v>17.6</v>
      </c>
      <c r="Z15" s="61" t="n">
        <v>14.5</v>
      </c>
      <c r="AA15" s="61" t="n">
        <v>19.2</v>
      </c>
      <c r="AB15" s="61" t="n">
        <v>15.6</v>
      </c>
      <c r="AC15" s="56" t="n">
        <f aca="false">((D15+E15+F15+G15+H15+I15+J15+K15+L15+M15)/2)+(N15+O15+P15+Q15+R15)+(S15+T15+U15+V15+W15)</f>
        <v>37</v>
      </c>
      <c r="AD15" s="57" t="n">
        <f aca="false">(X15+Y15+Z15+AA15+AB15)*50/100</f>
        <v>42.2</v>
      </c>
      <c r="AE15" s="58" t="n">
        <f aca="false">AC15+AD15</f>
        <v>79.2</v>
      </c>
    </row>
    <row r="16" customFormat="false" ht="18" hidden="false" customHeight="true" outlineLevel="0" collapsed="false">
      <c r="A16" s="53" t="n">
        <v>9</v>
      </c>
      <c r="B16" s="53" t="s">
        <v>66</v>
      </c>
      <c r="C16" s="54" t="s">
        <v>67</v>
      </c>
      <c r="D16" s="55" t="n">
        <v>4.9</v>
      </c>
      <c r="E16" s="55" t="n">
        <v>4.9</v>
      </c>
      <c r="F16" s="55" t="n">
        <v>5.6</v>
      </c>
      <c r="G16" s="55" t="n">
        <v>4.9</v>
      </c>
      <c r="H16" s="55" t="n">
        <v>3.5</v>
      </c>
      <c r="I16" s="55" t="n">
        <v>3.2</v>
      </c>
      <c r="J16" s="55" t="n">
        <v>4.3</v>
      </c>
      <c r="K16" s="55" t="n">
        <v>3.9</v>
      </c>
      <c r="L16" s="55" t="n">
        <v>3.8</v>
      </c>
      <c r="M16" s="55" t="n">
        <v>3.2</v>
      </c>
      <c r="N16" s="55" t="n">
        <v>1.5</v>
      </c>
      <c r="O16" s="55" t="n">
        <v>1.3</v>
      </c>
      <c r="P16" s="55" t="n">
        <v>1.5</v>
      </c>
      <c r="Q16" s="55" t="n">
        <v>1.1</v>
      </c>
      <c r="R16" s="55" t="n">
        <v>1.8</v>
      </c>
      <c r="S16" s="55" t="n">
        <v>1.1</v>
      </c>
      <c r="T16" s="55" t="n">
        <v>1.9</v>
      </c>
      <c r="U16" s="55" t="n">
        <v>1.9</v>
      </c>
      <c r="V16" s="55" t="n">
        <v>1.6</v>
      </c>
      <c r="W16" s="55" t="n">
        <v>1.5</v>
      </c>
      <c r="X16" s="55" t="n">
        <v>14.6</v>
      </c>
      <c r="Y16" s="55" t="n">
        <v>15.5</v>
      </c>
      <c r="Z16" s="55" t="n">
        <v>17.9</v>
      </c>
      <c r="AA16" s="55" t="n">
        <v>19</v>
      </c>
      <c r="AB16" s="55" t="n">
        <v>14.5</v>
      </c>
      <c r="AC16" s="56" t="n">
        <f aca="false">((D16+E16+F16+G16+H16+I16+J16+K16+L16+M16)/2)+(N16+O16+P16+Q16+R16)+(S16+T16+U16+V16+W16)</f>
        <v>36.3</v>
      </c>
      <c r="AD16" s="57" t="n">
        <f aca="false">(X16+Y16+Z16+AA16+AB16)*50/100</f>
        <v>40.75</v>
      </c>
      <c r="AE16" s="58" t="n">
        <f aca="false">AC16+AD16</f>
        <v>77.05</v>
      </c>
    </row>
    <row r="17" customFormat="false" ht="18" hidden="false" customHeight="true" outlineLevel="0" collapsed="false">
      <c r="A17" s="59" t="n">
        <v>10</v>
      </c>
      <c r="B17" s="59" t="s">
        <v>68</v>
      </c>
      <c r="C17" s="60" t="s">
        <v>69</v>
      </c>
      <c r="D17" s="61" t="n">
        <v>5.4</v>
      </c>
      <c r="E17" s="61" t="n">
        <v>5</v>
      </c>
      <c r="F17" s="61" t="n">
        <v>4</v>
      </c>
      <c r="G17" s="61" t="n">
        <v>4.4</v>
      </c>
      <c r="H17" s="61" t="n">
        <v>3.5</v>
      </c>
      <c r="I17" s="61" t="n">
        <v>3.2</v>
      </c>
      <c r="J17" s="61" t="n">
        <v>3.3</v>
      </c>
      <c r="K17" s="61" t="n">
        <v>5.7</v>
      </c>
      <c r="L17" s="61" t="n">
        <v>4</v>
      </c>
      <c r="M17" s="61" t="n">
        <v>5.1</v>
      </c>
      <c r="N17" s="61" t="n">
        <v>1.5</v>
      </c>
      <c r="O17" s="61" t="n">
        <v>1.2</v>
      </c>
      <c r="P17" s="61" t="n">
        <v>1.2</v>
      </c>
      <c r="Q17" s="61" t="n">
        <v>1.4</v>
      </c>
      <c r="R17" s="61" t="n">
        <v>1.4</v>
      </c>
      <c r="S17" s="61" t="n">
        <v>1.5</v>
      </c>
      <c r="T17" s="61" t="n">
        <v>1.2</v>
      </c>
      <c r="U17" s="61" t="n">
        <v>1.4</v>
      </c>
      <c r="V17" s="61" t="n">
        <v>1.3</v>
      </c>
      <c r="W17" s="61" t="n">
        <v>1.4</v>
      </c>
      <c r="X17" s="61" t="n">
        <v>13.4</v>
      </c>
      <c r="Y17" s="61" t="n">
        <v>16</v>
      </c>
      <c r="Z17" s="61" t="n">
        <v>17.9</v>
      </c>
      <c r="AA17" s="61" t="n">
        <v>16.5</v>
      </c>
      <c r="AB17" s="61" t="n">
        <v>10.7</v>
      </c>
      <c r="AC17" s="56" t="n">
        <f aca="false">((D17+E17+F17+G17+H17+I17+J17+K17+L17+M17)/2)+(N17+O17+P17+Q17+R17)+(S17+T17+U17+V17+W17)</f>
        <v>35.3</v>
      </c>
      <c r="AD17" s="57" t="n">
        <f aca="false">(X17+Y17+Z17+AA17+AB17)*50/100</f>
        <v>37.25</v>
      </c>
      <c r="AE17" s="58" t="n">
        <f aca="false">AC17+AD17</f>
        <v>72.55</v>
      </c>
    </row>
    <row r="18" customFormat="false" ht="18" hidden="false" customHeight="true" outlineLevel="0" collapsed="false">
      <c r="A18" s="53" t="n">
        <v>11</v>
      </c>
      <c r="B18" s="53" t="s">
        <v>70</v>
      </c>
      <c r="C18" s="54" t="s">
        <v>71</v>
      </c>
      <c r="D18" s="55" t="n">
        <v>3.3</v>
      </c>
      <c r="E18" s="55" t="n">
        <v>5</v>
      </c>
      <c r="F18" s="55" t="n">
        <v>3.9</v>
      </c>
      <c r="G18" s="55" t="n">
        <v>5.2</v>
      </c>
      <c r="H18" s="55" t="n">
        <v>5</v>
      </c>
      <c r="I18" s="55" t="n">
        <v>5.7</v>
      </c>
      <c r="J18" s="55" t="n">
        <v>5.6</v>
      </c>
      <c r="K18" s="55" t="n">
        <v>4</v>
      </c>
      <c r="L18" s="55" t="n">
        <v>4.7</v>
      </c>
      <c r="M18" s="55" t="n">
        <v>3.4</v>
      </c>
      <c r="N18" s="55" t="n">
        <v>1.3</v>
      </c>
      <c r="O18" s="55" t="n">
        <v>2</v>
      </c>
      <c r="P18" s="55" t="n">
        <v>1.7</v>
      </c>
      <c r="Q18" s="55" t="n">
        <v>1.4</v>
      </c>
      <c r="R18" s="55" t="n">
        <v>1.6</v>
      </c>
      <c r="S18" s="55" t="n">
        <v>1.9</v>
      </c>
      <c r="T18" s="55" t="n">
        <v>1.3</v>
      </c>
      <c r="U18" s="55" t="n">
        <v>1.4</v>
      </c>
      <c r="V18" s="55" t="n">
        <v>1.8</v>
      </c>
      <c r="W18" s="55" t="n">
        <v>1.8</v>
      </c>
      <c r="X18" s="55" t="n">
        <v>16.7</v>
      </c>
      <c r="Y18" s="55" t="n">
        <v>18.3</v>
      </c>
      <c r="Z18" s="55" t="n">
        <v>17.4</v>
      </c>
      <c r="AA18" s="55" t="n">
        <v>16.9</v>
      </c>
      <c r="AB18" s="55" t="n">
        <v>15.3</v>
      </c>
      <c r="AC18" s="56" t="n">
        <f aca="false">((D18+E18+F18+G18+H18+I18+J18+K18+L18+M18)/2)+(N18+O18+P18+Q18+R18)+(S18+T18+U18+V18+W18)</f>
        <v>39.1</v>
      </c>
      <c r="AD18" s="57" t="n">
        <f aca="false">(X18+Y18+Z18+AA18+AB18)*50/100</f>
        <v>42.3</v>
      </c>
      <c r="AE18" s="58" t="n">
        <f aca="false">AC18+AD18</f>
        <v>81.4</v>
      </c>
    </row>
    <row r="19" customFormat="false" ht="18" hidden="false" customHeight="true" outlineLevel="0" collapsed="false">
      <c r="A19" s="59" t="n">
        <v>12</v>
      </c>
      <c r="B19" s="59" t="s">
        <v>72</v>
      </c>
      <c r="C19" s="60" t="s">
        <v>73</v>
      </c>
      <c r="D19" s="61" t="n">
        <v>4.9</v>
      </c>
      <c r="E19" s="61" t="n">
        <v>4.3</v>
      </c>
      <c r="F19" s="61" t="n">
        <v>4.1</v>
      </c>
      <c r="G19" s="61" t="n">
        <v>4.1</v>
      </c>
      <c r="H19" s="61" t="n">
        <v>3.5</v>
      </c>
      <c r="I19" s="61" t="n">
        <v>3.6</v>
      </c>
      <c r="J19" s="61" t="n">
        <v>5.8</v>
      </c>
      <c r="K19" s="61" t="n">
        <v>4.5</v>
      </c>
      <c r="L19" s="61" t="n">
        <v>3.7</v>
      </c>
      <c r="M19" s="61" t="n">
        <v>3.4</v>
      </c>
      <c r="N19" s="61" t="n">
        <v>1.1</v>
      </c>
      <c r="O19" s="61" t="n">
        <v>1.8</v>
      </c>
      <c r="P19" s="61" t="n">
        <v>1.1</v>
      </c>
      <c r="Q19" s="61" t="n">
        <v>1.8</v>
      </c>
      <c r="R19" s="61" t="n">
        <v>1.8</v>
      </c>
      <c r="S19" s="61" t="n">
        <v>1.9</v>
      </c>
      <c r="T19" s="61" t="n">
        <v>1</v>
      </c>
      <c r="U19" s="61" t="n">
        <v>1.3</v>
      </c>
      <c r="V19" s="61" t="n">
        <v>1.8</v>
      </c>
      <c r="W19" s="61" t="n">
        <v>1.1</v>
      </c>
      <c r="X19" s="61" t="n">
        <v>13.8</v>
      </c>
      <c r="Y19" s="61" t="n">
        <v>11.6</v>
      </c>
      <c r="Z19" s="61" t="n">
        <v>18.3</v>
      </c>
      <c r="AA19" s="61" t="n">
        <v>17.7</v>
      </c>
      <c r="AB19" s="61" t="n">
        <v>18.1</v>
      </c>
      <c r="AC19" s="56" t="n">
        <f aca="false">((D19+E19+F19+G19+H19+I19+J19+K19+L19+M19)/2)+(N19+O19+P19+Q19+R19)+(S19+T19+U19+V19+W19)</f>
        <v>35.65</v>
      </c>
      <c r="AD19" s="57" t="n">
        <f aca="false">(X19+Y19+Z19+AA19+AB19)*50/100</f>
        <v>39.75</v>
      </c>
      <c r="AE19" s="58" t="n">
        <f aca="false">AC19+AD19</f>
        <v>75.4</v>
      </c>
    </row>
    <row r="20" customFormat="false" ht="18" hidden="false" customHeight="true" outlineLevel="0" collapsed="false">
      <c r="A20" s="53" t="n">
        <v>13</v>
      </c>
      <c r="B20" s="53" t="s">
        <v>74</v>
      </c>
      <c r="C20" s="54" t="s">
        <v>75</v>
      </c>
      <c r="D20" s="55" t="n">
        <v>3.5</v>
      </c>
      <c r="E20" s="55" t="n">
        <v>4.3</v>
      </c>
      <c r="F20" s="55" t="n">
        <v>4.2</v>
      </c>
      <c r="G20" s="55" t="n">
        <v>5</v>
      </c>
      <c r="H20" s="55" t="n">
        <v>3.7</v>
      </c>
      <c r="I20" s="55" t="n">
        <v>4.3</v>
      </c>
      <c r="J20" s="55" t="n">
        <v>3.9</v>
      </c>
      <c r="K20" s="55" t="n">
        <v>5.2</v>
      </c>
      <c r="L20" s="55" t="n">
        <v>4.3</v>
      </c>
      <c r="M20" s="55" t="n">
        <v>4.6</v>
      </c>
      <c r="N20" s="55" t="n">
        <v>1.3</v>
      </c>
      <c r="O20" s="55" t="n">
        <v>1.8</v>
      </c>
      <c r="P20" s="55" t="n">
        <v>1.5</v>
      </c>
      <c r="Q20" s="55" t="n">
        <v>1.8</v>
      </c>
      <c r="R20" s="55" t="n">
        <v>1.4</v>
      </c>
      <c r="S20" s="55" t="n">
        <v>1.9</v>
      </c>
      <c r="T20" s="55" t="n">
        <v>2</v>
      </c>
      <c r="U20" s="55" t="n">
        <v>1.5</v>
      </c>
      <c r="V20" s="55" t="n">
        <v>1.3</v>
      </c>
      <c r="W20" s="55" t="n">
        <v>1.4</v>
      </c>
      <c r="X20" s="55" t="n">
        <v>15.3</v>
      </c>
      <c r="Y20" s="55" t="n">
        <v>19.7</v>
      </c>
      <c r="Z20" s="55" t="n">
        <v>18.2</v>
      </c>
      <c r="AA20" s="55" t="n">
        <v>18</v>
      </c>
      <c r="AB20" s="55" t="n">
        <v>11.4</v>
      </c>
      <c r="AC20" s="56" t="n">
        <f aca="false">((D20+E20+F20+G20+H20+I20+J20+K20+L20+M20)/2)+(N20+O20+P20+Q20+R20)+(S20+T20+U20+V20+W20)</f>
        <v>37.4</v>
      </c>
      <c r="AD20" s="57" t="n">
        <f aca="false">(X20+Y20+Z20+AA20+AB20)*50/100</f>
        <v>41.3</v>
      </c>
      <c r="AE20" s="58" t="n">
        <f aca="false">AC20+AD20</f>
        <v>78.7</v>
      </c>
    </row>
    <row r="21" customFormat="false" ht="18" hidden="false" customHeight="true" outlineLevel="0" collapsed="false">
      <c r="A21" s="59" t="n">
        <v>14</v>
      </c>
      <c r="B21" s="59" t="s">
        <v>76</v>
      </c>
      <c r="C21" s="60" t="s">
        <v>77</v>
      </c>
      <c r="D21" s="61" t="n">
        <v>3.8</v>
      </c>
      <c r="E21" s="61" t="n">
        <v>4.9</v>
      </c>
      <c r="F21" s="61" t="n">
        <v>5.6</v>
      </c>
      <c r="G21" s="61" t="n">
        <v>4.7</v>
      </c>
      <c r="H21" s="61" t="n">
        <v>3.3</v>
      </c>
      <c r="I21" s="61" t="n">
        <v>5.5</v>
      </c>
      <c r="J21" s="61" t="n">
        <v>5.6</v>
      </c>
      <c r="K21" s="61" t="n">
        <v>3.9</v>
      </c>
      <c r="L21" s="61" t="n">
        <v>5.3</v>
      </c>
      <c r="M21" s="61" t="n">
        <v>3.8</v>
      </c>
      <c r="N21" s="61" t="n">
        <v>1.9</v>
      </c>
      <c r="O21" s="61" t="n">
        <v>1.1</v>
      </c>
      <c r="P21" s="61" t="n">
        <v>1.4</v>
      </c>
      <c r="Q21" s="61" t="n">
        <v>1.9</v>
      </c>
      <c r="R21" s="61" t="n">
        <v>1.2</v>
      </c>
      <c r="S21" s="61" t="n">
        <v>1.5</v>
      </c>
      <c r="T21" s="61" t="n">
        <v>1.3</v>
      </c>
      <c r="U21" s="61" t="n">
        <v>1</v>
      </c>
      <c r="V21" s="61" t="n">
        <v>1.1</v>
      </c>
      <c r="W21" s="61" t="n">
        <v>1.5</v>
      </c>
      <c r="X21" s="61" t="n">
        <v>12.4</v>
      </c>
      <c r="Y21" s="61" t="n">
        <v>19.9</v>
      </c>
      <c r="Z21" s="61" t="n">
        <v>13.7</v>
      </c>
      <c r="AA21" s="61" t="n">
        <v>10.3</v>
      </c>
      <c r="AB21" s="61" t="n">
        <v>19.3</v>
      </c>
      <c r="AC21" s="56" t="n">
        <f aca="false">((D21+E21+F21+G21+H21+I21+J21+K21+L21+M21)/2)+(N21+O21+P21+Q21+R21)+(S21+T21+U21+V21+W21)</f>
        <v>37.1</v>
      </c>
      <c r="AD21" s="57" t="n">
        <f aca="false">(X21+Y21+Z21+AA21+AB21)*50/100</f>
        <v>37.8</v>
      </c>
      <c r="AE21" s="58" t="n">
        <f aca="false">AC21+AD21</f>
        <v>74.9</v>
      </c>
    </row>
    <row r="22" customFormat="false" ht="18" hidden="false" customHeight="true" outlineLevel="0" collapsed="false">
      <c r="A22" s="53" t="n">
        <v>15</v>
      </c>
      <c r="B22" s="53" t="s">
        <v>78</v>
      </c>
      <c r="C22" s="54" t="s">
        <v>79</v>
      </c>
      <c r="D22" s="55" t="n">
        <v>5.5</v>
      </c>
      <c r="E22" s="55" t="n">
        <v>4.9</v>
      </c>
      <c r="F22" s="55" t="n">
        <v>5.4</v>
      </c>
      <c r="G22" s="55" t="n">
        <v>3.4</v>
      </c>
      <c r="H22" s="55" t="n">
        <v>3.9</v>
      </c>
      <c r="I22" s="55" t="n">
        <v>5.5</v>
      </c>
      <c r="J22" s="55" t="n">
        <v>5.1</v>
      </c>
      <c r="K22" s="55" t="n">
        <v>3.4</v>
      </c>
      <c r="L22" s="55" t="n">
        <v>5.1</v>
      </c>
      <c r="M22" s="55" t="n">
        <v>4.3</v>
      </c>
      <c r="N22" s="55" t="n">
        <v>1</v>
      </c>
      <c r="O22" s="55" t="n">
        <v>1.1</v>
      </c>
      <c r="P22" s="55" t="n">
        <v>1.3</v>
      </c>
      <c r="Q22" s="55" t="n">
        <v>1.8</v>
      </c>
      <c r="R22" s="55" t="n">
        <v>1.5</v>
      </c>
      <c r="S22" s="55" t="n">
        <v>1.7</v>
      </c>
      <c r="T22" s="55" t="n">
        <v>1.5</v>
      </c>
      <c r="U22" s="55" t="n">
        <v>1.1</v>
      </c>
      <c r="V22" s="55" t="n">
        <v>1.3</v>
      </c>
      <c r="W22" s="55" t="n">
        <v>1.3</v>
      </c>
      <c r="X22" s="55" t="n">
        <v>10.5</v>
      </c>
      <c r="Y22" s="55" t="n">
        <v>14.2</v>
      </c>
      <c r="Z22" s="55" t="n">
        <v>17.9</v>
      </c>
      <c r="AA22" s="55" t="n">
        <v>14.6</v>
      </c>
      <c r="AB22" s="55" t="n">
        <v>11.1</v>
      </c>
      <c r="AC22" s="56" t="n">
        <f aca="false">((D22+E22+F22+G22+H22+I22+J22+K22+L22+M22)/2)+(N22+O22+P22+Q22+R22)+(S22+T22+U22+V22+W22)</f>
        <v>36.85</v>
      </c>
      <c r="AD22" s="57" t="n">
        <f aca="false">(X22+Y22+Z22+AA22+AB22)*50/100</f>
        <v>34.15</v>
      </c>
      <c r="AE22" s="58" t="n">
        <f aca="false">AC22+AD22</f>
        <v>71</v>
      </c>
    </row>
    <row r="23" customFormat="false" ht="18" hidden="false" customHeight="true" outlineLevel="0" collapsed="false">
      <c r="A23" s="59" t="n">
        <v>16</v>
      </c>
      <c r="B23" s="59" t="s">
        <v>80</v>
      </c>
      <c r="C23" s="60" t="s">
        <v>81</v>
      </c>
      <c r="D23" s="61" t="n">
        <v>5.7</v>
      </c>
      <c r="E23" s="61" t="n">
        <v>4.8</v>
      </c>
      <c r="F23" s="61" t="n">
        <v>3</v>
      </c>
      <c r="G23" s="61" t="n">
        <v>4.5</v>
      </c>
      <c r="H23" s="61" t="n">
        <v>3.7</v>
      </c>
      <c r="I23" s="61" t="n">
        <v>3.4</v>
      </c>
      <c r="J23" s="61" t="n">
        <v>4.3</v>
      </c>
      <c r="K23" s="61" t="n">
        <v>4.8</v>
      </c>
      <c r="L23" s="61" t="n">
        <v>3.7</v>
      </c>
      <c r="M23" s="61" t="n">
        <v>4.2</v>
      </c>
      <c r="N23" s="61" t="n">
        <v>1.7</v>
      </c>
      <c r="O23" s="61" t="n">
        <v>1.1</v>
      </c>
      <c r="P23" s="61" t="n">
        <v>2</v>
      </c>
      <c r="Q23" s="61" t="n">
        <v>1.1</v>
      </c>
      <c r="R23" s="61" t="n">
        <v>1.5</v>
      </c>
      <c r="S23" s="61" t="n">
        <v>1.5</v>
      </c>
      <c r="T23" s="61" t="n">
        <v>2</v>
      </c>
      <c r="U23" s="61" t="n">
        <v>1.6</v>
      </c>
      <c r="V23" s="61" t="n">
        <v>1.4</v>
      </c>
      <c r="W23" s="61" t="n">
        <v>1.5</v>
      </c>
      <c r="X23" s="61" t="n">
        <v>16.4</v>
      </c>
      <c r="Y23" s="61" t="n">
        <v>19.8</v>
      </c>
      <c r="Z23" s="61" t="n">
        <v>12.5</v>
      </c>
      <c r="AA23" s="61" t="n">
        <v>10.2</v>
      </c>
      <c r="AB23" s="61" t="n">
        <v>17.9</v>
      </c>
      <c r="AC23" s="56" t="n">
        <f aca="false">((D23+E23+F23+G23+H23+I23+J23+K23+L23+M23)/2)+(N23+O23+P23+Q23+R23)+(S23+T23+U23+V23+W23)</f>
        <v>36.45</v>
      </c>
      <c r="AD23" s="57" t="n">
        <f aca="false">(X23+Y23+Z23+AA23+AB23)*50/100</f>
        <v>38.4</v>
      </c>
      <c r="AE23" s="58" t="n">
        <f aca="false">AC23+AD23</f>
        <v>74.85</v>
      </c>
    </row>
    <row r="24" customFormat="false" ht="18" hidden="false" customHeight="true" outlineLevel="0" collapsed="false">
      <c r="A24" s="53" t="n">
        <v>17</v>
      </c>
      <c r="B24" s="53" t="s">
        <v>82</v>
      </c>
      <c r="C24" s="54" t="s">
        <v>83</v>
      </c>
      <c r="D24" s="55" t="n">
        <v>4</v>
      </c>
      <c r="E24" s="55" t="n">
        <v>5.2</v>
      </c>
      <c r="F24" s="55" t="n">
        <v>4.9</v>
      </c>
      <c r="G24" s="55" t="n">
        <v>5.3</v>
      </c>
      <c r="H24" s="55" t="n">
        <v>5.2</v>
      </c>
      <c r="I24" s="55" t="n">
        <v>4</v>
      </c>
      <c r="J24" s="55" t="n">
        <v>3.1</v>
      </c>
      <c r="K24" s="55" t="n">
        <v>4.6</v>
      </c>
      <c r="L24" s="55" t="n">
        <v>5.4</v>
      </c>
      <c r="M24" s="55" t="n">
        <v>3.5</v>
      </c>
      <c r="N24" s="55" t="n">
        <v>1.8</v>
      </c>
      <c r="O24" s="55" t="n">
        <v>1.5</v>
      </c>
      <c r="P24" s="55" t="n">
        <v>1.7</v>
      </c>
      <c r="Q24" s="55" t="n">
        <v>1.6</v>
      </c>
      <c r="R24" s="55" t="n">
        <v>1.8</v>
      </c>
      <c r="S24" s="55" t="n">
        <v>1.1</v>
      </c>
      <c r="T24" s="55" t="n">
        <v>1.8</v>
      </c>
      <c r="U24" s="55" t="n">
        <v>1.5</v>
      </c>
      <c r="V24" s="55" t="n">
        <v>1.3</v>
      </c>
      <c r="W24" s="55" t="n">
        <v>1</v>
      </c>
      <c r="X24" s="55" t="n">
        <v>12</v>
      </c>
      <c r="Y24" s="55" t="n">
        <v>10.4</v>
      </c>
      <c r="Z24" s="55" t="n">
        <v>19.3</v>
      </c>
      <c r="AA24" s="55" t="n">
        <v>15.2</v>
      </c>
      <c r="AB24" s="55" t="n">
        <v>19.9</v>
      </c>
      <c r="AC24" s="56" t="n">
        <f aca="false">((D24+E24+F24+G24+H24+I24+J24+K24+L24+M24)/2)+(N24+O24+P24+Q24+R24)+(S24+T24+U24+V24+W24)</f>
        <v>37.7</v>
      </c>
      <c r="AD24" s="57" t="n">
        <f aca="false">(X24+Y24+Z24+AA24+AB24)*50/100</f>
        <v>38.4</v>
      </c>
      <c r="AE24" s="58" t="n">
        <f aca="false">AC24+AD24</f>
        <v>76.1</v>
      </c>
    </row>
    <row r="25" customFormat="false" ht="18" hidden="false" customHeight="true" outlineLevel="0" collapsed="false">
      <c r="A25" s="59" t="n">
        <v>18</v>
      </c>
      <c r="B25" s="59" t="s">
        <v>84</v>
      </c>
      <c r="C25" s="60" t="s">
        <v>85</v>
      </c>
      <c r="D25" s="61" t="n">
        <v>4.6</v>
      </c>
      <c r="E25" s="61" t="n">
        <v>3.8</v>
      </c>
      <c r="F25" s="61" t="n">
        <v>5.3</v>
      </c>
      <c r="G25" s="61" t="n">
        <v>3.6</v>
      </c>
      <c r="H25" s="61" t="n">
        <v>4.1</v>
      </c>
      <c r="I25" s="61" t="n">
        <v>5.3</v>
      </c>
      <c r="J25" s="61" t="n">
        <v>5.6</v>
      </c>
      <c r="K25" s="61" t="n">
        <v>4</v>
      </c>
      <c r="L25" s="61" t="n">
        <v>3.4</v>
      </c>
      <c r="M25" s="61" t="n">
        <v>4.1</v>
      </c>
      <c r="N25" s="61" t="n">
        <v>1.9</v>
      </c>
      <c r="O25" s="61" t="n">
        <v>1.7</v>
      </c>
      <c r="P25" s="61" t="n">
        <v>1.9</v>
      </c>
      <c r="Q25" s="61" t="n">
        <v>1.4</v>
      </c>
      <c r="R25" s="61" t="n">
        <v>2</v>
      </c>
      <c r="S25" s="61" t="n">
        <v>1.5</v>
      </c>
      <c r="T25" s="61" t="n">
        <v>1.5</v>
      </c>
      <c r="U25" s="61" t="n">
        <v>1.9</v>
      </c>
      <c r="V25" s="61" t="n">
        <v>1.5</v>
      </c>
      <c r="W25" s="61" t="n">
        <v>1.8</v>
      </c>
      <c r="X25" s="61" t="n">
        <v>17.3</v>
      </c>
      <c r="Y25" s="61" t="n">
        <v>10.8</v>
      </c>
      <c r="Z25" s="61" t="n">
        <v>16</v>
      </c>
      <c r="AA25" s="61" t="n">
        <v>18.2</v>
      </c>
      <c r="AB25" s="61" t="n">
        <v>15.5</v>
      </c>
      <c r="AC25" s="56" t="n">
        <f aca="false">((D25+E25+F25+G25+H25+I25+J25+K25+L25+M25)/2)+(N25+O25+P25+Q25+R25)+(S25+T25+U25+V25+W25)</f>
        <v>39</v>
      </c>
      <c r="AD25" s="57" t="n">
        <f aca="false">(X25+Y25+Z25+AA25+AB25)*50/100</f>
        <v>38.9</v>
      </c>
      <c r="AE25" s="58" t="n">
        <f aca="false">AC25+AD25</f>
        <v>77.9</v>
      </c>
    </row>
    <row r="26" customFormat="false" ht="18" hidden="false" customHeight="true" outlineLevel="0" collapsed="false">
      <c r="A26" s="53" t="n">
        <v>19</v>
      </c>
      <c r="B26" s="53" t="s">
        <v>86</v>
      </c>
      <c r="C26" s="54" t="s">
        <v>87</v>
      </c>
      <c r="D26" s="55" t="n">
        <v>4</v>
      </c>
      <c r="E26" s="55" t="n">
        <v>3.2</v>
      </c>
      <c r="F26" s="55" t="n">
        <v>5</v>
      </c>
      <c r="G26" s="55" t="n">
        <v>3.9</v>
      </c>
      <c r="H26" s="55" t="n">
        <v>4.8</v>
      </c>
      <c r="I26" s="55" t="n">
        <v>4.3</v>
      </c>
      <c r="J26" s="55" t="n">
        <v>5.1</v>
      </c>
      <c r="K26" s="55" t="n">
        <v>4.1</v>
      </c>
      <c r="L26" s="55" t="n">
        <v>3.1</v>
      </c>
      <c r="M26" s="55" t="n">
        <v>5.6</v>
      </c>
      <c r="N26" s="55" t="n">
        <v>1.4</v>
      </c>
      <c r="O26" s="55" t="n">
        <v>2</v>
      </c>
      <c r="P26" s="55" t="n">
        <v>1.3</v>
      </c>
      <c r="Q26" s="55" t="n">
        <v>2</v>
      </c>
      <c r="R26" s="55" t="n">
        <v>1.9</v>
      </c>
      <c r="S26" s="55" t="n">
        <v>1.1</v>
      </c>
      <c r="T26" s="55" t="n">
        <v>1.6</v>
      </c>
      <c r="U26" s="55" t="n">
        <v>1.4</v>
      </c>
      <c r="V26" s="55" t="n">
        <v>1.8</v>
      </c>
      <c r="W26" s="55" t="n">
        <v>1.7</v>
      </c>
      <c r="X26" s="55" t="n">
        <v>19.5</v>
      </c>
      <c r="Y26" s="55" t="n">
        <v>11.4</v>
      </c>
      <c r="Z26" s="55" t="n">
        <v>16.1</v>
      </c>
      <c r="AA26" s="55" t="n">
        <v>17.8</v>
      </c>
      <c r="AB26" s="55" t="n">
        <v>10.3</v>
      </c>
      <c r="AC26" s="56" t="n">
        <f aca="false">((D26+E26+F26+G26+H26+I26+J26+K26+L26+M26)/2)+(N26+O26+P26+Q26+R26)+(S26+T26+U26+V26+W26)</f>
        <v>37.75</v>
      </c>
      <c r="AD26" s="57" t="n">
        <f aca="false">(X26+Y26+Z26+AA26+AB26)*50/100</f>
        <v>37.55</v>
      </c>
      <c r="AE26" s="58" t="n">
        <f aca="false">AC26+AD26</f>
        <v>75.3</v>
      </c>
    </row>
    <row r="27" customFormat="false" ht="18" hidden="false" customHeight="true" outlineLevel="0" collapsed="false">
      <c r="A27" s="59" t="n">
        <v>20</v>
      </c>
      <c r="B27" s="59" t="s">
        <v>88</v>
      </c>
      <c r="C27" s="60" t="s">
        <v>89</v>
      </c>
      <c r="D27" s="61" t="n">
        <v>3.2</v>
      </c>
      <c r="E27" s="61" t="n">
        <v>5.3</v>
      </c>
      <c r="F27" s="61" t="n">
        <v>4.1</v>
      </c>
      <c r="G27" s="61" t="n">
        <v>4.1</v>
      </c>
      <c r="H27" s="61" t="n">
        <v>4.7</v>
      </c>
      <c r="I27" s="61" t="n">
        <v>4.8</v>
      </c>
      <c r="J27" s="61" t="n">
        <v>5</v>
      </c>
      <c r="K27" s="61" t="n">
        <v>5.8</v>
      </c>
      <c r="L27" s="61" t="n">
        <v>4.1</v>
      </c>
      <c r="M27" s="61" t="n">
        <v>5.3</v>
      </c>
      <c r="N27" s="61" t="n">
        <v>1.6</v>
      </c>
      <c r="O27" s="61" t="n">
        <v>1.5</v>
      </c>
      <c r="P27" s="61" t="n">
        <v>1.4</v>
      </c>
      <c r="Q27" s="61" t="n">
        <v>1.6</v>
      </c>
      <c r="R27" s="61" t="n">
        <v>1.2</v>
      </c>
      <c r="S27" s="61" t="n">
        <v>1.1</v>
      </c>
      <c r="T27" s="61" t="n">
        <v>1.7</v>
      </c>
      <c r="U27" s="61" t="n">
        <v>1.5</v>
      </c>
      <c r="V27" s="61" t="n">
        <v>1.4</v>
      </c>
      <c r="W27" s="61" t="n">
        <v>1.6</v>
      </c>
      <c r="X27" s="61" t="n">
        <v>12.6</v>
      </c>
      <c r="Y27" s="61" t="n">
        <v>12.6</v>
      </c>
      <c r="Z27" s="61" t="n">
        <v>14.5</v>
      </c>
      <c r="AA27" s="61" t="n">
        <v>20</v>
      </c>
      <c r="AB27" s="61" t="n">
        <v>12.9</v>
      </c>
      <c r="AC27" s="56" t="n">
        <f aca="false">((D27+E27+F27+G27+H27+I27+J27+K27+L27+M27)/2)+(N27+O27+P27+Q27+R27)+(S27+T27+U27+V27+W27)</f>
        <v>37.8</v>
      </c>
      <c r="AD27" s="57" t="n">
        <f aca="false">(X27+Y27+Z27+AA27+AB27)*50/100</f>
        <v>36.3</v>
      </c>
      <c r="AE27" s="58" t="n">
        <f aca="false">AC27+AD27</f>
        <v>74.1</v>
      </c>
    </row>
    <row r="29" customFormat="false" ht="21.75" hidden="false" customHeight="true" outlineLevel="0" collapsed="false">
      <c r="A29" s="62" t="s">
        <v>90</v>
      </c>
      <c r="B29" s="62"/>
      <c r="C29" s="62"/>
    </row>
    <row r="30" customFormat="false" ht="18" hidden="false" customHeight="true" outlineLevel="0" collapsed="false">
      <c r="A30" s="63" t="s">
        <v>91</v>
      </c>
      <c r="B30" s="63"/>
      <c r="C30" s="63"/>
      <c r="D30" s="64" t="n">
        <f aca="false">AVERAGE(D8:D27)</f>
        <v>4.36</v>
      </c>
      <c r="E30" s="64" t="n">
        <f aca="false">AVERAGE(E8:E27)</f>
        <v>4.485</v>
      </c>
      <c r="F30" s="64" t="n">
        <f aca="false">AVERAGE(F8:F27)</f>
        <v>4.495</v>
      </c>
      <c r="G30" s="64" t="n">
        <f aca="false">AVERAGE(G8:G27)</f>
        <v>4.27</v>
      </c>
      <c r="H30" s="64" t="n">
        <f aca="false">AVERAGE(H8:H27)</f>
        <v>4.17</v>
      </c>
    </row>
    <row r="31" customFormat="false" ht="18" hidden="false" customHeight="true" outlineLevel="0" collapsed="false">
      <c r="A31" s="65" t="s">
        <v>92</v>
      </c>
      <c r="B31" s="65"/>
      <c r="C31" s="65"/>
      <c r="I31" s="64" t="n">
        <f aca="false">AVERAGE(I8:I27)</f>
        <v>4.295</v>
      </c>
      <c r="J31" s="64" t="n">
        <f aca="false">AVERAGE(J8:J27)</f>
        <v>4.68</v>
      </c>
      <c r="K31" s="64" t="n">
        <f aca="false">AVERAGE(K8:K27)</f>
        <v>4.405</v>
      </c>
      <c r="L31" s="64" t="n">
        <f aca="false">AVERAGE(L8:L27)</f>
        <v>4.09</v>
      </c>
      <c r="M31" s="64" t="n">
        <f aca="false">AVERAGE(M8:M27)</f>
        <v>4.485</v>
      </c>
    </row>
    <row r="32" customFormat="false" ht="18" hidden="false" customHeight="true" outlineLevel="0" collapsed="false">
      <c r="A32" s="66" t="s">
        <v>93</v>
      </c>
      <c r="B32" s="66"/>
      <c r="C32" s="66"/>
      <c r="N32" s="64" t="n">
        <f aca="false">AVERAGE(N8:N27)</f>
        <v>1.47</v>
      </c>
      <c r="O32" s="64" t="n">
        <f aca="false">AVERAGE(O8:O27)</f>
        <v>1.51</v>
      </c>
      <c r="P32" s="64" t="n">
        <f aca="false">AVERAGE(P8:P27)</f>
        <v>1.395</v>
      </c>
      <c r="Q32" s="64" t="n">
        <f aca="false">AVERAGE(Q8:Q27)</f>
        <v>1.54</v>
      </c>
      <c r="R32" s="64" t="n">
        <f aca="false">AVERAGE(R8:R27)</f>
        <v>1.595</v>
      </c>
    </row>
    <row r="33" customFormat="false" ht="18" hidden="false" customHeight="true" outlineLevel="0" collapsed="false">
      <c r="A33" s="67" t="s">
        <v>94</v>
      </c>
      <c r="B33" s="67"/>
      <c r="C33" s="67"/>
      <c r="S33" s="64" t="n">
        <f aca="false">AVERAGE(S8:S27)</f>
        <v>1.525</v>
      </c>
      <c r="T33" s="64" t="n">
        <f aca="false">AVERAGE(T8:T27)</f>
        <v>1.585</v>
      </c>
      <c r="U33" s="64" t="n">
        <f aca="false">AVERAGE(U8:U27)</f>
        <v>1.46</v>
      </c>
      <c r="V33" s="64" t="n">
        <f aca="false">AVERAGE(V8:V27)</f>
        <v>1.425</v>
      </c>
      <c r="W33" s="64" t="n">
        <f aca="false">AVERAGE(W8:W27)</f>
        <v>1.49</v>
      </c>
    </row>
    <row r="34" customFormat="false" ht="18" hidden="false" customHeight="true" outlineLevel="0" collapsed="false">
      <c r="A34" s="68" t="s">
        <v>95</v>
      </c>
      <c r="B34" s="68"/>
      <c r="C34" s="68"/>
      <c r="X34" s="64" t="n">
        <f aca="false">AVERAGE(X8:X27)</f>
        <v>14.905</v>
      </c>
      <c r="Y34" s="64" t="n">
        <f aca="false">AVERAGE(Y8:Y27)</f>
        <v>15.445</v>
      </c>
      <c r="Z34" s="64" t="n">
        <f aca="false">AVERAGE(Z8:Z27)</f>
        <v>16.015</v>
      </c>
      <c r="AA34" s="64" t="n">
        <f aca="false">AVERAGE(AA8:AA27)</f>
        <v>16.015</v>
      </c>
      <c r="AB34" s="64" t="n">
        <f aca="false">AVERAGE(AB8:AB27)</f>
        <v>14.98</v>
      </c>
    </row>
    <row r="35" customFormat="false" ht="21.75" hidden="false" customHeight="true" outlineLevel="0" collapsed="false">
      <c r="A35" s="62" t="s">
        <v>96</v>
      </c>
      <c r="B35" s="62"/>
      <c r="C35" s="62"/>
      <c r="D35" s="69" t="n">
        <f aca="false">(D30+I31+N32+S33+X34)/36</f>
        <v>0.737638888888889</v>
      </c>
      <c r="E35" s="69" t="n">
        <f aca="false">(E30+J31+O32+T33+Y34)/36</f>
        <v>0.769583333333333</v>
      </c>
      <c r="F35" s="69" t="n">
        <f aca="false">(F30+K31+P32+U33+Z34)/36</f>
        <v>0.771388888888889</v>
      </c>
      <c r="G35" s="69" t="n">
        <f aca="false">(G30+L31+Q32+V33+AA34)/36</f>
        <v>0.759444444444445</v>
      </c>
      <c r="H35" s="69" t="n">
        <f aca="false">(H30+M31+R32+W33+AB34)/36</f>
        <v>0.742222222222222</v>
      </c>
    </row>
    <row r="36" customFormat="false" ht="21.75" hidden="false" customHeight="true" outlineLevel="0" collapsed="false">
      <c r="A36" s="46" t="s">
        <v>97</v>
      </c>
      <c r="B36" s="46"/>
      <c r="C36" s="46"/>
      <c r="D36" s="70" t="n">
        <f aca="false">IF(D35&gt;=0.6,3,IF(D35&gt;=0.4,2,1))</f>
        <v>3</v>
      </c>
      <c r="E36" s="70" t="n">
        <f aca="false">IF(E35&gt;=0.6,3,IF(E35&gt;=0.4,2,1))</f>
        <v>3</v>
      </c>
      <c r="F36" s="70" t="n">
        <f aca="false">IF(F35&gt;=0.6,3,IF(F35&gt;=0.4,2,1))</f>
        <v>3</v>
      </c>
      <c r="G36" s="70" t="n">
        <f aca="false">IF(G35&gt;=0.6,3,IF(G35&gt;=0.4,2,1))</f>
        <v>3</v>
      </c>
      <c r="H36" s="70" t="n">
        <f aca="false">IF(H35&gt;=0.6,3,IF(H35&gt;=0.4,2,1))</f>
        <v>3</v>
      </c>
    </row>
  </sheetData>
  <mergeCells count="27">
    <mergeCell ref="A1:AG1"/>
    <mergeCell ref="A2:AG2"/>
    <mergeCell ref="A4:A5"/>
    <mergeCell ref="B4:F4"/>
    <mergeCell ref="G4:K4"/>
    <mergeCell ref="L4:P4"/>
    <mergeCell ref="Q4:U4"/>
    <mergeCell ref="V4:Z4"/>
    <mergeCell ref="AA4:AA5"/>
    <mergeCell ref="AB4:AB5"/>
    <mergeCell ref="AC4:AC5"/>
    <mergeCell ref="A6:A7"/>
    <mergeCell ref="B6:B7"/>
    <mergeCell ref="C6:C7"/>
    <mergeCell ref="D6:H6"/>
    <mergeCell ref="I6:M6"/>
    <mergeCell ref="N6:R6"/>
    <mergeCell ref="S6:W6"/>
    <mergeCell ref="X6:AB6"/>
    <mergeCell ref="A29:C29"/>
    <mergeCell ref="A30:C30"/>
    <mergeCell ref="A31:C31"/>
    <mergeCell ref="A32:C32"/>
    <mergeCell ref="A33:C33"/>
    <mergeCell ref="A34:C34"/>
    <mergeCell ref="A35:C35"/>
    <mergeCell ref="A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31" min="4" style="0" width="9"/>
  </cols>
  <sheetData>
    <row r="1" customFormat="false" ht="34.5" hidden="false" customHeight="true" outlineLevel="0" collapsed="false">
      <c r="A1" s="30" t="s">
        <v>100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</row>
    <row r="2" customFormat="false" ht="18" hidden="false" customHeight="true" outlineLevel="0" collapsed="false">
      <c r="A2" s="31" t="s">
        <v>34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</row>
    <row r="4" customFormat="false" ht="24.75" hidden="false" customHeight="true" outlineLevel="0" collapsed="false">
      <c r="A4" s="32" t="s">
        <v>35</v>
      </c>
      <c r="B4" s="33" t="s">
        <v>36</v>
      </c>
      <c r="C4" s="33"/>
      <c r="D4" s="33"/>
      <c r="E4" s="33"/>
      <c r="F4" s="33"/>
      <c r="G4" s="34" t="s">
        <v>37</v>
      </c>
      <c r="H4" s="34"/>
      <c r="I4" s="34"/>
      <c r="J4" s="34"/>
      <c r="K4" s="34"/>
      <c r="L4" s="35" t="s">
        <v>38</v>
      </c>
      <c r="M4" s="35"/>
      <c r="N4" s="35"/>
      <c r="O4" s="35"/>
      <c r="P4" s="35"/>
      <c r="Q4" s="36" t="s">
        <v>39</v>
      </c>
      <c r="R4" s="36"/>
      <c r="S4" s="36"/>
      <c r="T4" s="36"/>
      <c r="U4" s="36"/>
      <c r="V4" s="37" t="s">
        <v>40</v>
      </c>
      <c r="W4" s="37"/>
      <c r="X4" s="37"/>
      <c r="Y4" s="37"/>
      <c r="Z4" s="37"/>
      <c r="AA4" s="38" t="s">
        <v>41</v>
      </c>
      <c r="AB4" s="39" t="s">
        <v>42</v>
      </c>
      <c r="AC4" s="40" t="s">
        <v>43</v>
      </c>
    </row>
    <row r="5" customFormat="false" ht="19.5" hidden="false" customHeight="true" outlineLevel="0" collapsed="false">
      <c r="A5" s="32"/>
      <c r="B5" s="41" t="n">
        <v>6</v>
      </c>
      <c r="C5" s="41" t="n">
        <v>6</v>
      </c>
      <c r="D5" s="41" t="n">
        <v>6</v>
      </c>
      <c r="E5" s="41" t="n">
        <v>6</v>
      </c>
      <c r="F5" s="41" t="n">
        <v>6</v>
      </c>
      <c r="G5" s="42" t="n">
        <v>6</v>
      </c>
      <c r="H5" s="42" t="n">
        <v>6</v>
      </c>
      <c r="I5" s="42" t="n">
        <v>6</v>
      </c>
      <c r="J5" s="42" t="n">
        <v>6</v>
      </c>
      <c r="K5" s="42" t="n">
        <v>6</v>
      </c>
      <c r="L5" s="4" t="n">
        <v>2</v>
      </c>
      <c r="M5" s="4" t="n">
        <v>2</v>
      </c>
      <c r="N5" s="4" t="n">
        <v>2</v>
      </c>
      <c r="O5" s="4" t="n">
        <v>2</v>
      </c>
      <c r="P5" s="4" t="n">
        <v>2</v>
      </c>
      <c r="Q5" s="6" t="n">
        <v>2</v>
      </c>
      <c r="R5" s="6" t="n">
        <v>2</v>
      </c>
      <c r="S5" s="6" t="n">
        <v>2</v>
      </c>
      <c r="T5" s="6" t="n">
        <v>2</v>
      </c>
      <c r="U5" s="6" t="n">
        <v>2</v>
      </c>
      <c r="V5" s="43" t="n">
        <v>20</v>
      </c>
      <c r="W5" s="43" t="n">
        <v>20</v>
      </c>
      <c r="X5" s="43" t="n">
        <v>20</v>
      </c>
      <c r="Y5" s="43" t="n">
        <v>20</v>
      </c>
      <c r="Z5" s="43" t="n">
        <v>20</v>
      </c>
      <c r="AA5" s="38"/>
      <c r="AB5" s="38"/>
      <c r="AC5" s="38"/>
    </row>
    <row r="6" customFormat="false" ht="21.75" hidden="false" customHeight="true" outlineLevel="0" collapsed="false">
      <c r="A6" s="44" t="s">
        <v>44</v>
      </c>
      <c r="B6" s="44" t="s">
        <v>45</v>
      </c>
      <c r="C6" s="44" t="s">
        <v>46</v>
      </c>
      <c r="D6" s="45" t="s">
        <v>47</v>
      </c>
      <c r="E6" s="45"/>
      <c r="F6" s="45"/>
      <c r="G6" s="45"/>
      <c r="H6" s="45"/>
      <c r="I6" s="46" t="s">
        <v>48</v>
      </c>
      <c r="J6" s="46"/>
      <c r="K6" s="46"/>
      <c r="L6" s="46"/>
      <c r="M6" s="46"/>
      <c r="N6" s="47" t="s">
        <v>38</v>
      </c>
      <c r="O6" s="47"/>
      <c r="P6" s="47"/>
      <c r="Q6" s="47"/>
      <c r="R6" s="47"/>
      <c r="S6" s="48" t="s">
        <v>39</v>
      </c>
      <c r="T6" s="48"/>
      <c r="U6" s="48"/>
      <c r="V6" s="48"/>
      <c r="W6" s="48"/>
      <c r="X6" s="49" t="s">
        <v>49</v>
      </c>
      <c r="Y6" s="49"/>
      <c r="Z6" s="49"/>
      <c r="AA6" s="49"/>
      <c r="AB6" s="49"/>
    </row>
    <row r="7" customFormat="false" ht="21.75" hidden="false" customHeight="true" outlineLevel="0" collapsed="false">
      <c r="A7" s="44"/>
      <c r="B7" s="44"/>
      <c r="C7" s="44"/>
      <c r="D7" s="50" t="s">
        <v>9</v>
      </c>
      <c r="E7" s="50" t="s">
        <v>10</v>
      </c>
      <c r="F7" s="50" t="s">
        <v>11</v>
      </c>
      <c r="G7" s="50" t="s">
        <v>12</v>
      </c>
      <c r="H7" s="50" t="s">
        <v>13</v>
      </c>
      <c r="I7" s="50" t="s">
        <v>9</v>
      </c>
      <c r="J7" s="50" t="s">
        <v>10</v>
      </c>
      <c r="K7" s="50" t="s">
        <v>11</v>
      </c>
      <c r="L7" s="50" t="s">
        <v>12</v>
      </c>
      <c r="M7" s="50" t="s">
        <v>13</v>
      </c>
      <c r="N7" s="50" t="s">
        <v>9</v>
      </c>
      <c r="O7" s="50" t="s">
        <v>10</v>
      </c>
      <c r="P7" s="50" t="s">
        <v>11</v>
      </c>
      <c r="Q7" s="50" t="s">
        <v>12</v>
      </c>
      <c r="R7" s="50" t="s">
        <v>13</v>
      </c>
      <c r="S7" s="50" t="s">
        <v>9</v>
      </c>
      <c r="T7" s="50" t="s">
        <v>10</v>
      </c>
      <c r="U7" s="50" t="s">
        <v>11</v>
      </c>
      <c r="V7" s="50" t="s">
        <v>12</v>
      </c>
      <c r="W7" s="50" t="s">
        <v>13</v>
      </c>
      <c r="X7" s="50" t="s">
        <v>9</v>
      </c>
      <c r="Y7" s="50" t="s">
        <v>10</v>
      </c>
      <c r="Z7" s="50" t="s">
        <v>11</v>
      </c>
      <c r="AA7" s="50" t="s">
        <v>12</v>
      </c>
      <c r="AB7" s="50" t="s">
        <v>13</v>
      </c>
      <c r="AC7" s="51" t="s">
        <v>41</v>
      </c>
      <c r="AD7" s="52" t="s">
        <v>42</v>
      </c>
      <c r="AE7" s="7" t="s">
        <v>43</v>
      </c>
    </row>
    <row r="8" customFormat="false" ht="18" hidden="false" customHeight="true" outlineLevel="0" collapsed="false">
      <c r="A8" s="53" t="n">
        <v>1</v>
      </c>
      <c r="B8" s="53" t="s">
        <v>50</v>
      </c>
      <c r="C8" s="54" t="s">
        <v>51</v>
      </c>
      <c r="D8" s="55" t="n">
        <v>5.7</v>
      </c>
      <c r="E8" s="55" t="n">
        <v>4.5</v>
      </c>
      <c r="F8" s="55" t="n">
        <v>3.4</v>
      </c>
      <c r="G8" s="55" t="n">
        <v>5.6</v>
      </c>
      <c r="H8" s="55" t="n">
        <v>4.4</v>
      </c>
      <c r="I8" s="55" t="n">
        <v>5.7</v>
      </c>
      <c r="J8" s="55" t="n">
        <v>4.3</v>
      </c>
      <c r="K8" s="55" t="n">
        <v>3.3</v>
      </c>
      <c r="L8" s="55" t="n">
        <v>5</v>
      </c>
      <c r="M8" s="55" t="n">
        <v>5.5</v>
      </c>
      <c r="N8" s="55" t="n">
        <v>1.3</v>
      </c>
      <c r="O8" s="55" t="n">
        <v>1.3</v>
      </c>
      <c r="P8" s="55" t="n">
        <v>1.1</v>
      </c>
      <c r="Q8" s="55" t="n">
        <v>1.5</v>
      </c>
      <c r="R8" s="55" t="n">
        <v>1.9</v>
      </c>
      <c r="S8" s="55" t="n">
        <v>1.9</v>
      </c>
      <c r="T8" s="55" t="n">
        <v>1.7</v>
      </c>
      <c r="U8" s="55" t="n">
        <v>1.9</v>
      </c>
      <c r="V8" s="55" t="n">
        <v>1.6</v>
      </c>
      <c r="W8" s="55" t="n">
        <v>1.8</v>
      </c>
      <c r="X8" s="55" t="n">
        <v>15.1</v>
      </c>
      <c r="Y8" s="55" t="n">
        <v>11.2</v>
      </c>
      <c r="Z8" s="55" t="n">
        <v>12</v>
      </c>
      <c r="AA8" s="55" t="n">
        <v>11.4</v>
      </c>
      <c r="AB8" s="55" t="n">
        <v>17.9</v>
      </c>
      <c r="AC8" s="56" t="n">
        <f aca="false">((D8+E8+F8+G8+H8+I8+J8+K8+L8+M8)/2)+(N8+O8+P8+Q8+R8)+(S8+T8+U8+V8+W8)</f>
        <v>39.7</v>
      </c>
      <c r="AD8" s="57" t="n">
        <f aca="false">(X8+Y8+Z8+AA8+AB8)*50/100</f>
        <v>33.8</v>
      </c>
      <c r="AE8" s="58" t="n">
        <f aca="false">AC8+AD8</f>
        <v>73.5</v>
      </c>
    </row>
    <row r="9" customFormat="false" ht="18" hidden="false" customHeight="true" outlineLevel="0" collapsed="false">
      <c r="A9" s="59" t="n">
        <v>2</v>
      </c>
      <c r="B9" s="59" t="s">
        <v>52</v>
      </c>
      <c r="C9" s="60" t="s">
        <v>53</v>
      </c>
      <c r="D9" s="61" t="n">
        <v>3.1</v>
      </c>
      <c r="E9" s="61" t="n">
        <v>4.7</v>
      </c>
      <c r="F9" s="61" t="n">
        <v>4.1</v>
      </c>
      <c r="G9" s="61" t="n">
        <v>5.4</v>
      </c>
      <c r="H9" s="61" t="n">
        <v>4.7</v>
      </c>
      <c r="I9" s="61" t="n">
        <v>4.8</v>
      </c>
      <c r="J9" s="61" t="n">
        <v>3.3</v>
      </c>
      <c r="K9" s="61" t="n">
        <v>3.9</v>
      </c>
      <c r="L9" s="61" t="n">
        <v>6</v>
      </c>
      <c r="M9" s="61" t="n">
        <v>5.2</v>
      </c>
      <c r="N9" s="61" t="n">
        <v>1.5</v>
      </c>
      <c r="O9" s="61" t="n">
        <v>1.8</v>
      </c>
      <c r="P9" s="61" t="n">
        <v>1.8</v>
      </c>
      <c r="Q9" s="61" t="n">
        <v>1.1</v>
      </c>
      <c r="R9" s="61" t="n">
        <v>2</v>
      </c>
      <c r="S9" s="61" t="n">
        <v>1.6</v>
      </c>
      <c r="T9" s="61" t="n">
        <v>1.4</v>
      </c>
      <c r="U9" s="61" t="n">
        <v>1.7</v>
      </c>
      <c r="V9" s="61" t="n">
        <v>1.3</v>
      </c>
      <c r="W9" s="61" t="n">
        <v>1.9</v>
      </c>
      <c r="X9" s="61" t="n">
        <v>17.8</v>
      </c>
      <c r="Y9" s="61" t="n">
        <v>16.4</v>
      </c>
      <c r="Z9" s="61" t="n">
        <v>11.8</v>
      </c>
      <c r="AA9" s="61" t="n">
        <v>19.7</v>
      </c>
      <c r="AB9" s="61" t="n">
        <v>14.3</v>
      </c>
      <c r="AC9" s="56" t="n">
        <f aca="false">((D9+E9+F9+G9+H9+I9+J9+K9+L9+M9)/2)+(N9+O9+P9+Q9+R9)+(S9+T9+U9+V9+W9)</f>
        <v>38.7</v>
      </c>
      <c r="AD9" s="57" t="n">
        <f aca="false">(X9+Y9+Z9+AA9+AB9)*50/100</f>
        <v>40</v>
      </c>
      <c r="AE9" s="58" t="n">
        <f aca="false">AC9+AD9</f>
        <v>78.7</v>
      </c>
    </row>
    <row r="10" customFormat="false" ht="18" hidden="false" customHeight="true" outlineLevel="0" collapsed="false">
      <c r="A10" s="53" t="n">
        <v>3</v>
      </c>
      <c r="B10" s="53" t="s">
        <v>54</v>
      </c>
      <c r="C10" s="54" t="s">
        <v>55</v>
      </c>
      <c r="D10" s="55" t="n">
        <v>5.7</v>
      </c>
      <c r="E10" s="55" t="n">
        <v>3.2</v>
      </c>
      <c r="F10" s="55" t="n">
        <v>3.4</v>
      </c>
      <c r="G10" s="55" t="n">
        <v>3.5</v>
      </c>
      <c r="H10" s="55" t="n">
        <v>3.5</v>
      </c>
      <c r="I10" s="55" t="n">
        <v>4</v>
      </c>
      <c r="J10" s="55" t="n">
        <v>5.1</v>
      </c>
      <c r="K10" s="55" t="n">
        <v>4</v>
      </c>
      <c r="L10" s="55" t="n">
        <v>5.8</v>
      </c>
      <c r="M10" s="55" t="n">
        <v>5.7</v>
      </c>
      <c r="N10" s="55" t="n">
        <v>1.8</v>
      </c>
      <c r="O10" s="55" t="n">
        <v>1.3</v>
      </c>
      <c r="P10" s="55" t="n">
        <v>1.6</v>
      </c>
      <c r="Q10" s="55" t="n">
        <v>1.6</v>
      </c>
      <c r="R10" s="55" t="n">
        <v>1.1</v>
      </c>
      <c r="S10" s="55" t="n">
        <v>1.3</v>
      </c>
      <c r="T10" s="55" t="n">
        <v>1.5</v>
      </c>
      <c r="U10" s="55" t="n">
        <v>1.5</v>
      </c>
      <c r="V10" s="55" t="n">
        <v>1.2</v>
      </c>
      <c r="W10" s="55" t="n">
        <v>1.9</v>
      </c>
      <c r="X10" s="55" t="n">
        <v>11.5</v>
      </c>
      <c r="Y10" s="55" t="n">
        <v>16.6</v>
      </c>
      <c r="Z10" s="55" t="n">
        <v>17.2</v>
      </c>
      <c r="AA10" s="55" t="n">
        <v>16.1</v>
      </c>
      <c r="AB10" s="55" t="n">
        <v>18.4</v>
      </c>
      <c r="AC10" s="56" t="n">
        <f aca="false">((D10+E10+F10+G10+H10+I10+J10+K10+L10+M10)/2)+(N10+O10+P10+Q10+R10)+(S10+T10+U10+V10+W10)</f>
        <v>36.75</v>
      </c>
      <c r="AD10" s="57" t="n">
        <f aca="false">(X10+Y10+Z10+AA10+AB10)*50/100</f>
        <v>39.9</v>
      </c>
      <c r="AE10" s="58" t="n">
        <f aca="false">AC10+AD10</f>
        <v>76.65</v>
      </c>
    </row>
    <row r="11" customFormat="false" ht="18" hidden="false" customHeight="true" outlineLevel="0" collapsed="false">
      <c r="A11" s="59" t="n">
        <v>4</v>
      </c>
      <c r="B11" s="59" t="s">
        <v>56</v>
      </c>
      <c r="C11" s="60" t="s">
        <v>57</v>
      </c>
      <c r="D11" s="61" t="n">
        <v>4.7</v>
      </c>
      <c r="E11" s="61" t="n">
        <v>5.5</v>
      </c>
      <c r="F11" s="61" t="n">
        <v>3.1</v>
      </c>
      <c r="G11" s="61" t="n">
        <v>3.1</v>
      </c>
      <c r="H11" s="61" t="n">
        <v>4.9</v>
      </c>
      <c r="I11" s="61" t="n">
        <v>4.7</v>
      </c>
      <c r="J11" s="61" t="n">
        <v>5</v>
      </c>
      <c r="K11" s="61" t="n">
        <v>5.3</v>
      </c>
      <c r="L11" s="61" t="n">
        <v>4.2</v>
      </c>
      <c r="M11" s="61" t="n">
        <v>4.9</v>
      </c>
      <c r="N11" s="61" t="n">
        <v>1.5</v>
      </c>
      <c r="O11" s="61" t="n">
        <v>1.6</v>
      </c>
      <c r="P11" s="61" t="n">
        <v>1.3</v>
      </c>
      <c r="Q11" s="61" t="n">
        <v>2</v>
      </c>
      <c r="R11" s="61" t="n">
        <v>1.5</v>
      </c>
      <c r="S11" s="61" t="n">
        <v>1.8</v>
      </c>
      <c r="T11" s="61" t="n">
        <v>1.7</v>
      </c>
      <c r="U11" s="61" t="n">
        <v>1.3</v>
      </c>
      <c r="V11" s="61" t="n">
        <v>1.1</v>
      </c>
      <c r="W11" s="61" t="n">
        <v>1.1</v>
      </c>
      <c r="X11" s="61" t="n">
        <v>14.4</v>
      </c>
      <c r="Y11" s="61" t="n">
        <v>14.8</v>
      </c>
      <c r="Z11" s="61" t="n">
        <v>12</v>
      </c>
      <c r="AA11" s="61" t="n">
        <v>16.1</v>
      </c>
      <c r="AB11" s="61" t="n">
        <v>13.1</v>
      </c>
      <c r="AC11" s="56" t="n">
        <f aca="false">((D11+E11+F11+G11+H11+I11+J11+K11+L11+M11)/2)+(N11+O11+P11+Q11+R11)+(S11+T11+U11+V11+W11)</f>
        <v>37.6</v>
      </c>
      <c r="AD11" s="57" t="n">
        <f aca="false">(X11+Y11+Z11+AA11+AB11)*50/100</f>
        <v>35.2</v>
      </c>
      <c r="AE11" s="58" t="n">
        <f aca="false">AC11+AD11</f>
        <v>72.8</v>
      </c>
    </row>
    <row r="12" customFormat="false" ht="18" hidden="false" customHeight="true" outlineLevel="0" collapsed="false">
      <c r="A12" s="53" t="n">
        <v>5</v>
      </c>
      <c r="B12" s="53" t="s">
        <v>58</v>
      </c>
      <c r="C12" s="54" t="s">
        <v>59</v>
      </c>
      <c r="D12" s="55" t="n">
        <v>5.2</v>
      </c>
      <c r="E12" s="55" t="n">
        <v>5.2</v>
      </c>
      <c r="F12" s="55" t="n">
        <v>5.6</v>
      </c>
      <c r="G12" s="55" t="n">
        <v>5.9</v>
      </c>
      <c r="H12" s="55" t="n">
        <v>3.4</v>
      </c>
      <c r="I12" s="55" t="n">
        <v>4.1</v>
      </c>
      <c r="J12" s="55" t="n">
        <v>4.7</v>
      </c>
      <c r="K12" s="55" t="n">
        <v>4</v>
      </c>
      <c r="L12" s="55" t="n">
        <v>4.4</v>
      </c>
      <c r="M12" s="55" t="n">
        <v>3.8</v>
      </c>
      <c r="N12" s="55" t="n">
        <v>1.2</v>
      </c>
      <c r="O12" s="55" t="n">
        <v>1.1</v>
      </c>
      <c r="P12" s="55" t="n">
        <v>1.3</v>
      </c>
      <c r="Q12" s="55" t="n">
        <v>1.4</v>
      </c>
      <c r="R12" s="55" t="n">
        <v>1.6</v>
      </c>
      <c r="S12" s="55" t="n">
        <v>1.2</v>
      </c>
      <c r="T12" s="55" t="n">
        <v>1.9</v>
      </c>
      <c r="U12" s="55" t="n">
        <v>1.2</v>
      </c>
      <c r="V12" s="55" t="n">
        <v>1.3</v>
      </c>
      <c r="W12" s="55" t="n">
        <v>1.6</v>
      </c>
      <c r="X12" s="55" t="n">
        <v>13.1</v>
      </c>
      <c r="Y12" s="55" t="n">
        <v>17.6</v>
      </c>
      <c r="Z12" s="55" t="n">
        <v>15</v>
      </c>
      <c r="AA12" s="55" t="n">
        <v>15.1</v>
      </c>
      <c r="AB12" s="55" t="n">
        <v>15</v>
      </c>
      <c r="AC12" s="56" t="n">
        <f aca="false">((D12+E12+F12+G12+H12+I12+J12+K12+L12+M12)/2)+(N12+O12+P12+Q12+R12)+(S12+T12+U12+V12+W12)</f>
        <v>36.95</v>
      </c>
      <c r="AD12" s="57" t="n">
        <f aca="false">(X12+Y12+Z12+AA12+AB12)*50/100</f>
        <v>37.9</v>
      </c>
      <c r="AE12" s="58" t="n">
        <f aca="false">AC12+AD12</f>
        <v>74.85</v>
      </c>
    </row>
    <row r="13" customFormat="false" ht="18" hidden="false" customHeight="true" outlineLevel="0" collapsed="false">
      <c r="A13" s="59" t="n">
        <v>6</v>
      </c>
      <c r="B13" s="59" t="s">
        <v>60</v>
      </c>
      <c r="C13" s="60" t="s">
        <v>61</v>
      </c>
      <c r="D13" s="61" t="n">
        <v>3.9</v>
      </c>
      <c r="E13" s="61" t="n">
        <v>3.1</v>
      </c>
      <c r="F13" s="61" t="n">
        <v>5.8</v>
      </c>
      <c r="G13" s="61" t="n">
        <v>4.5</v>
      </c>
      <c r="H13" s="61" t="n">
        <v>5.9</v>
      </c>
      <c r="I13" s="61" t="n">
        <v>3.6</v>
      </c>
      <c r="J13" s="61" t="n">
        <v>4.1</v>
      </c>
      <c r="K13" s="61" t="n">
        <v>3.2</v>
      </c>
      <c r="L13" s="61" t="n">
        <v>4.5</v>
      </c>
      <c r="M13" s="61" t="n">
        <v>5.6</v>
      </c>
      <c r="N13" s="61" t="n">
        <v>1.7</v>
      </c>
      <c r="O13" s="61" t="n">
        <v>1.5</v>
      </c>
      <c r="P13" s="61" t="n">
        <v>1.5</v>
      </c>
      <c r="Q13" s="61" t="n">
        <v>1.8</v>
      </c>
      <c r="R13" s="61" t="n">
        <v>1.4</v>
      </c>
      <c r="S13" s="61" t="n">
        <v>1.9</v>
      </c>
      <c r="T13" s="61" t="n">
        <v>1.7</v>
      </c>
      <c r="U13" s="61" t="n">
        <v>1.8</v>
      </c>
      <c r="V13" s="61" t="n">
        <v>1.4</v>
      </c>
      <c r="W13" s="61" t="n">
        <v>1.4</v>
      </c>
      <c r="X13" s="61" t="n">
        <v>15.7</v>
      </c>
      <c r="Y13" s="61" t="n">
        <v>11.9</v>
      </c>
      <c r="Z13" s="61" t="n">
        <v>15.5</v>
      </c>
      <c r="AA13" s="61" t="n">
        <v>10.7</v>
      </c>
      <c r="AB13" s="61" t="n">
        <v>15</v>
      </c>
      <c r="AC13" s="56" t="n">
        <f aca="false">((D13+E13+F13+G13+H13+I13+J13+K13+L13+M13)/2)+(N13+O13+P13+Q13+R13)+(S13+T13+U13+V13+W13)</f>
        <v>38.2</v>
      </c>
      <c r="AD13" s="57" t="n">
        <f aca="false">(X13+Y13+Z13+AA13+AB13)*50/100</f>
        <v>34.4</v>
      </c>
      <c r="AE13" s="58" t="n">
        <f aca="false">AC13+AD13</f>
        <v>72.6</v>
      </c>
    </row>
    <row r="14" customFormat="false" ht="18" hidden="false" customHeight="true" outlineLevel="0" collapsed="false">
      <c r="A14" s="53" t="n">
        <v>7</v>
      </c>
      <c r="B14" s="53" t="s">
        <v>62</v>
      </c>
      <c r="C14" s="54" t="s">
        <v>63</v>
      </c>
      <c r="D14" s="55" t="n">
        <v>5.3</v>
      </c>
      <c r="E14" s="55" t="n">
        <v>3.8</v>
      </c>
      <c r="F14" s="55" t="n">
        <v>6</v>
      </c>
      <c r="G14" s="55" t="n">
        <v>5</v>
      </c>
      <c r="H14" s="55" t="n">
        <v>3.4</v>
      </c>
      <c r="I14" s="55" t="n">
        <v>5.9</v>
      </c>
      <c r="J14" s="55" t="n">
        <v>4.2</v>
      </c>
      <c r="K14" s="55" t="n">
        <v>5.4</v>
      </c>
      <c r="L14" s="55" t="n">
        <v>4</v>
      </c>
      <c r="M14" s="55" t="n">
        <v>5.8</v>
      </c>
      <c r="N14" s="55" t="n">
        <v>1.8</v>
      </c>
      <c r="O14" s="55" t="n">
        <v>1.2</v>
      </c>
      <c r="P14" s="55" t="n">
        <v>1.5</v>
      </c>
      <c r="Q14" s="55" t="n">
        <v>1.5</v>
      </c>
      <c r="R14" s="55" t="n">
        <v>1</v>
      </c>
      <c r="S14" s="55" t="n">
        <v>1.1</v>
      </c>
      <c r="T14" s="55" t="n">
        <v>1.3</v>
      </c>
      <c r="U14" s="55" t="n">
        <v>1.5</v>
      </c>
      <c r="V14" s="55" t="n">
        <v>1.5</v>
      </c>
      <c r="W14" s="55" t="n">
        <v>1.6</v>
      </c>
      <c r="X14" s="55" t="n">
        <v>15.2</v>
      </c>
      <c r="Y14" s="55" t="n">
        <v>13.3</v>
      </c>
      <c r="Z14" s="55" t="n">
        <v>16.1</v>
      </c>
      <c r="AA14" s="55" t="n">
        <v>11.6</v>
      </c>
      <c r="AB14" s="55" t="n">
        <v>19.9</v>
      </c>
      <c r="AC14" s="56" t="n">
        <f aca="false">((D14+E14+F14+G14+H14+I14+J14+K14+L14+M14)/2)+(N14+O14+P14+Q14+R14)+(S14+T14+U14+V14+W14)</f>
        <v>38.4</v>
      </c>
      <c r="AD14" s="57" t="n">
        <f aca="false">(X14+Y14+Z14+AA14+AB14)*50/100</f>
        <v>38.05</v>
      </c>
      <c r="AE14" s="58" t="n">
        <f aca="false">AC14+AD14</f>
        <v>76.45</v>
      </c>
    </row>
    <row r="15" customFormat="false" ht="18" hidden="false" customHeight="true" outlineLevel="0" collapsed="false">
      <c r="A15" s="59" t="n">
        <v>8</v>
      </c>
      <c r="B15" s="59" t="s">
        <v>64</v>
      </c>
      <c r="C15" s="60" t="s">
        <v>65</v>
      </c>
      <c r="D15" s="61" t="n">
        <v>5.2</v>
      </c>
      <c r="E15" s="61" t="n">
        <v>3.9</v>
      </c>
      <c r="F15" s="61" t="n">
        <v>4</v>
      </c>
      <c r="G15" s="61" t="n">
        <v>5.5</v>
      </c>
      <c r="H15" s="61" t="n">
        <v>4.6</v>
      </c>
      <c r="I15" s="61" t="n">
        <v>5.1</v>
      </c>
      <c r="J15" s="61" t="n">
        <v>3.9</v>
      </c>
      <c r="K15" s="61" t="n">
        <v>5.4</v>
      </c>
      <c r="L15" s="61" t="n">
        <v>4.1</v>
      </c>
      <c r="M15" s="61" t="n">
        <v>5</v>
      </c>
      <c r="N15" s="61" t="n">
        <v>2</v>
      </c>
      <c r="O15" s="61" t="n">
        <v>1.6</v>
      </c>
      <c r="P15" s="61" t="n">
        <v>1.8</v>
      </c>
      <c r="Q15" s="61" t="n">
        <v>1.7</v>
      </c>
      <c r="R15" s="61" t="n">
        <v>1.7</v>
      </c>
      <c r="S15" s="61" t="n">
        <v>1</v>
      </c>
      <c r="T15" s="61" t="n">
        <v>1.5</v>
      </c>
      <c r="U15" s="61" t="n">
        <v>2</v>
      </c>
      <c r="V15" s="61" t="n">
        <v>1.8</v>
      </c>
      <c r="W15" s="61" t="n">
        <v>1.8</v>
      </c>
      <c r="X15" s="61" t="n">
        <v>15.8</v>
      </c>
      <c r="Y15" s="61" t="n">
        <v>17.2</v>
      </c>
      <c r="Z15" s="61" t="n">
        <v>15.8</v>
      </c>
      <c r="AA15" s="61" t="n">
        <v>11.7</v>
      </c>
      <c r="AB15" s="61" t="n">
        <v>16.3</v>
      </c>
      <c r="AC15" s="56" t="n">
        <f aca="false">((D15+E15+F15+G15+H15+I15+J15+K15+L15+M15)/2)+(N15+O15+P15+Q15+R15)+(S15+T15+U15+V15+W15)</f>
        <v>40.25</v>
      </c>
      <c r="AD15" s="57" t="n">
        <f aca="false">(X15+Y15+Z15+AA15+AB15)*50/100</f>
        <v>38.4</v>
      </c>
      <c r="AE15" s="58" t="n">
        <f aca="false">AC15+AD15</f>
        <v>78.65</v>
      </c>
    </row>
    <row r="16" customFormat="false" ht="18" hidden="false" customHeight="true" outlineLevel="0" collapsed="false">
      <c r="A16" s="53" t="n">
        <v>9</v>
      </c>
      <c r="B16" s="53" t="s">
        <v>66</v>
      </c>
      <c r="C16" s="54" t="s">
        <v>67</v>
      </c>
      <c r="D16" s="55" t="n">
        <v>4.9</v>
      </c>
      <c r="E16" s="55" t="n">
        <v>5.5</v>
      </c>
      <c r="F16" s="55" t="n">
        <v>3.4</v>
      </c>
      <c r="G16" s="55" t="n">
        <v>5</v>
      </c>
      <c r="H16" s="55" t="n">
        <v>3.1</v>
      </c>
      <c r="I16" s="55" t="n">
        <v>5.8</v>
      </c>
      <c r="J16" s="55" t="n">
        <v>3.3</v>
      </c>
      <c r="K16" s="55" t="n">
        <v>3.1</v>
      </c>
      <c r="L16" s="55" t="n">
        <v>3.9</v>
      </c>
      <c r="M16" s="55" t="n">
        <v>3.5</v>
      </c>
      <c r="N16" s="55" t="n">
        <v>1.7</v>
      </c>
      <c r="O16" s="55" t="n">
        <v>1.4</v>
      </c>
      <c r="P16" s="55" t="n">
        <v>1.8</v>
      </c>
      <c r="Q16" s="55" t="n">
        <v>1.9</v>
      </c>
      <c r="R16" s="55" t="n">
        <v>1.9</v>
      </c>
      <c r="S16" s="55" t="n">
        <v>1.7</v>
      </c>
      <c r="T16" s="55" t="n">
        <v>1.1</v>
      </c>
      <c r="U16" s="55" t="n">
        <v>1.1</v>
      </c>
      <c r="V16" s="55" t="n">
        <v>1.2</v>
      </c>
      <c r="W16" s="55" t="n">
        <v>1.3</v>
      </c>
      <c r="X16" s="55" t="n">
        <v>16.6</v>
      </c>
      <c r="Y16" s="55" t="n">
        <v>15.3</v>
      </c>
      <c r="Z16" s="55" t="n">
        <v>13.1</v>
      </c>
      <c r="AA16" s="55" t="n">
        <v>11.7</v>
      </c>
      <c r="AB16" s="55" t="n">
        <v>19.1</v>
      </c>
      <c r="AC16" s="56" t="n">
        <f aca="false">((D16+E16+F16+G16+H16+I16+J16+K16+L16+M16)/2)+(N16+O16+P16+Q16+R16)+(S16+T16+U16+V16+W16)</f>
        <v>35.85</v>
      </c>
      <c r="AD16" s="57" t="n">
        <f aca="false">(X16+Y16+Z16+AA16+AB16)*50/100</f>
        <v>37.9</v>
      </c>
      <c r="AE16" s="58" t="n">
        <f aca="false">AC16+AD16</f>
        <v>73.75</v>
      </c>
    </row>
    <row r="17" customFormat="false" ht="18" hidden="false" customHeight="true" outlineLevel="0" collapsed="false">
      <c r="A17" s="59" t="n">
        <v>10</v>
      </c>
      <c r="B17" s="59" t="s">
        <v>68</v>
      </c>
      <c r="C17" s="60" t="s">
        <v>69</v>
      </c>
      <c r="D17" s="61" t="n">
        <v>4</v>
      </c>
      <c r="E17" s="61" t="n">
        <v>4.1</v>
      </c>
      <c r="F17" s="61" t="n">
        <v>5.3</v>
      </c>
      <c r="G17" s="61" t="n">
        <v>5.2</v>
      </c>
      <c r="H17" s="61" t="n">
        <v>4.9</v>
      </c>
      <c r="I17" s="61" t="n">
        <v>5.1</v>
      </c>
      <c r="J17" s="61" t="n">
        <v>4.8</v>
      </c>
      <c r="K17" s="61" t="n">
        <v>3.6</v>
      </c>
      <c r="L17" s="61" t="n">
        <v>3.7</v>
      </c>
      <c r="M17" s="61" t="n">
        <v>4.7</v>
      </c>
      <c r="N17" s="61" t="n">
        <v>1.2</v>
      </c>
      <c r="O17" s="61" t="n">
        <v>2</v>
      </c>
      <c r="P17" s="61" t="n">
        <v>1.3</v>
      </c>
      <c r="Q17" s="61" t="n">
        <v>1.3</v>
      </c>
      <c r="R17" s="61" t="n">
        <v>1.2</v>
      </c>
      <c r="S17" s="61" t="n">
        <v>1.7</v>
      </c>
      <c r="T17" s="61" t="n">
        <v>1.3</v>
      </c>
      <c r="U17" s="61" t="n">
        <v>1.3</v>
      </c>
      <c r="V17" s="61" t="n">
        <v>1.9</v>
      </c>
      <c r="W17" s="61" t="n">
        <v>1.8</v>
      </c>
      <c r="X17" s="61" t="n">
        <v>12.7</v>
      </c>
      <c r="Y17" s="61" t="n">
        <v>11.2</v>
      </c>
      <c r="Z17" s="61" t="n">
        <v>16.8</v>
      </c>
      <c r="AA17" s="61" t="n">
        <v>13.8</v>
      </c>
      <c r="AB17" s="61" t="n">
        <v>19.8</v>
      </c>
      <c r="AC17" s="56" t="n">
        <f aca="false">((D17+E17+F17+G17+H17+I17+J17+K17+L17+M17)/2)+(N17+O17+P17+Q17+R17)+(S17+T17+U17+V17+W17)</f>
        <v>37.7</v>
      </c>
      <c r="AD17" s="57" t="n">
        <f aca="false">(X17+Y17+Z17+AA17+AB17)*50/100</f>
        <v>37.15</v>
      </c>
      <c r="AE17" s="58" t="n">
        <f aca="false">AC17+AD17</f>
        <v>74.85</v>
      </c>
    </row>
    <row r="18" customFormat="false" ht="18" hidden="false" customHeight="true" outlineLevel="0" collapsed="false">
      <c r="A18" s="53" t="n">
        <v>11</v>
      </c>
      <c r="B18" s="53" t="s">
        <v>70</v>
      </c>
      <c r="C18" s="54" t="s">
        <v>71</v>
      </c>
      <c r="D18" s="55" t="n">
        <v>5.5</v>
      </c>
      <c r="E18" s="55" t="n">
        <v>5.9</v>
      </c>
      <c r="F18" s="55" t="n">
        <v>5.4</v>
      </c>
      <c r="G18" s="55" t="n">
        <v>3.9</v>
      </c>
      <c r="H18" s="55" t="n">
        <v>3.9</v>
      </c>
      <c r="I18" s="55" t="n">
        <v>5.1</v>
      </c>
      <c r="J18" s="55" t="n">
        <v>4</v>
      </c>
      <c r="K18" s="55" t="n">
        <v>4.3</v>
      </c>
      <c r="L18" s="55" t="n">
        <v>3.8</v>
      </c>
      <c r="M18" s="55" t="n">
        <v>4.4</v>
      </c>
      <c r="N18" s="55" t="n">
        <v>1.2</v>
      </c>
      <c r="O18" s="55" t="n">
        <v>1.5</v>
      </c>
      <c r="P18" s="55" t="n">
        <v>1.9</v>
      </c>
      <c r="Q18" s="55" t="n">
        <v>1.7</v>
      </c>
      <c r="R18" s="55" t="n">
        <v>1.1</v>
      </c>
      <c r="S18" s="55" t="n">
        <v>1.6</v>
      </c>
      <c r="T18" s="55" t="n">
        <v>1.6</v>
      </c>
      <c r="U18" s="55" t="n">
        <v>1.2</v>
      </c>
      <c r="V18" s="55" t="n">
        <v>1.7</v>
      </c>
      <c r="W18" s="55" t="n">
        <v>1.5</v>
      </c>
      <c r="X18" s="55" t="n">
        <v>16.4</v>
      </c>
      <c r="Y18" s="55" t="n">
        <v>10.5</v>
      </c>
      <c r="Z18" s="55" t="n">
        <v>14.1</v>
      </c>
      <c r="AA18" s="55" t="n">
        <v>17.2</v>
      </c>
      <c r="AB18" s="55" t="n">
        <v>11</v>
      </c>
      <c r="AC18" s="56" t="n">
        <f aca="false">((D18+E18+F18+G18+H18+I18+J18+K18+L18+M18)/2)+(N18+O18+P18+Q18+R18)+(S18+T18+U18+V18+W18)</f>
        <v>38.1</v>
      </c>
      <c r="AD18" s="57" t="n">
        <f aca="false">(X18+Y18+Z18+AA18+AB18)*50/100</f>
        <v>34.6</v>
      </c>
      <c r="AE18" s="58" t="n">
        <f aca="false">AC18+AD18</f>
        <v>72.7</v>
      </c>
    </row>
    <row r="19" customFormat="false" ht="18" hidden="false" customHeight="true" outlineLevel="0" collapsed="false">
      <c r="A19" s="59" t="n">
        <v>12</v>
      </c>
      <c r="B19" s="59" t="s">
        <v>72</v>
      </c>
      <c r="C19" s="60" t="s">
        <v>73</v>
      </c>
      <c r="D19" s="61" t="n">
        <v>5.3</v>
      </c>
      <c r="E19" s="61" t="n">
        <v>3</v>
      </c>
      <c r="F19" s="61" t="n">
        <v>4.7</v>
      </c>
      <c r="G19" s="61" t="n">
        <v>5.8</v>
      </c>
      <c r="H19" s="61" t="n">
        <v>4.2</v>
      </c>
      <c r="I19" s="61" t="n">
        <v>5.8</v>
      </c>
      <c r="J19" s="61" t="n">
        <v>5.6</v>
      </c>
      <c r="K19" s="61" t="n">
        <v>4.4</v>
      </c>
      <c r="L19" s="61" t="n">
        <v>3.6</v>
      </c>
      <c r="M19" s="61" t="n">
        <v>5.9</v>
      </c>
      <c r="N19" s="61" t="n">
        <v>1.3</v>
      </c>
      <c r="O19" s="61" t="n">
        <v>1.6</v>
      </c>
      <c r="P19" s="61" t="n">
        <v>1.9</v>
      </c>
      <c r="Q19" s="61" t="n">
        <v>1.1</v>
      </c>
      <c r="R19" s="61" t="n">
        <v>1.6</v>
      </c>
      <c r="S19" s="61" t="n">
        <v>1.5</v>
      </c>
      <c r="T19" s="61" t="n">
        <v>1.7</v>
      </c>
      <c r="U19" s="61" t="n">
        <v>1.9</v>
      </c>
      <c r="V19" s="61" t="n">
        <v>1.9</v>
      </c>
      <c r="W19" s="61" t="n">
        <v>1.2</v>
      </c>
      <c r="X19" s="61" t="n">
        <v>18.8</v>
      </c>
      <c r="Y19" s="61" t="n">
        <v>11.8</v>
      </c>
      <c r="Z19" s="61" t="n">
        <v>19.2</v>
      </c>
      <c r="AA19" s="61" t="n">
        <v>20</v>
      </c>
      <c r="AB19" s="61" t="n">
        <v>14</v>
      </c>
      <c r="AC19" s="56" t="n">
        <f aca="false">((D19+E19+F19+G19+H19+I19+J19+K19+L19+M19)/2)+(N19+O19+P19+Q19+R19)+(S19+T19+U19+V19+W19)</f>
        <v>39.85</v>
      </c>
      <c r="AD19" s="57" t="n">
        <f aca="false">(X19+Y19+Z19+AA19+AB19)*50/100</f>
        <v>41.9</v>
      </c>
      <c r="AE19" s="58" t="n">
        <f aca="false">AC19+AD19</f>
        <v>81.75</v>
      </c>
    </row>
    <row r="20" customFormat="false" ht="18" hidden="false" customHeight="true" outlineLevel="0" collapsed="false">
      <c r="A20" s="53" t="n">
        <v>13</v>
      </c>
      <c r="B20" s="53" t="s">
        <v>74</v>
      </c>
      <c r="C20" s="54" t="s">
        <v>75</v>
      </c>
      <c r="D20" s="55" t="n">
        <v>4.5</v>
      </c>
      <c r="E20" s="55" t="n">
        <v>5.8</v>
      </c>
      <c r="F20" s="55" t="n">
        <v>5.9</v>
      </c>
      <c r="G20" s="55" t="n">
        <v>5.8</v>
      </c>
      <c r="H20" s="55" t="n">
        <v>5.6</v>
      </c>
      <c r="I20" s="55" t="n">
        <v>3</v>
      </c>
      <c r="J20" s="55" t="n">
        <v>4.7</v>
      </c>
      <c r="K20" s="55" t="n">
        <v>3.3</v>
      </c>
      <c r="L20" s="55" t="n">
        <v>5.9</v>
      </c>
      <c r="M20" s="55" t="n">
        <v>3.9</v>
      </c>
      <c r="N20" s="55" t="n">
        <v>2</v>
      </c>
      <c r="O20" s="55" t="n">
        <v>1.5</v>
      </c>
      <c r="P20" s="55" t="n">
        <v>1.5</v>
      </c>
      <c r="Q20" s="55" t="n">
        <v>1.9</v>
      </c>
      <c r="R20" s="55" t="n">
        <v>1.9</v>
      </c>
      <c r="S20" s="55" t="n">
        <v>1.5</v>
      </c>
      <c r="T20" s="55" t="n">
        <v>1.2</v>
      </c>
      <c r="U20" s="55" t="n">
        <v>1.1</v>
      </c>
      <c r="V20" s="55" t="n">
        <v>1.2</v>
      </c>
      <c r="W20" s="55" t="n">
        <v>1.5</v>
      </c>
      <c r="X20" s="55" t="n">
        <v>12.6</v>
      </c>
      <c r="Y20" s="55" t="n">
        <v>11.9</v>
      </c>
      <c r="Z20" s="55" t="n">
        <v>17.4</v>
      </c>
      <c r="AA20" s="55" t="n">
        <v>17.9</v>
      </c>
      <c r="AB20" s="55" t="n">
        <v>15.7</v>
      </c>
      <c r="AC20" s="56" t="n">
        <f aca="false">((D20+E20+F20+G20+H20+I20+J20+K20+L20+M20)/2)+(N20+O20+P20+Q20+R20)+(S20+T20+U20+V20+W20)</f>
        <v>39.5</v>
      </c>
      <c r="AD20" s="57" t="n">
        <f aca="false">(X20+Y20+Z20+AA20+AB20)*50/100</f>
        <v>37.75</v>
      </c>
      <c r="AE20" s="58" t="n">
        <f aca="false">AC20+AD20</f>
        <v>77.25</v>
      </c>
    </row>
    <row r="21" customFormat="false" ht="18" hidden="false" customHeight="true" outlineLevel="0" collapsed="false">
      <c r="A21" s="59" t="n">
        <v>14</v>
      </c>
      <c r="B21" s="59" t="s">
        <v>76</v>
      </c>
      <c r="C21" s="60" t="s">
        <v>77</v>
      </c>
      <c r="D21" s="61" t="n">
        <v>5.3</v>
      </c>
      <c r="E21" s="61" t="n">
        <v>3.5</v>
      </c>
      <c r="F21" s="61" t="n">
        <v>5.6</v>
      </c>
      <c r="G21" s="61" t="n">
        <v>5.7</v>
      </c>
      <c r="H21" s="61" t="n">
        <v>5.5</v>
      </c>
      <c r="I21" s="61" t="n">
        <v>4.5</v>
      </c>
      <c r="J21" s="61" t="n">
        <v>3.3</v>
      </c>
      <c r="K21" s="61" t="n">
        <v>5</v>
      </c>
      <c r="L21" s="61" t="n">
        <v>3.6</v>
      </c>
      <c r="M21" s="61" t="n">
        <v>3.4</v>
      </c>
      <c r="N21" s="61" t="n">
        <v>1.3</v>
      </c>
      <c r="O21" s="61" t="n">
        <v>1.2</v>
      </c>
      <c r="P21" s="61" t="n">
        <v>1.3</v>
      </c>
      <c r="Q21" s="61" t="n">
        <v>1.2</v>
      </c>
      <c r="R21" s="61" t="n">
        <v>1.8</v>
      </c>
      <c r="S21" s="61" t="n">
        <v>2</v>
      </c>
      <c r="T21" s="61" t="n">
        <v>1.3</v>
      </c>
      <c r="U21" s="61" t="n">
        <v>1.7</v>
      </c>
      <c r="V21" s="61" t="n">
        <v>1</v>
      </c>
      <c r="W21" s="61" t="n">
        <v>1.7</v>
      </c>
      <c r="X21" s="61" t="n">
        <v>16.9</v>
      </c>
      <c r="Y21" s="61" t="n">
        <v>10.6</v>
      </c>
      <c r="Z21" s="61" t="n">
        <v>11.2</v>
      </c>
      <c r="AA21" s="61" t="n">
        <v>13.1</v>
      </c>
      <c r="AB21" s="61" t="n">
        <v>14.1</v>
      </c>
      <c r="AC21" s="56" t="n">
        <f aca="false">((D21+E21+F21+G21+H21+I21+J21+K21+L21+M21)/2)+(N21+O21+P21+Q21+R21)+(S21+T21+U21+V21+W21)</f>
        <v>37.2</v>
      </c>
      <c r="AD21" s="57" t="n">
        <f aca="false">(X21+Y21+Z21+AA21+AB21)*50/100</f>
        <v>32.95</v>
      </c>
      <c r="AE21" s="58" t="n">
        <f aca="false">AC21+AD21</f>
        <v>70.15</v>
      </c>
    </row>
    <row r="22" customFormat="false" ht="18" hidden="false" customHeight="true" outlineLevel="0" collapsed="false">
      <c r="A22" s="53" t="n">
        <v>15</v>
      </c>
      <c r="B22" s="53" t="s">
        <v>78</v>
      </c>
      <c r="C22" s="54" t="s">
        <v>79</v>
      </c>
      <c r="D22" s="55" t="n">
        <v>4.5</v>
      </c>
      <c r="E22" s="55" t="n">
        <v>5.7</v>
      </c>
      <c r="F22" s="55" t="n">
        <v>5.1</v>
      </c>
      <c r="G22" s="55" t="n">
        <v>3.9</v>
      </c>
      <c r="H22" s="55" t="n">
        <v>3.4</v>
      </c>
      <c r="I22" s="55" t="n">
        <v>5.7</v>
      </c>
      <c r="J22" s="55" t="n">
        <v>3.9</v>
      </c>
      <c r="K22" s="55" t="n">
        <v>4.8</v>
      </c>
      <c r="L22" s="55" t="n">
        <v>3.7</v>
      </c>
      <c r="M22" s="55" t="n">
        <v>3.4</v>
      </c>
      <c r="N22" s="55" t="n">
        <v>1.2</v>
      </c>
      <c r="O22" s="55" t="n">
        <v>1.7</v>
      </c>
      <c r="P22" s="55" t="n">
        <v>1.6</v>
      </c>
      <c r="Q22" s="55" t="n">
        <v>1.4</v>
      </c>
      <c r="R22" s="55" t="n">
        <v>1.5</v>
      </c>
      <c r="S22" s="55" t="n">
        <v>1.5</v>
      </c>
      <c r="T22" s="55" t="n">
        <v>1.5</v>
      </c>
      <c r="U22" s="55" t="n">
        <v>1.7</v>
      </c>
      <c r="V22" s="55" t="n">
        <v>1.2</v>
      </c>
      <c r="W22" s="55" t="n">
        <v>1.2</v>
      </c>
      <c r="X22" s="55" t="n">
        <v>17.5</v>
      </c>
      <c r="Y22" s="55" t="n">
        <v>18.7</v>
      </c>
      <c r="Z22" s="55" t="n">
        <v>10.8</v>
      </c>
      <c r="AA22" s="55" t="n">
        <v>14.5</v>
      </c>
      <c r="AB22" s="55" t="n">
        <v>17</v>
      </c>
      <c r="AC22" s="56" t="n">
        <f aca="false">((D22+E22+F22+G22+H22+I22+J22+K22+L22+M22)/2)+(N22+O22+P22+Q22+R22)+(S22+T22+U22+V22+W22)</f>
        <v>36.55</v>
      </c>
      <c r="AD22" s="57" t="n">
        <f aca="false">(X22+Y22+Z22+AA22+AB22)*50/100</f>
        <v>39.25</v>
      </c>
      <c r="AE22" s="58" t="n">
        <f aca="false">AC22+AD22</f>
        <v>75.8</v>
      </c>
    </row>
    <row r="23" customFormat="false" ht="18" hidden="false" customHeight="true" outlineLevel="0" collapsed="false">
      <c r="A23" s="59" t="n">
        <v>16</v>
      </c>
      <c r="B23" s="59" t="s">
        <v>80</v>
      </c>
      <c r="C23" s="60" t="s">
        <v>81</v>
      </c>
      <c r="D23" s="61" t="n">
        <v>3.2</v>
      </c>
      <c r="E23" s="61" t="n">
        <v>4.7</v>
      </c>
      <c r="F23" s="61" t="n">
        <v>3.2</v>
      </c>
      <c r="G23" s="61" t="n">
        <v>4.6</v>
      </c>
      <c r="H23" s="61" t="n">
        <v>4.5</v>
      </c>
      <c r="I23" s="61" t="n">
        <v>4.7</v>
      </c>
      <c r="J23" s="61" t="n">
        <v>3.4</v>
      </c>
      <c r="K23" s="61" t="n">
        <v>4</v>
      </c>
      <c r="L23" s="61" t="n">
        <v>4.6</v>
      </c>
      <c r="M23" s="61" t="n">
        <v>3.3</v>
      </c>
      <c r="N23" s="61" t="n">
        <v>1.2</v>
      </c>
      <c r="O23" s="61" t="n">
        <v>1.6</v>
      </c>
      <c r="P23" s="61" t="n">
        <v>1.1</v>
      </c>
      <c r="Q23" s="61" t="n">
        <v>1.5</v>
      </c>
      <c r="R23" s="61" t="n">
        <v>1.8</v>
      </c>
      <c r="S23" s="61" t="n">
        <v>1.5</v>
      </c>
      <c r="T23" s="61" t="n">
        <v>1.5</v>
      </c>
      <c r="U23" s="61" t="n">
        <v>1.5</v>
      </c>
      <c r="V23" s="61" t="n">
        <v>1.1</v>
      </c>
      <c r="W23" s="61" t="n">
        <v>1.5</v>
      </c>
      <c r="X23" s="61" t="n">
        <v>18.1</v>
      </c>
      <c r="Y23" s="61" t="n">
        <v>17.2</v>
      </c>
      <c r="Z23" s="61" t="n">
        <v>14</v>
      </c>
      <c r="AA23" s="61" t="n">
        <v>18.2</v>
      </c>
      <c r="AB23" s="61" t="n">
        <v>17.5</v>
      </c>
      <c r="AC23" s="56" t="n">
        <f aca="false">((D23+E23+F23+G23+H23+I23+J23+K23+L23+M23)/2)+(N23+O23+P23+Q23+R23)+(S23+T23+U23+V23+W23)</f>
        <v>34.4</v>
      </c>
      <c r="AD23" s="57" t="n">
        <f aca="false">(X23+Y23+Z23+AA23+AB23)*50/100</f>
        <v>42.5</v>
      </c>
      <c r="AE23" s="58" t="n">
        <f aca="false">AC23+AD23</f>
        <v>76.9</v>
      </c>
    </row>
    <row r="24" customFormat="false" ht="18" hidden="false" customHeight="true" outlineLevel="0" collapsed="false">
      <c r="A24" s="53" t="n">
        <v>17</v>
      </c>
      <c r="B24" s="53" t="s">
        <v>82</v>
      </c>
      <c r="C24" s="54" t="s">
        <v>83</v>
      </c>
      <c r="D24" s="55" t="n">
        <v>4.7</v>
      </c>
      <c r="E24" s="55" t="n">
        <v>3.1</v>
      </c>
      <c r="F24" s="55" t="n">
        <v>4</v>
      </c>
      <c r="G24" s="55" t="n">
        <v>3.2</v>
      </c>
      <c r="H24" s="55" t="n">
        <v>6</v>
      </c>
      <c r="I24" s="55" t="n">
        <v>5.8</v>
      </c>
      <c r="J24" s="55" t="n">
        <v>3.2</v>
      </c>
      <c r="K24" s="55" t="n">
        <v>5.8</v>
      </c>
      <c r="L24" s="55" t="n">
        <v>3.1</v>
      </c>
      <c r="M24" s="55" t="n">
        <v>4.2</v>
      </c>
      <c r="N24" s="55" t="n">
        <v>1.8</v>
      </c>
      <c r="O24" s="55" t="n">
        <v>1.8</v>
      </c>
      <c r="P24" s="55" t="n">
        <v>2</v>
      </c>
      <c r="Q24" s="55" t="n">
        <v>1.6</v>
      </c>
      <c r="R24" s="55" t="n">
        <v>1.4</v>
      </c>
      <c r="S24" s="55" t="n">
        <v>2</v>
      </c>
      <c r="T24" s="55" t="n">
        <v>1.4</v>
      </c>
      <c r="U24" s="55" t="n">
        <v>1.9</v>
      </c>
      <c r="V24" s="55" t="n">
        <v>1.9</v>
      </c>
      <c r="W24" s="55" t="n">
        <v>1.4</v>
      </c>
      <c r="X24" s="55" t="n">
        <v>16.8</v>
      </c>
      <c r="Y24" s="55" t="n">
        <v>16.6</v>
      </c>
      <c r="Z24" s="55" t="n">
        <v>15.4</v>
      </c>
      <c r="AA24" s="55" t="n">
        <v>16.5</v>
      </c>
      <c r="AB24" s="55" t="n">
        <v>13.5</v>
      </c>
      <c r="AC24" s="56" t="n">
        <f aca="false">((D24+E24+F24+G24+H24+I24+J24+K24+L24+M24)/2)+(N24+O24+P24+Q24+R24)+(S24+T24+U24+V24+W24)</f>
        <v>38.75</v>
      </c>
      <c r="AD24" s="57" t="n">
        <f aca="false">(X24+Y24+Z24+AA24+AB24)*50/100</f>
        <v>39.4</v>
      </c>
      <c r="AE24" s="58" t="n">
        <f aca="false">AC24+AD24</f>
        <v>78.15</v>
      </c>
    </row>
    <row r="25" customFormat="false" ht="18" hidden="false" customHeight="true" outlineLevel="0" collapsed="false">
      <c r="A25" s="59" t="n">
        <v>18</v>
      </c>
      <c r="B25" s="59" t="s">
        <v>84</v>
      </c>
      <c r="C25" s="60" t="s">
        <v>85</v>
      </c>
      <c r="D25" s="61" t="n">
        <v>3.5</v>
      </c>
      <c r="E25" s="61" t="n">
        <v>4.6</v>
      </c>
      <c r="F25" s="61" t="n">
        <v>4.6</v>
      </c>
      <c r="G25" s="61" t="n">
        <v>5.2</v>
      </c>
      <c r="H25" s="61" t="n">
        <v>3.7</v>
      </c>
      <c r="I25" s="61" t="n">
        <v>3</v>
      </c>
      <c r="J25" s="61" t="n">
        <v>3.1</v>
      </c>
      <c r="K25" s="61" t="n">
        <v>3.9</v>
      </c>
      <c r="L25" s="61" t="n">
        <v>5</v>
      </c>
      <c r="M25" s="61" t="n">
        <v>4.6</v>
      </c>
      <c r="N25" s="61" t="n">
        <v>1.5</v>
      </c>
      <c r="O25" s="61" t="n">
        <v>1.8</v>
      </c>
      <c r="P25" s="61" t="n">
        <v>1.2</v>
      </c>
      <c r="Q25" s="61" t="n">
        <v>1.3</v>
      </c>
      <c r="R25" s="61" t="n">
        <v>1.3</v>
      </c>
      <c r="S25" s="61" t="n">
        <v>1.9</v>
      </c>
      <c r="T25" s="61" t="n">
        <v>1.7</v>
      </c>
      <c r="U25" s="61" t="n">
        <v>1.1</v>
      </c>
      <c r="V25" s="61" t="n">
        <v>1.8</v>
      </c>
      <c r="W25" s="61" t="n">
        <v>1.4</v>
      </c>
      <c r="X25" s="61" t="n">
        <v>17.7</v>
      </c>
      <c r="Y25" s="61" t="n">
        <v>18.8</v>
      </c>
      <c r="Z25" s="61" t="n">
        <v>10.2</v>
      </c>
      <c r="AA25" s="61" t="n">
        <v>12.1</v>
      </c>
      <c r="AB25" s="61" t="n">
        <v>11</v>
      </c>
      <c r="AC25" s="56" t="n">
        <f aca="false">((D25+E25+F25+G25+H25+I25+J25+K25+L25+M25)/2)+(N25+O25+P25+Q25+R25)+(S25+T25+U25+V25+W25)</f>
        <v>35.6</v>
      </c>
      <c r="AD25" s="57" t="n">
        <f aca="false">(X25+Y25+Z25+AA25+AB25)*50/100</f>
        <v>34.9</v>
      </c>
      <c r="AE25" s="58" t="n">
        <f aca="false">AC25+AD25</f>
        <v>70.5</v>
      </c>
    </row>
    <row r="26" customFormat="false" ht="18" hidden="false" customHeight="true" outlineLevel="0" collapsed="false">
      <c r="A26" s="53" t="n">
        <v>19</v>
      </c>
      <c r="B26" s="53" t="s">
        <v>86</v>
      </c>
      <c r="C26" s="54" t="s">
        <v>87</v>
      </c>
      <c r="D26" s="55" t="n">
        <v>3.1</v>
      </c>
      <c r="E26" s="55" t="n">
        <v>4.8</v>
      </c>
      <c r="F26" s="55" t="n">
        <v>5.1</v>
      </c>
      <c r="G26" s="55" t="n">
        <v>3.1</v>
      </c>
      <c r="H26" s="55" t="n">
        <v>5.2</v>
      </c>
      <c r="I26" s="55" t="n">
        <v>4.2</v>
      </c>
      <c r="J26" s="55" t="n">
        <v>3.7</v>
      </c>
      <c r="K26" s="55" t="n">
        <v>3.7</v>
      </c>
      <c r="L26" s="55" t="n">
        <v>5.6</v>
      </c>
      <c r="M26" s="55" t="n">
        <v>3.2</v>
      </c>
      <c r="N26" s="55" t="n">
        <v>1.5</v>
      </c>
      <c r="O26" s="55" t="n">
        <v>1.3</v>
      </c>
      <c r="P26" s="55" t="n">
        <v>1.8</v>
      </c>
      <c r="Q26" s="55" t="n">
        <v>1.7</v>
      </c>
      <c r="R26" s="55" t="n">
        <v>1.3</v>
      </c>
      <c r="S26" s="55" t="n">
        <v>1.6</v>
      </c>
      <c r="T26" s="55" t="n">
        <v>1.7</v>
      </c>
      <c r="U26" s="55" t="n">
        <v>1.3</v>
      </c>
      <c r="V26" s="55" t="n">
        <v>1.3</v>
      </c>
      <c r="W26" s="55" t="n">
        <v>1.1</v>
      </c>
      <c r="X26" s="55" t="n">
        <v>16.6</v>
      </c>
      <c r="Y26" s="55" t="n">
        <v>12.2</v>
      </c>
      <c r="Z26" s="55" t="n">
        <v>13</v>
      </c>
      <c r="AA26" s="55" t="n">
        <v>10.6</v>
      </c>
      <c r="AB26" s="55" t="n">
        <v>19.5</v>
      </c>
      <c r="AC26" s="56" t="n">
        <f aca="false">((D26+E26+F26+G26+H26+I26+J26+K26+L26+M26)/2)+(N26+O26+P26+Q26+R26)+(S26+T26+U26+V26+W26)</f>
        <v>35.45</v>
      </c>
      <c r="AD26" s="57" t="n">
        <f aca="false">(X26+Y26+Z26+AA26+AB26)*50/100</f>
        <v>35.95</v>
      </c>
      <c r="AE26" s="58" t="n">
        <f aca="false">AC26+AD26</f>
        <v>71.4</v>
      </c>
    </row>
    <row r="27" customFormat="false" ht="18" hidden="false" customHeight="true" outlineLevel="0" collapsed="false">
      <c r="A27" s="59" t="n">
        <v>20</v>
      </c>
      <c r="B27" s="59" t="s">
        <v>88</v>
      </c>
      <c r="C27" s="60" t="s">
        <v>89</v>
      </c>
      <c r="D27" s="61" t="n">
        <v>5.6</v>
      </c>
      <c r="E27" s="61" t="n">
        <v>5.7</v>
      </c>
      <c r="F27" s="61" t="n">
        <v>4.9</v>
      </c>
      <c r="G27" s="61" t="n">
        <v>4.3</v>
      </c>
      <c r="H27" s="61" t="n">
        <v>4.5</v>
      </c>
      <c r="I27" s="61" t="n">
        <v>5.9</v>
      </c>
      <c r="J27" s="61" t="n">
        <v>5.8</v>
      </c>
      <c r="K27" s="61" t="n">
        <v>5</v>
      </c>
      <c r="L27" s="61" t="n">
        <v>5.4</v>
      </c>
      <c r="M27" s="61" t="n">
        <v>4</v>
      </c>
      <c r="N27" s="61" t="n">
        <v>1.4</v>
      </c>
      <c r="O27" s="61" t="n">
        <v>1.1</v>
      </c>
      <c r="P27" s="61" t="n">
        <v>1.4</v>
      </c>
      <c r="Q27" s="61" t="n">
        <v>1.8</v>
      </c>
      <c r="R27" s="61" t="n">
        <v>1.5</v>
      </c>
      <c r="S27" s="61" t="n">
        <v>1.8</v>
      </c>
      <c r="T27" s="61" t="n">
        <v>1.3</v>
      </c>
      <c r="U27" s="61" t="n">
        <v>1.7</v>
      </c>
      <c r="V27" s="61" t="n">
        <v>1.8</v>
      </c>
      <c r="W27" s="61" t="n">
        <v>1.9</v>
      </c>
      <c r="X27" s="61" t="n">
        <v>15.6</v>
      </c>
      <c r="Y27" s="61" t="n">
        <v>19.7</v>
      </c>
      <c r="Z27" s="61" t="n">
        <v>15.6</v>
      </c>
      <c r="AA27" s="61" t="n">
        <v>11.3</v>
      </c>
      <c r="AB27" s="61" t="n">
        <v>12.4</v>
      </c>
      <c r="AC27" s="56" t="n">
        <f aca="false">((D27+E27+F27+G27+H27+I27+J27+K27+L27+M27)/2)+(N27+O27+P27+Q27+R27)+(S27+T27+U27+V27+W27)</f>
        <v>41.25</v>
      </c>
      <c r="AD27" s="57" t="n">
        <f aca="false">(X27+Y27+Z27+AA27+AB27)*50/100</f>
        <v>37.3</v>
      </c>
      <c r="AE27" s="58" t="n">
        <f aca="false">AC27+AD27</f>
        <v>78.55</v>
      </c>
    </row>
    <row r="29" customFormat="false" ht="21.75" hidden="false" customHeight="true" outlineLevel="0" collapsed="false">
      <c r="A29" s="62" t="s">
        <v>90</v>
      </c>
      <c r="B29" s="62"/>
      <c r="C29" s="62"/>
    </row>
    <row r="30" customFormat="false" ht="18" hidden="false" customHeight="true" outlineLevel="0" collapsed="false">
      <c r="A30" s="63" t="s">
        <v>91</v>
      </c>
      <c r="B30" s="63"/>
      <c r="C30" s="63"/>
      <c r="D30" s="64" t="n">
        <f aca="false">AVERAGE(D8:D27)</f>
        <v>4.645</v>
      </c>
      <c r="E30" s="64" t="n">
        <f aca="false">AVERAGE(E8:E27)</f>
        <v>4.515</v>
      </c>
      <c r="F30" s="64" t="n">
        <f aca="false">AVERAGE(F8:F27)</f>
        <v>4.63</v>
      </c>
      <c r="G30" s="64" t="n">
        <f aca="false">AVERAGE(G8:G27)</f>
        <v>4.71</v>
      </c>
      <c r="H30" s="64" t="n">
        <f aca="false">AVERAGE(H8:H27)</f>
        <v>4.465</v>
      </c>
    </row>
    <row r="31" customFormat="false" ht="18" hidden="false" customHeight="true" outlineLevel="0" collapsed="false">
      <c r="A31" s="65" t="s">
        <v>92</v>
      </c>
      <c r="B31" s="65"/>
      <c r="C31" s="65"/>
      <c r="I31" s="64" t="n">
        <f aca="false">AVERAGE(I8:I27)</f>
        <v>4.825</v>
      </c>
      <c r="J31" s="64" t="n">
        <f aca="false">AVERAGE(J8:J27)</f>
        <v>4.17</v>
      </c>
      <c r="K31" s="64" t="n">
        <f aca="false">AVERAGE(K8:K27)</f>
        <v>4.27</v>
      </c>
      <c r="L31" s="64" t="n">
        <f aca="false">AVERAGE(L8:L27)</f>
        <v>4.495</v>
      </c>
      <c r="M31" s="64" t="n">
        <f aca="false">AVERAGE(M8:M27)</f>
        <v>4.5</v>
      </c>
    </row>
    <row r="32" customFormat="false" ht="18" hidden="false" customHeight="true" outlineLevel="0" collapsed="false">
      <c r="A32" s="66" t="s">
        <v>93</v>
      </c>
      <c r="B32" s="66"/>
      <c r="C32" s="66"/>
      <c r="N32" s="64" t="n">
        <f aca="false">AVERAGE(N8:N27)</f>
        <v>1.505</v>
      </c>
      <c r="O32" s="64" t="n">
        <f aca="false">AVERAGE(O8:O27)</f>
        <v>1.495</v>
      </c>
      <c r="P32" s="64" t="n">
        <f aca="false">AVERAGE(P8:P27)</f>
        <v>1.535</v>
      </c>
      <c r="Q32" s="64" t="n">
        <f aca="false">AVERAGE(Q8:Q27)</f>
        <v>1.55</v>
      </c>
      <c r="R32" s="64" t="n">
        <f aca="false">AVERAGE(R8:R27)</f>
        <v>1.525</v>
      </c>
    </row>
    <row r="33" customFormat="false" ht="18" hidden="false" customHeight="true" outlineLevel="0" collapsed="false">
      <c r="A33" s="67" t="s">
        <v>94</v>
      </c>
      <c r="B33" s="67"/>
      <c r="C33" s="67"/>
      <c r="S33" s="64" t="n">
        <f aca="false">AVERAGE(S8:S27)</f>
        <v>1.605</v>
      </c>
      <c r="T33" s="64" t="n">
        <f aca="false">AVERAGE(T8:T27)</f>
        <v>1.5</v>
      </c>
      <c r="U33" s="64" t="n">
        <f aca="false">AVERAGE(U8:U27)</f>
        <v>1.52</v>
      </c>
      <c r="V33" s="64" t="n">
        <f aca="false">AVERAGE(V8:V27)</f>
        <v>1.46</v>
      </c>
      <c r="W33" s="64" t="n">
        <f aca="false">AVERAGE(W8:W27)</f>
        <v>1.53</v>
      </c>
    </row>
    <row r="34" customFormat="false" ht="18" hidden="false" customHeight="true" outlineLevel="0" collapsed="false">
      <c r="A34" s="68" t="s">
        <v>95</v>
      </c>
      <c r="B34" s="68"/>
      <c r="C34" s="68"/>
      <c r="X34" s="64" t="n">
        <f aca="false">AVERAGE(X8:X27)</f>
        <v>15.745</v>
      </c>
      <c r="Y34" s="64" t="n">
        <f aca="false">AVERAGE(Y8:Y27)</f>
        <v>14.675</v>
      </c>
      <c r="Z34" s="64" t="n">
        <f aca="false">AVERAGE(Z8:Z27)</f>
        <v>14.31</v>
      </c>
      <c r="AA34" s="64" t="n">
        <f aca="false">AVERAGE(AA8:AA27)</f>
        <v>14.465</v>
      </c>
      <c r="AB34" s="64" t="n">
        <f aca="false">AVERAGE(AB8:AB27)</f>
        <v>15.725</v>
      </c>
    </row>
    <row r="35" customFormat="false" ht="21.75" hidden="false" customHeight="true" outlineLevel="0" collapsed="false">
      <c r="A35" s="62" t="s">
        <v>96</v>
      </c>
      <c r="B35" s="62"/>
      <c r="C35" s="62"/>
      <c r="D35" s="69" t="n">
        <f aca="false">(D30+I31+N32+S33+X34)/36</f>
        <v>0.786805555555556</v>
      </c>
      <c r="E35" s="69" t="n">
        <f aca="false">(E30+J31+O32+T33+Y34)/36</f>
        <v>0.732083333333333</v>
      </c>
      <c r="F35" s="69" t="n">
        <f aca="false">(F30+K31+P32+U33+Z34)/36</f>
        <v>0.729583333333333</v>
      </c>
      <c r="G35" s="69" t="n">
        <f aca="false">(G30+L31+Q32+V33+AA34)/36</f>
        <v>0.741111111111111</v>
      </c>
      <c r="H35" s="69" t="n">
        <f aca="false">(H30+M31+R32+W33+AB34)/36</f>
        <v>0.770694444444444</v>
      </c>
    </row>
    <row r="36" customFormat="false" ht="21.75" hidden="false" customHeight="true" outlineLevel="0" collapsed="false">
      <c r="A36" s="46" t="s">
        <v>97</v>
      </c>
      <c r="B36" s="46"/>
      <c r="C36" s="46"/>
      <c r="D36" s="70" t="n">
        <f aca="false">IF(D35&gt;=0.6,3,IF(D35&gt;=0.4,2,1))</f>
        <v>3</v>
      </c>
      <c r="E36" s="70" t="n">
        <f aca="false">IF(E35&gt;=0.6,3,IF(E35&gt;=0.4,2,1))</f>
        <v>3</v>
      </c>
      <c r="F36" s="70" t="n">
        <f aca="false">IF(F35&gt;=0.6,3,IF(F35&gt;=0.4,2,1))</f>
        <v>3</v>
      </c>
      <c r="G36" s="70" t="n">
        <f aca="false">IF(G35&gt;=0.6,3,IF(G35&gt;=0.4,2,1))</f>
        <v>3</v>
      </c>
      <c r="H36" s="70" t="n">
        <f aca="false">IF(H35&gt;=0.6,3,IF(H35&gt;=0.4,2,1))</f>
        <v>3</v>
      </c>
    </row>
  </sheetData>
  <mergeCells count="27">
    <mergeCell ref="A1:AG1"/>
    <mergeCell ref="A2:AG2"/>
    <mergeCell ref="A4:A5"/>
    <mergeCell ref="B4:F4"/>
    <mergeCell ref="G4:K4"/>
    <mergeCell ref="L4:P4"/>
    <mergeCell ref="Q4:U4"/>
    <mergeCell ref="V4:Z4"/>
    <mergeCell ref="AA4:AA5"/>
    <mergeCell ref="AB4:AB5"/>
    <mergeCell ref="AC4:AC5"/>
    <mergeCell ref="A6:A7"/>
    <mergeCell ref="B6:B7"/>
    <mergeCell ref="C6:C7"/>
    <mergeCell ref="D6:H6"/>
    <mergeCell ref="I6:M6"/>
    <mergeCell ref="N6:R6"/>
    <mergeCell ref="S6:W6"/>
    <mergeCell ref="X6:AB6"/>
    <mergeCell ref="A29:C29"/>
    <mergeCell ref="A30:C30"/>
    <mergeCell ref="A31:C31"/>
    <mergeCell ref="A32:C32"/>
    <mergeCell ref="A33:C33"/>
    <mergeCell ref="A34:C34"/>
    <mergeCell ref="A35:C35"/>
    <mergeCell ref="A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K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0"/>
    <col collapsed="false" customWidth="true" hidden="false" outlineLevel="0" max="3" min="3" style="0" width="22"/>
    <col collapsed="false" customWidth="true" hidden="false" outlineLevel="0" max="36" min="4" style="0" width="9"/>
  </cols>
  <sheetData>
    <row r="1" customFormat="false" ht="34.5" hidden="false" customHeight="true" outlineLevel="0" collapsed="false">
      <c r="A1" s="30" t="s">
        <v>101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</row>
    <row r="2" customFormat="false" ht="18" hidden="false" customHeight="true" outlineLevel="0" collapsed="false">
      <c r="A2" s="31" t="s">
        <v>34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</row>
    <row r="4" customFormat="false" ht="24.75" hidden="false" customHeight="true" outlineLevel="0" collapsed="false">
      <c r="A4" s="32" t="s">
        <v>35</v>
      </c>
      <c r="B4" s="33" t="s">
        <v>36</v>
      </c>
      <c r="C4" s="33"/>
      <c r="D4" s="33"/>
      <c r="E4" s="33"/>
      <c r="F4" s="33"/>
      <c r="G4" s="33"/>
      <c r="H4" s="34" t="s">
        <v>37</v>
      </c>
      <c r="I4" s="34"/>
      <c r="J4" s="34"/>
      <c r="K4" s="34"/>
      <c r="L4" s="34"/>
      <c r="M4" s="34"/>
      <c r="N4" s="35" t="s">
        <v>38</v>
      </c>
      <c r="O4" s="35"/>
      <c r="P4" s="35"/>
      <c r="Q4" s="35"/>
      <c r="R4" s="35"/>
      <c r="S4" s="35"/>
      <c r="T4" s="36" t="s">
        <v>39</v>
      </c>
      <c r="U4" s="36"/>
      <c r="V4" s="36"/>
      <c r="W4" s="36"/>
      <c r="X4" s="36"/>
      <c r="Y4" s="36"/>
      <c r="Z4" s="37" t="s">
        <v>40</v>
      </c>
      <c r="AA4" s="37"/>
      <c r="AB4" s="37"/>
      <c r="AC4" s="37"/>
      <c r="AD4" s="37"/>
      <c r="AE4" s="37"/>
      <c r="AF4" s="38" t="s">
        <v>41</v>
      </c>
      <c r="AG4" s="39" t="s">
        <v>42</v>
      </c>
      <c r="AH4" s="40" t="s">
        <v>43</v>
      </c>
    </row>
    <row r="5" customFormat="false" ht="19.5" hidden="false" customHeight="true" outlineLevel="0" collapsed="false">
      <c r="A5" s="32"/>
      <c r="B5" s="41" t="n">
        <v>5</v>
      </c>
      <c r="C5" s="41" t="n">
        <v>5</v>
      </c>
      <c r="D5" s="41" t="n">
        <v>5</v>
      </c>
      <c r="E5" s="41" t="n">
        <v>5</v>
      </c>
      <c r="F5" s="41" t="n">
        <v>5</v>
      </c>
      <c r="G5" s="41" t="n">
        <v>5</v>
      </c>
      <c r="H5" s="42" t="n">
        <v>5</v>
      </c>
      <c r="I5" s="42" t="n">
        <v>5</v>
      </c>
      <c r="J5" s="42" t="n">
        <v>5</v>
      </c>
      <c r="K5" s="42" t="n">
        <v>5</v>
      </c>
      <c r="L5" s="42" t="n">
        <v>5</v>
      </c>
      <c r="M5" s="42" t="n">
        <v>5</v>
      </c>
      <c r="N5" s="4" t="n">
        <v>1.7</v>
      </c>
      <c r="O5" s="4" t="n">
        <v>1.7</v>
      </c>
      <c r="P5" s="4" t="n">
        <v>1.7</v>
      </c>
      <c r="Q5" s="4" t="n">
        <v>1.7</v>
      </c>
      <c r="R5" s="4" t="n">
        <v>1.7</v>
      </c>
      <c r="S5" s="4" t="n">
        <v>1.7</v>
      </c>
      <c r="T5" s="6" t="n">
        <v>1.7</v>
      </c>
      <c r="U5" s="6" t="n">
        <v>1.7</v>
      </c>
      <c r="V5" s="6" t="n">
        <v>1.7</v>
      </c>
      <c r="W5" s="6" t="n">
        <v>1.7</v>
      </c>
      <c r="X5" s="6" t="n">
        <v>1.7</v>
      </c>
      <c r="Y5" s="6" t="n">
        <v>1.7</v>
      </c>
      <c r="Z5" s="43" t="n">
        <v>16.7</v>
      </c>
      <c r="AA5" s="43" t="n">
        <v>16.7</v>
      </c>
      <c r="AB5" s="43" t="n">
        <v>16.7</v>
      </c>
      <c r="AC5" s="43" t="n">
        <v>16.7</v>
      </c>
      <c r="AD5" s="43" t="n">
        <v>16.7</v>
      </c>
      <c r="AE5" s="43" t="n">
        <v>16.7</v>
      </c>
      <c r="AF5" s="38"/>
      <c r="AG5" s="38"/>
      <c r="AH5" s="38"/>
    </row>
    <row r="6" customFormat="false" ht="21.75" hidden="false" customHeight="true" outlineLevel="0" collapsed="false">
      <c r="A6" s="44" t="s">
        <v>44</v>
      </c>
      <c r="B6" s="44" t="s">
        <v>45</v>
      </c>
      <c r="C6" s="44" t="s">
        <v>46</v>
      </c>
      <c r="D6" s="45" t="s">
        <v>47</v>
      </c>
      <c r="E6" s="45"/>
      <c r="F6" s="45"/>
      <c r="G6" s="45"/>
      <c r="H6" s="45"/>
      <c r="I6" s="45"/>
      <c r="J6" s="46" t="s">
        <v>48</v>
      </c>
      <c r="K6" s="46"/>
      <c r="L6" s="46"/>
      <c r="M6" s="46"/>
      <c r="N6" s="46"/>
      <c r="O6" s="46"/>
      <c r="P6" s="47" t="s">
        <v>38</v>
      </c>
      <c r="Q6" s="47"/>
      <c r="R6" s="47"/>
      <c r="S6" s="47"/>
      <c r="T6" s="47"/>
      <c r="U6" s="47"/>
      <c r="V6" s="48" t="s">
        <v>39</v>
      </c>
      <c r="W6" s="48"/>
      <c r="X6" s="48"/>
      <c r="Y6" s="48"/>
      <c r="Z6" s="48"/>
      <c r="AA6" s="48"/>
      <c r="AB6" s="49" t="s">
        <v>49</v>
      </c>
      <c r="AC6" s="49"/>
      <c r="AD6" s="49"/>
      <c r="AE6" s="49"/>
      <c r="AF6" s="49"/>
      <c r="AG6" s="49"/>
    </row>
    <row r="7" customFormat="false" ht="21.75" hidden="false" customHeight="true" outlineLevel="0" collapsed="false">
      <c r="A7" s="44"/>
      <c r="B7" s="44"/>
      <c r="C7" s="44"/>
      <c r="D7" s="50" t="s">
        <v>9</v>
      </c>
      <c r="E7" s="50" t="s">
        <v>10</v>
      </c>
      <c r="F7" s="50" t="s">
        <v>11</v>
      </c>
      <c r="G7" s="50" t="s">
        <v>12</v>
      </c>
      <c r="H7" s="50" t="s">
        <v>13</v>
      </c>
      <c r="I7" s="50" t="s">
        <v>14</v>
      </c>
      <c r="J7" s="50" t="s">
        <v>9</v>
      </c>
      <c r="K7" s="50" t="s">
        <v>10</v>
      </c>
      <c r="L7" s="50" t="s">
        <v>11</v>
      </c>
      <c r="M7" s="50" t="s">
        <v>12</v>
      </c>
      <c r="N7" s="50" t="s">
        <v>13</v>
      </c>
      <c r="O7" s="50" t="s">
        <v>14</v>
      </c>
      <c r="P7" s="50" t="s">
        <v>9</v>
      </c>
      <c r="Q7" s="50" t="s">
        <v>10</v>
      </c>
      <c r="R7" s="50" t="s">
        <v>11</v>
      </c>
      <c r="S7" s="50" t="s">
        <v>12</v>
      </c>
      <c r="T7" s="50" t="s">
        <v>13</v>
      </c>
      <c r="U7" s="50" t="s">
        <v>14</v>
      </c>
      <c r="V7" s="50" t="s">
        <v>9</v>
      </c>
      <c r="W7" s="50" t="s">
        <v>10</v>
      </c>
      <c r="X7" s="50" t="s">
        <v>11</v>
      </c>
      <c r="Y7" s="50" t="s">
        <v>12</v>
      </c>
      <c r="Z7" s="50" t="s">
        <v>13</v>
      </c>
      <c r="AA7" s="50" t="s">
        <v>14</v>
      </c>
      <c r="AB7" s="50" t="s">
        <v>9</v>
      </c>
      <c r="AC7" s="50" t="s">
        <v>10</v>
      </c>
      <c r="AD7" s="50" t="s">
        <v>11</v>
      </c>
      <c r="AE7" s="50" t="s">
        <v>12</v>
      </c>
      <c r="AF7" s="50" t="s">
        <v>13</v>
      </c>
      <c r="AG7" s="50" t="s">
        <v>14</v>
      </c>
      <c r="AH7" s="51" t="s">
        <v>41</v>
      </c>
      <c r="AI7" s="52" t="s">
        <v>42</v>
      </c>
      <c r="AJ7" s="7" t="s">
        <v>43</v>
      </c>
    </row>
    <row r="8" customFormat="false" ht="18" hidden="false" customHeight="true" outlineLevel="0" collapsed="false">
      <c r="A8" s="53" t="n">
        <v>1</v>
      </c>
      <c r="B8" s="53" t="s">
        <v>50</v>
      </c>
      <c r="C8" s="54" t="s">
        <v>51</v>
      </c>
      <c r="D8" s="55" t="n">
        <v>3</v>
      </c>
      <c r="E8" s="55" t="n">
        <v>4.1</v>
      </c>
      <c r="F8" s="55" t="n">
        <v>4.8</v>
      </c>
      <c r="G8" s="55" t="n">
        <v>4.6</v>
      </c>
      <c r="H8" s="55" t="n">
        <v>2.7</v>
      </c>
      <c r="I8" s="55" t="n">
        <v>4.3</v>
      </c>
      <c r="J8" s="55" t="n">
        <v>3</v>
      </c>
      <c r="K8" s="55" t="n">
        <v>3.2</v>
      </c>
      <c r="L8" s="55" t="n">
        <v>4.2</v>
      </c>
      <c r="M8" s="55" t="n">
        <v>4</v>
      </c>
      <c r="N8" s="55" t="n">
        <v>4.7</v>
      </c>
      <c r="O8" s="55" t="n">
        <v>3</v>
      </c>
      <c r="P8" s="55" t="n">
        <v>1.5</v>
      </c>
      <c r="Q8" s="55" t="n">
        <v>1.4</v>
      </c>
      <c r="R8" s="55" t="n">
        <v>1.3</v>
      </c>
      <c r="S8" s="55" t="n">
        <v>1.2</v>
      </c>
      <c r="T8" s="55" t="n">
        <v>1.6</v>
      </c>
      <c r="U8" s="55" t="n">
        <v>1.1</v>
      </c>
      <c r="V8" s="55" t="n">
        <v>1.6</v>
      </c>
      <c r="W8" s="55" t="n">
        <v>0.8</v>
      </c>
      <c r="X8" s="55" t="n">
        <v>1.6</v>
      </c>
      <c r="Y8" s="55" t="n">
        <v>1.6</v>
      </c>
      <c r="Z8" s="55" t="n">
        <v>0.9</v>
      </c>
      <c r="AA8" s="55" t="n">
        <v>1.7</v>
      </c>
      <c r="AB8" s="55" t="n">
        <v>12.3</v>
      </c>
      <c r="AC8" s="55" t="n">
        <v>10.4</v>
      </c>
      <c r="AD8" s="55" t="n">
        <v>13.4</v>
      </c>
      <c r="AE8" s="55" t="n">
        <v>10</v>
      </c>
      <c r="AF8" s="55" t="n">
        <v>16</v>
      </c>
      <c r="AG8" s="55" t="n">
        <v>12.9</v>
      </c>
      <c r="AH8" s="56" t="n">
        <f aca="false">((D8+E8+F8+G8+H8+I8+J8+K8+L8+M8+N8+O8)/2)+(P8+Q8+R8+S8+T8+U8)+(V8+W8+X8+Y8+Z8+AA8)</f>
        <v>39.1</v>
      </c>
      <c r="AI8" s="57" t="n">
        <f aca="false">(AB8+AC8+AD8+AE8+AF8+AG8)*50/100</f>
        <v>37.5</v>
      </c>
      <c r="AJ8" s="58" t="n">
        <f aca="false">AH8+AI8</f>
        <v>76.6</v>
      </c>
    </row>
    <row r="9" customFormat="false" ht="18" hidden="false" customHeight="true" outlineLevel="0" collapsed="false">
      <c r="A9" s="59" t="n">
        <v>2</v>
      </c>
      <c r="B9" s="59" t="s">
        <v>52</v>
      </c>
      <c r="C9" s="60" t="s">
        <v>53</v>
      </c>
      <c r="D9" s="61" t="n">
        <v>4.4</v>
      </c>
      <c r="E9" s="61" t="n">
        <v>3.5</v>
      </c>
      <c r="F9" s="61" t="n">
        <v>3.8</v>
      </c>
      <c r="G9" s="61" t="n">
        <v>3.4</v>
      </c>
      <c r="H9" s="61" t="n">
        <v>3.2</v>
      </c>
      <c r="I9" s="61" t="n">
        <v>3.8</v>
      </c>
      <c r="J9" s="61" t="n">
        <v>3.7</v>
      </c>
      <c r="K9" s="61" t="n">
        <v>2.7</v>
      </c>
      <c r="L9" s="61" t="n">
        <v>5</v>
      </c>
      <c r="M9" s="61" t="n">
        <v>3.7</v>
      </c>
      <c r="N9" s="61" t="n">
        <v>4.6</v>
      </c>
      <c r="O9" s="61" t="n">
        <v>4.8</v>
      </c>
      <c r="P9" s="61" t="n">
        <v>1.1</v>
      </c>
      <c r="Q9" s="61" t="n">
        <v>1.2</v>
      </c>
      <c r="R9" s="61" t="n">
        <v>1.3</v>
      </c>
      <c r="S9" s="61" t="n">
        <v>1</v>
      </c>
      <c r="T9" s="61" t="n">
        <v>1</v>
      </c>
      <c r="U9" s="61" t="n">
        <v>1.1</v>
      </c>
      <c r="V9" s="61" t="n">
        <v>1.6</v>
      </c>
      <c r="W9" s="61" t="n">
        <v>1.3</v>
      </c>
      <c r="X9" s="61" t="n">
        <v>1.2</v>
      </c>
      <c r="Y9" s="61" t="n">
        <v>1</v>
      </c>
      <c r="Z9" s="61" t="n">
        <v>1.1</v>
      </c>
      <c r="AA9" s="61" t="n">
        <v>1.1</v>
      </c>
      <c r="AB9" s="61" t="n">
        <v>15.3</v>
      </c>
      <c r="AC9" s="61" t="n">
        <v>12.5</v>
      </c>
      <c r="AD9" s="61" t="n">
        <v>13.8</v>
      </c>
      <c r="AE9" s="61" t="n">
        <v>14</v>
      </c>
      <c r="AF9" s="61" t="n">
        <v>10.5</v>
      </c>
      <c r="AG9" s="61" t="n">
        <v>15.2</v>
      </c>
      <c r="AH9" s="56" t="n">
        <f aca="false">((D9+E9+F9+G9+H9+I9+J9+K9+L9+M9+N9+O9)/2)+(P9+Q9+R9+S9+T9+U9)+(V9+W9+X9+Y9+Z9+AA9)</f>
        <v>37.3</v>
      </c>
      <c r="AI9" s="57" t="n">
        <f aca="false">(AB9+AC9+AD9+AE9+AF9+AG9)*50/100</f>
        <v>40.65</v>
      </c>
      <c r="AJ9" s="58" t="n">
        <f aca="false">AH9+AI9</f>
        <v>77.95</v>
      </c>
    </row>
    <row r="10" customFormat="false" ht="18" hidden="false" customHeight="true" outlineLevel="0" collapsed="false">
      <c r="A10" s="53" t="n">
        <v>3</v>
      </c>
      <c r="B10" s="53" t="s">
        <v>54</v>
      </c>
      <c r="C10" s="54" t="s">
        <v>55</v>
      </c>
      <c r="D10" s="55" t="n">
        <v>4.9</v>
      </c>
      <c r="E10" s="55" t="n">
        <v>4.1</v>
      </c>
      <c r="F10" s="55" t="n">
        <v>3.7</v>
      </c>
      <c r="G10" s="55" t="n">
        <v>2.9</v>
      </c>
      <c r="H10" s="55" t="n">
        <v>4.5</v>
      </c>
      <c r="I10" s="55" t="n">
        <v>2.9</v>
      </c>
      <c r="J10" s="55" t="n">
        <v>4.3</v>
      </c>
      <c r="K10" s="55" t="n">
        <v>3.7</v>
      </c>
      <c r="L10" s="55" t="n">
        <v>4.8</v>
      </c>
      <c r="M10" s="55" t="n">
        <v>3.9</v>
      </c>
      <c r="N10" s="55" t="n">
        <v>4.1</v>
      </c>
      <c r="O10" s="55" t="n">
        <v>2.6</v>
      </c>
      <c r="P10" s="55" t="n">
        <v>0.9</v>
      </c>
      <c r="Q10" s="55" t="n">
        <v>1.5</v>
      </c>
      <c r="R10" s="55" t="n">
        <v>1.6</v>
      </c>
      <c r="S10" s="55" t="n">
        <v>1.4</v>
      </c>
      <c r="T10" s="55" t="n">
        <v>1.5</v>
      </c>
      <c r="U10" s="55" t="n">
        <v>1.2</v>
      </c>
      <c r="V10" s="55" t="n">
        <v>1.5</v>
      </c>
      <c r="W10" s="55" t="n">
        <v>1</v>
      </c>
      <c r="X10" s="55" t="n">
        <v>1.4</v>
      </c>
      <c r="Y10" s="55" t="n">
        <v>0.8</v>
      </c>
      <c r="Z10" s="55" t="n">
        <v>1.3</v>
      </c>
      <c r="AA10" s="55" t="n">
        <v>1.1</v>
      </c>
      <c r="AB10" s="55" t="n">
        <v>13.5</v>
      </c>
      <c r="AC10" s="55" t="n">
        <v>13.9</v>
      </c>
      <c r="AD10" s="55" t="n">
        <v>13.5</v>
      </c>
      <c r="AE10" s="55" t="n">
        <v>12.4</v>
      </c>
      <c r="AF10" s="55" t="n">
        <v>12.4</v>
      </c>
      <c r="AG10" s="55" t="n">
        <v>8.4</v>
      </c>
      <c r="AH10" s="56" t="n">
        <f aca="false">((D10+E10+F10+G10+H10+I10+J10+K10+L10+M10+N10+O10)/2)+(P10+Q10+R10+S10+T10+U10)+(V10+W10+X10+Y10+Z10+AA10)</f>
        <v>38.4</v>
      </c>
      <c r="AI10" s="57" t="n">
        <f aca="false">(AB10+AC10+AD10+AE10+AF10+AG10)*50/100</f>
        <v>37.05</v>
      </c>
      <c r="AJ10" s="58" t="n">
        <f aca="false">AH10+AI10</f>
        <v>75.45</v>
      </c>
    </row>
    <row r="11" customFormat="false" ht="18" hidden="false" customHeight="true" outlineLevel="0" collapsed="false">
      <c r="A11" s="59" t="n">
        <v>4</v>
      </c>
      <c r="B11" s="59" t="s">
        <v>56</v>
      </c>
      <c r="C11" s="60" t="s">
        <v>57</v>
      </c>
      <c r="D11" s="61" t="n">
        <v>3.9</v>
      </c>
      <c r="E11" s="61" t="n">
        <v>2.5</v>
      </c>
      <c r="F11" s="61" t="n">
        <v>3.8</v>
      </c>
      <c r="G11" s="61" t="n">
        <v>3.2</v>
      </c>
      <c r="H11" s="61" t="n">
        <v>4.9</v>
      </c>
      <c r="I11" s="61" t="n">
        <v>2.5</v>
      </c>
      <c r="J11" s="61" t="n">
        <v>4.5</v>
      </c>
      <c r="K11" s="61" t="n">
        <v>4.2</v>
      </c>
      <c r="L11" s="61" t="n">
        <v>4.5</v>
      </c>
      <c r="M11" s="61" t="n">
        <v>4.8</v>
      </c>
      <c r="N11" s="61" t="n">
        <v>2.8</v>
      </c>
      <c r="O11" s="61" t="n">
        <v>2.7</v>
      </c>
      <c r="P11" s="61" t="n">
        <v>1</v>
      </c>
      <c r="Q11" s="61" t="n">
        <v>1</v>
      </c>
      <c r="R11" s="61" t="n">
        <v>1.3</v>
      </c>
      <c r="S11" s="61" t="n">
        <v>1.5</v>
      </c>
      <c r="T11" s="61" t="n">
        <v>1.1</v>
      </c>
      <c r="U11" s="61" t="n">
        <v>1.2</v>
      </c>
      <c r="V11" s="61" t="n">
        <v>1.1</v>
      </c>
      <c r="W11" s="61" t="n">
        <v>1.2</v>
      </c>
      <c r="X11" s="61" t="n">
        <v>1.3</v>
      </c>
      <c r="Y11" s="61" t="n">
        <v>1.7</v>
      </c>
      <c r="Z11" s="61" t="n">
        <v>1</v>
      </c>
      <c r="AA11" s="61" t="n">
        <v>1.4</v>
      </c>
      <c r="AB11" s="61" t="n">
        <v>15.4</v>
      </c>
      <c r="AC11" s="61" t="n">
        <v>13.8</v>
      </c>
      <c r="AD11" s="61" t="n">
        <v>15.5</v>
      </c>
      <c r="AE11" s="61" t="n">
        <v>14.7</v>
      </c>
      <c r="AF11" s="61" t="n">
        <v>9.1</v>
      </c>
      <c r="AG11" s="61" t="n">
        <v>11.5</v>
      </c>
      <c r="AH11" s="56" t="n">
        <f aca="false">((D11+E11+F11+G11+H11+I11+J11+K11+L11+M11+N11+O11)/2)+(P11+Q11+R11+S11+T11+U11)+(V11+W11+X11+Y11+Z11+AA11)</f>
        <v>36.95</v>
      </c>
      <c r="AI11" s="57" t="n">
        <f aca="false">(AB11+AC11+AD11+AE11+AF11+AG11)*50/100</f>
        <v>40</v>
      </c>
      <c r="AJ11" s="58" t="n">
        <f aca="false">AH11+AI11</f>
        <v>76.95</v>
      </c>
    </row>
    <row r="12" customFormat="false" ht="18" hidden="false" customHeight="true" outlineLevel="0" collapsed="false">
      <c r="A12" s="53" t="n">
        <v>5</v>
      </c>
      <c r="B12" s="53" t="s">
        <v>58</v>
      </c>
      <c r="C12" s="54" t="s">
        <v>59</v>
      </c>
      <c r="D12" s="55" t="n">
        <v>3.9</v>
      </c>
      <c r="E12" s="55" t="n">
        <v>2.6</v>
      </c>
      <c r="F12" s="55" t="n">
        <v>2.5</v>
      </c>
      <c r="G12" s="55" t="n">
        <v>2.9</v>
      </c>
      <c r="H12" s="55" t="n">
        <v>3.7</v>
      </c>
      <c r="I12" s="55" t="n">
        <v>3.6</v>
      </c>
      <c r="J12" s="55" t="n">
        <v>4.5</v>
      </c>
      <c r="K12" s="55" t="n">
        <v>3.9</v>
      </c>
      <c r="L12" s="55" t="n">
        <v>4.6</v>
      </c>
      <c r="M12" s="55" t="n">
        <v>2.7</v>
      </c>
      <c r="N12" s="55" t="n">
        <v>3.8</v>
      </c>
      <c r="O12" s="55" t="n">
        <v>2.6</v>
      </c>
      <c r="P12" s="55" t="n">
        <v>1</v>
      </c>
      <c r="Q12" s="55" t="n">
        <v>1.6</v>
      </c>
      <c r="R12" s="55" t="n">
        <v>1.6</v>
      </c>
      <c r="S12" s="55" t="n">
        <v>1.2</v>
      </c>
      <c r="T12" s="55" t="n">
        <v>0.9</v>
      </c>
      <c r="U12" s="55" t="n">
        <v>0.9</v>
      </c>
      <c r="V12" s="55" t="n">
        <v>1.6</v>
      </c>
      <c r="W12" s="55" t="n">
        <v>1.6</v>
      </c>
      <c r="X12" s="55" t="n">
        <v>1.3</v>
      </c>
      <c r="Y12" s="55" t="n">
        <v>0.9</v>
      </c>
      <c r="Z12" s="55" t="n">
        <v>1.6</v>
      </c>
      <c r="AA12" s="55" t="n">
        <v>1.1</v>
      </c>
      <c r="AB12" s="55" t="n">
        <v>16.3</v>
      </c>
      <c r="AC12" s="55" t="n">
        <v>13.2</v>
      </c>
      <c r="AD12" s="55" t="n">
        <v>14.6</v>
      </c>
      <c r="AE12" s="55" t="n">
        <v>14.3</v>
      </c>
      <c r="AF12" s="55" t="n">
        <v>11.7</v>
      </c>
      <c r="AG12" s="55" t="n">
        <v>9</v>
      </c>
      <c r="AH12" s="56" t="n">
        <f aca="false">((D12+E12+F12+G12+H12+I12+J12+K12+L12+M12+N12+O12)/2)+(P12+Q12+R12+S12+T12+U12)+(V12+W12+X12+Y12+Z12+AA12)</f>
        <v>35.95</v>
      </c>
      <c r="AI12" s="57" t="n">
        <f aca="false">(AB12+AC12+AD12+AE12+AF12+AG12)*50/100</f>
        <v>39.55</v>
      </c>
      <c r="AJ12" s="58" t="n">
        <f aca="false">AH12+AI12</f>
        <v>75.5</v>
      </c>
    </row>
    <row r="13" customFormat="false" ht="18" hidden="false" customHeight="true" outlineLevel="0" collapsed="false">
      <c r="A13" s="59" t="n">
        <v>6</v>
      </c>
      <c r="B13" s="59" t="s">
        <v>60</v>
      </c>
      <c r="C13" s="60" t="s">
        <v>61</v>
      </c>
      <c r="D13" s="61" t="n">
        <v>2.9</v>
      </c>
      <c r="E13" s="61" t="n">
        <v>3.1</v>
      </c>
      <c r="F13" s="61" t="n">
        <v>4.6</v>
      </c>
      <c r="G13" s="61" t="n">
        <v>3.5</v>
      </c>
      <c r="H13" s="61" t="n">
        <v>4.7</v>
      </c>
      <c r="I13" s="61" t="n">
        <v>3.3</v>
      </c>
      <c r="J13" s="61" t="n">
        <v>4.4</v>
      </c>
      <c r="K13" s="61" t="n">
        <v>2.8</v>
      </c>
      <c r="L13" s="61" t="n">
        <v>5</v>
      </c>
      <c r="M13" s="61" t="n">
        <v>4.3</v>
      </c>
      <c r="N13" s="61" t="n">
        <v>3.8</v>
      </c>
      <c r="O13" s="61" t="n">
        <v>4.9</v>
      </c>
      <c r="P13" s="61" t="n">
        <v>0.9</v>
      </c>
      <c r="Q13" s="61" t="n">
        <v>1.2</v>
      </c>
      <c r="R13" s="61" t="n">
        <v>1.5</v>
      </c>
      <c r="S13" s="61" t="n">
        <v>1.1</v>
      </c>
      <c r="T13" s="61" t="n">
        <v>1.5</v>
      </c>
      <c r="U13" s="61" t="n">
        <v>1.6</v>
      </c>
      <c r="V13" s="61" t="n">
        <v>1.2</v>
      </c>
      <c r="W13" s="61" t="n">
        <v>1.5</v>
      </c>
      <c r="X13" s="61" t="n">
        <v>0.9</v>
      </c>
      <c r="Y13" s="61" t="n">
        <v>1.1</v>
      </c>
      <c r="Z13" s="61" t="n">
        <v>1.7</v>
      </c>
      <c r="AA13" s="61" t="n">
        <v>1.2</v>
      </c>
      <c r="AB13" s="61" t="n">
        <v>11.3</v>
      </c>
      <c r="AC13" s="61" t="n">
        <v>16.2</v>
      </c>
      <c r="AD13" s="61" t="n">
        <v>11.9</v>
      </c>
      <c r="AE13" s="61" t="n">
        <v>14</v>
      </c>
      <c r="AF13" s="61" t="n">
        <v>13.8</v>
      </c>
      <c r="AG13" s="61" t="n">
        <v>9</v>
      </c>
      <c r="AH13" s="56" t="n">
        <f aca="false">((D13+E13+F13+G13+H13+I13+J13+K13+L13+M13+N13+O13)/2)+(P13+Q13+R13+S13+T13+U13)+(V13+W13+X13+Y13+Z13+AA13)</f>
        <v>39.05</v>
      </c>
      <c r="AI13" s="57" t="n">
        <f aca="false">(AB13+AC13+AD13+AE13+AF13+AG13)*50/100</f>
        <v>38.1</v>
      </c>
      <c r="AJ13" s="58" t="n">
        <f aca="false">AH13+AI13</f>
        <v>77.15</v>
      </c>
    </row>
    <row r="14" customFormat="false" ht="18" hidden="false" customHeight="true" outlineLevel="0" collapsed="false">
      <c r="A14" s="53" t="n">
        <v>7</v>
      </c>
      <c r="B14" s="53" t="s">
        <v>62</v>
      </c>
      <c r="C14" s="54" t="s">
        <v>63</v>
      </c>
      <c r="D14" s="55" t="n">
        <v>4</v>
      </c>
      <c r="E14" s="55" t="n">
        <v>4.5</v>
      </c>
      <c r="F14" s="55" t="n">
        <v>4.3</v>
      </c>
      <c r="G14" s="55" t="n">
        <v>2.7</v>
      </c>
      <c r="H14" s="55" t="n">
        <v>2.9</v>
      </c>
      <c r="I14" s="55" t="n">
        <v>4.3</v>
      </c>
      <c r="J14" s="55" t="n">
        <v>4.1</v>
      </c>
      <c r="K14" s="55" t="n">
        <v>4.3</v>
      </c>
      <c r="L14" s="55" t="n">
        <v>3.3</v>
      </c>
      <c r="M14" s="55" t="n">
        <v>2.8</v>
      </c>
      <c r="N14" s="55" t="n">
        <v>2.5</v>
      </c>
      <c r="O14" s="55" t="n">
        <v>3.3</v>
      </c>
      <c r="P14" s="55" t="n">
        <v>1.1</v>
      </c>
      <c r="Q14" s="55" t="n">
        <v>1.1</v>
      </c>
      <c r="R14" s="55" t="n">
        <v>0.9</v>
      </c>
      <c r="S14" s="55" t="n">
        <v>1</v>
      </c>
      <c r="T14" s="55" t="n">
        <v>1.2</v>
      </c>
      <c r="U14" s="55" t="n">
        <v>1.3</v>
      </c>
      <c r="V14" s="55" t="n">
        <v>1.2</v>
      </c>
      <c r="W14" s="55" t="n">
        <v>0.9</v>
      </c>
      <c r="X14" s="55" t="n">
        <v>1.1</v>
      </c>
      <c r="Y14" s="55" t="n">
        <v>0.9</v>
      </c>
      <c r="Z14" s="55" t="n">
        <v>1.3</v>
      </c>
      <c r="AA14" s="55" t="n">
        <v>1.1</v>
      </c>
      <c r="AB14" s="55" t="n">
        <v>11.5</v>
      </c>
      <c r="AC14" s="55" t="n">
        <v>10.8</v>
      </c>
      <c r="AD14" s="55" t="n">
        <v>11.6</v>
      </c>
      <c r="AE14" s="55" t="n">
        <v>9</v>
      </c>
      <c r="AF14" s="55" t="n">
        <v>15.8</v>
      </c>
      <c r="AG14" s="55" t="n">
        <v>15.9</v>
      </c>
      <c r="AH14" s="56" t="n">
        <f aca="false">((D14+E14+F14+G14+H14+I14+J14+K14+L14+M14+N14+O14)/2)+(P14+Q14+R14+S14+T14+U14)+(V14+W14+X14+Y14+Z14+AA14)</f>
        <v>34.6</v>
      </c>
      <c r="AI14" s="57" t="n">
        <f aca="false">(AB14+AC14+AD14+AE14+AF14+AG14)*50/100</f>
        <v>37.3</v>
      </c>
      <c r="AJ14" s="58" t="n">
        <f aca="false">AH14+AI14</f>
        <v>71.9</v>
      </c>
    </row>
    <row r="15" customFormat="false" ht="18" hidden="false" customHeight="true" outlineLevel="0" collapsed="false">
      <c r="A15" s="59" t="n">
        <v>8</v>
      </c>
      <c r="B15" s="59" t="s">
        <v>64</v>
      </c>
      <c r="C15" s="60" t="s">
        <v>65</v>
      </c>
      <c r="D15" s="61" t="n">
        <v>4.9</v>
      </c>
      <c r="E15" s="61" t="n">
        <v>3.9</v>
      </c>
      <c r="F15" s="61" t="n">
        <v>2.9</v>
      </c>
      <c r="G15" s="61" t="n">
        <v>3.5</v>
      </c>
      <c r="H15" s="61" t="n">
        <v>2.8</v>
      </c>
      <c r="I15" s="61" t="n">
        <v>3.3</v>
      </c>
      <c r="J15" s="61" t="n">
        <v>3.7</v>
      </c>
      <c r="K15" s="61" t="n">
        <v>2.7</v>
      </c>
      <c r="L15" s="61" t="n">
        <v>3.6</v>
      </c>
      <c r="M15" s="61" t="n">
        <v>3.6</v>
      </c>
      <c r="N15" s="61" t="n">
        <v>3.7</v>
      </c>
      <c r="O15" s="61" t="n">
        <v>2.7</v>
      </c>
      <c r="P15" s="61" t="n">
        <v>1</v>
      </c>
      <c r="Q15" s="61" t="n">
        <v>1</v>
      </c>
      <c r="R15" s="61" t="n">
        <v>1.4</v>
      </c>
      <c r="S15" s="61" t="n">
        <v>1.3</v>
      </c>
      <c r="T15" s="61" t="n">
        <v>1</v>
      </c>
      <c r="U15" s="61" t="n">
        <v>0.9</v>
      </c>
      <c r="V15" s="61" t="n">
        <v>1.1</v>
      </c>
      <c r="W15" s="61" t="n">
        <v>1.6</v>
      </c>
      <c r="X15" s="61" t="n">
        <v>1.1</v>
      </c>
      <c r="Y15" s="61" t="n">
        <v>1.4</v>
      </c>
      <c r="Z15" s="61" t="n">
        <v>1.5</v>
      </c>
      <c r="AA15" s="61" t="n">
        <v>1.1</v>
      </c>
      <c r="AB15" s="61" t="n">
        <v>11.1</v>
      </c>
      <c r="AC15" s="61" t="n">
        <v>15.1</v>
      </c>
      <c r="AD15" s="61" t="n">
        <v>15.5</v>
      </c>
      <c r="AE15" s="61" t="n">
        <v>16.5</v>
      </c>
      <c r="AF15" s="61" t="n">
        <v>9.5</v>
      </c>
      <c r="AG15" s="61" t="n">
        <v>11</v>
      </c>
      <c r="AH15" s="56" t="n">
        <f aca="false">((D15+E15+F15+G15+H15+I15+J15+K15+L15+M15+N15+O15)/2)+(P15+Q15+R15+S15+T15+U15)+(V15+W15+X15+Y15+Z15+AA15)</f>
        <v>35.05</v>
      </c>
      <c r="AI15" s="57" t="n">
        <f aca="false">(AB15+AC15+AD15+AE15+AF15+AG15)*50/100</f>
        <v>39.35</v>
      </c>
      <c r="AJ15" s="58" t="n">
        <f aca="false">AH15+AI15</f>
        <v>74.4</v>
      </c>
    </row>
    <row r="16" customFormat="false" ht="18" hidden="false" customHeight="true" outlineLevel="0" collapsed="false">
      <c r="A16" s="53" t="n">
        <v>9</v>
      </c>
      <c r="B16" s="53" t="s">
        <v>66</v>
      </c>
      <c r="C16" s="54" t="s">
        <v>67</v>
      </c>
      <c r="D16" s="55" t="n">
        <v>4.9</v>
      </c>
      <c r="E16" s="55" t="n">
        <v>3</v>
      </c>
      <c r="F16" s="55" t="n">
        <v>3.3</v>
      </c>
      <c r="G16" s="55" t="n">
        <v>4.9</v>
      </c>
      <c r="H16" s="55" t="n">
        <v>4.9</v>
      </c>
      <c r="I16" s="55" t="n">
        <v>3.2</v>
      </c>
      <c r="J16" s="55" t="n">
        <v>4.2</v>
      </c>
      <c r="K16" s="55" t="n">
        <v>3.7</v>
      </c>
      <c r="L16" s="55" t="n">
        <v>3.9</v>
      </c>
      <c r="M16" s="55" t="n">
        <v>3.1</v>
      </c>
      <c r="N16" s="55" t="n">
        <v>3.4</v>
      </c>
      <c r="O16" s="55" t="n">
        <v>4.5</v>
      </c>
      <c r="P16" s="55" t="n">
        <v>1.2</v>
      </c>
      <c r="Q16" s="55" t="n">
        <v>0.9</v>
      </c>
      <c r="R16" s="55" t="n">
        <v>1.3</v>
      </c>
      <c r="S16" s="55" t="n">
        <v>1.3</v>
      </c>
      <c r="T16" s="55" t="n">
        <v>1.3</v>
      </c>
      <c r="U16" s="55" t="n">
        <v>1.4</v>
      </c>
      <c r="V16" s="55" t="n">
        <v>1.3</v>
      </c>
      <c r="W16" s="55" t="n">
        <v>1.6</v>
      </c>
      <c r="X16" s="55" t="n">
        <v>1.2</v>
      </c>
      <c r="Y16" s="55" t="n">
        <v>1.4</v>
      </c>
      <c r="Z16" s="55" t="n">
        <v>1.2</v>
      </c>
      <c r="AA16" s="55" t="n">
        <v>1.1</v>
      </c>
      <c r="AB16" s="55" t="n">
        <v>14.1</v>
      </c>
      <c r="AC16" s="55" t="n">
        <v>15.2</v>
      </c>
      <c r="AD16" s="55" t="n">
        <v>15</v>
      </c>
      <c r="AE16" s="55" t="n">
        <v>11.7</v>
      </c>
      <c r="AF16" s="55" t="n">
        <v>12.5</v>
      </c>
      <c r="AG16" s="55" t="n">
        <v>13.6</v>
      </c>
      <c r="AH16" s="56" t="n">
        <f aca="false">((D16+E16+F16+G16+H16+I16+J16+K16+L16+M16+N16+O16)/2)+(P16+Q16+R16+S16+T16+U16)+(V16+W16+X16+Y16+Z16+AA16)</f>
        <v>38.7</v>
      </c>
      <c r="AI16" s="57" t="n">
        <f aca="false">(AB16+AC16+AD16+AE16+AF16+AG16)*50/100</f>
        <v>41.05</v>
      </c>
      <c r="AJ16" s="58" t="n">
        <f aca="false">AH16+AI16</f>
        <v>79.75</v>
      </c>
    </row>
    <row r="17" customFormat="false" ht="18" hidden="false" customHeight="true" outlineLevel="0" collapsed="false">
      <c r="A17" s="59" t="n">
        <v>10</v>
      </c>
      <c r="B17" s="59" t="s">
        <v>68</v>
      </c>
      <c r="C17" s="60" t="s">
        <v>69</v>
      </c>
      <c r="D17" s="61" t="n">
        <v>3.1</v>
      </c>
      <c r="E17" s="61" t="n">
        <v>4.1</v>
      </c>
      <c r="F17" s="61" t="n">
        <v>4.3</v>
      </c>
      <c r="G17" s="61" t="n">
        <v>4.5</v>
      </c>
      <c r="H17" s="61" t="n">
        <v>2.7</v>
      </c>
      <c r="I17" s="61" t="n">
        <v>5</v>
      </c>
      <c r="J17" s="61" t="n">
        <v>3.7</v>
      </c>
      <c r="K17" s="61" t="n">
        <v>3.5</v>
      </c>
      <c r="L17" s="61" t="n">
        <v>3.8</v>
      </c>
      <c r="M17" s="61" t="n">
        <v>4.8</v>
      </c>
      <c r="N17" s="61" t="n">
        <v>4.2</v>
      </c>
      <c r="O17" s="61" t="n">
        <v>3.9</v>
      </c>
      <c r="P17" s="61" t="n">
        <v>1.5</v>
      </c>
      <c r="Q17" s="61" t="n">
        <v>1.1</v>
      </c>
      <c r="R17" s="61" t="n">
        <v>1.6</v>
      </c>
      <c r="S17" s="61" t="n">
        <v>1.3</v>
      </c>
      <c r="T17" s="61" t="n">
        <v>1.4</v>
      </c>
      <c r="U17" s="61" t="n">
        <v>0.9</v>
      </c>
      <c r="V17" s="61" t="n">
        <v>1.5</v>
      </c>
      <c r="W17" s="61" t="n">
        <v>1.4</v>
      </c>
      <c r="X17" s="61" t="n">
        <v>1.1</v>
      </c>
      <c r="Y17" s="61" t="n">
        <v>1.4</v>
      </c>
      <c r="Z17" s="61" t="n">
        <v>0.9</v>
      </c>
      <c r="AA17" s="61" t="n">
        <v>1.7</v>
      </c>
      <c r="AB17" s="61" t="n">
        <v>14</v>
      </c>
      <c r="AC17" s="61" t="n">
        <v>11.7</v>
      </c>
      <c r="AD17" s="61" t="n">
        <v>14.6</v>
      </c>
      <c r="AE17" s="61" t="n">
        <v>16.4</v>
      </c>
      <c r="AF17" s="61" t="n">
        <v>11.9</v>
      </c>
      <c r="AG17" s="61" t="n">
        <v>8.4</v>
      </c>
      <c r="AH17" s="56" t="n">
        <f aca="false">((D17+E17+F17+G17+H17+I17+J17+K17+L17+M17+N17+O17)/2)+(P17+Q17+R17+S17+T17+U17)+(V17+W17+X17+Y17+Z17+AA17)</f>
        <v>39.6</v>
      </c>
      <c r="AI17" s="57" t="n">
        <f aca="false">(AB17+AC17+AD17+AE17+AF17+AG17)*50/100</f>
        <v>38.5</v>
      </c>
      <c r="AJ17" s="58" t="n">
        <f aca="false">AH17+AI17</f>
        <v>78.1</v>
      </c>
    </row>
    <row r="18" customFormat="false" ht="18" hidden="false" customHeight="true" outlineLevel="0" collapsed="false">
      <c r="A18" s="53" t="n">
        <v>11</v>
      </c>
      <c r="B18" s="53" t="s">
        <v>70</v>
      </c>
      <c r="C18" s="54" t="s">
        <v>71</v>
      </c>
      <c r="D18" s="55" t="n">
        <v>3.1</v>
      </c>
      <c r="E18" s="55" t="n">
        <v>3.8</v>
      </c>
      <c r="F18" s="55" t="n">
        <v>3.8</v>
      </c>
      <c r="G18" s="55" t="n">
        <v>4</v>
      </c>
      <c r="H18" s="55" t="n">
        <v>3.9</v>
      </c>
      <c r="I18" s="55" t="n">
        <v>3.6</v>
      </c>
      <c r="J18" s="55" t="n">
        <v>3.5</v>
      </c>
      <c r="K18" s="55" t="n">
        <v>4.4</v>
      </c>
      <c r="L18" s="55" t="n">
        <v>4</v>
      </c>
      <c r="M18" s="55" t="n">
        <v>3.8</v>
      </c>
      <c r="N18" s="55" t="n">
        <v>3.4</v>
      </c>
      <c r="O18" s="55" t="n">
        <v>2.6</v>
      </c>
      <c r="P18" s="55" t="n">
        <v>0.9</v>
      </c>
      <c r="Q18" s="55" t="n">
        <v>1.2</v>
      </c>
      <c r="R18" s="55" t="n">
        <v>1.6</v>
      </c>
      <c r="S18" s="55" t="n">
        <v>0.9</v>
      </c>
      <c r="T18" s="55" t="n">
        <v>1.6</v>
      </c>
      <c r="U18" s="55" t="n">
        <v>1</v>
      </c>
      <c r="V18" s="55" t="n">
        <v>1.1</v>
      </c>
      <c r="W18" s="55" t="n">
        <v>1.2</v>
      </c>
      <c r="X18" s="55" t="n">
        <v>1</v>
      </c>
      <c r="Y18" s="55" t="n">
        <v>1.2</v>
      </c>
      <c r="Z18" s="55" t="n">
        <v>1.2</v>
      </c>
      <c r="AA18" s="55" t="n">
        <v>1.2</v>
      </c>
      <c r="AB18" s="55" t="n">
        <v>14.1</v>
      </c>
      <c r="AC18" s="55" t="n">
        <v>11</v>
      </c>
      <c r="AD18" s="55" t="n">
        <v>10.8</v>
      </c>
      <c r="AE18" s="55" t="n">
        <v>15.1</v>
      </c>
      <c r="AF18" s="55" t="n">
        <v>9.3</v>
      </c>
      <c r="AG18" s="55" t="n">
        <v>15.4</v>
      </c>
      <c r="AH18" s="56" t="n">
        <f aca="false">((D18+E18+F18+G18+H18+I18+J18+K18+L18+M18+N18+O18)/2)+(P18+Q18+R18+S18+T18+U18)+(V18+W18+X18+Y18+Z18+AA18)</f>
        <v>36.05</v>
      </c>
      <c r="AI18" s="57" t="n">
        <f aca="false">(AB18+AC18+AD18+AE18+AF18+AG18)*50/100</f>
        <v>37.85</v>
      </c>
      <c r="AJ18" s="58" t="n">
        <f aca="false">AH18+AI18</f>
        <v>73.9</v>
      </c>
    </row>
    <row r="19" customFormat="false" ht="18" hidden="false" customHeight="true" outlineLevel="0" collapsed="false">
      <c r="A19" s="59" t="n">
        <v>12</v>
      </c>
      <c r="B19" s="59" t="s">
        <v>72</v>
      </c>
      <c r="C19" s="60" t="s">
        <v>73</v>
      </c>
      <c r="D19" s="61" t="n">
        <v>4.1</v>
      </c>
      <c r="E19" s="61" t="n">
        <v>4.2</v>
      </c>
      <c r="F19" s="61" t="n">
        <v>2.9</v>
      </c>
      <c r="G19" s="61" t="n">
        <v>5</v>
      </c>
      <c r="H19" s="61" t="n">
        <v>3.1</v>
      </c>
      <c r="I19" s="61" t="n">
        <v>2.9</v>
      </c>
      <c r="J19" s="61" t="n">
        <v>2.9</v>
      </c>
      <c r="K19" s="61" t="n">
        <v>3.9</v>
      </c>
      <c r="L19" s="61" t="n">
        <v>4.9</v>
      </c>
      <c r="M19" s="61" t="n">
        <v>3.1</v>
      </c>
      <c r="N19" s="61" t="n">
        <v>3.5</v>
      </c>
      <c r="O19" s="61" t="n">
        <v>3</v>
      </c>
      <c r="P19" s="61" t="n">
        <v>1.4</v>
      </c>
      <c r="Q19" s="61" t="n">
        <v>1.2</v>
      </c>
      <c r="R19" s="61" t="n">
        <v>0.9</v>
      </c>
      <c r="S19" s="61" t="n">
        <v>1.3</v>
      </c>
      <c r="T19" s="61" t="n">
        <v>1</v>
      </c>
      <c r="U19" s="61" t="n">
        <v>1.3</v>
      </c>
      <c r="V19" s="61" t="n">
        <v>1.2</v>
      </c>
      <c r="W19" s="61" t="n">
        <v>1.4</v>
      </c>
      <c r="X19" s="61" t="n">
        <v>1</v>
      </c>
      <c r="Y19" s="61" t="n">
        <v>1.5</v>
      </c>
      <c r="Z19" s="61" t="n">
        <v>1.5</v>
      </c>
      <c r="AA19" s="61" t="n">
        <v>0.9</v>
      </c>
      <c r="AB19" s="61" t="n">
        <v>9.2</v>
      </c>
      <c r="AC19" s="61" t="n">
        <v>15.6</v>
      </c>
      <c r="AD19" s="61" t="n">
        <v>9.9</v>
      </c>
      <c r="AE19" s="61" t="n">
        <v>11</v>
      </c>
      <c r="AF19" s="61" t="n">
        <v>12.1</v>
      </c>
      <c r="AG19" s="61" t="n">
        <v>10.5</v>
      </c>
      <c r="AH19" s="56" t="n">
        <f aca="false">((D19+E19+F19+G19+H19+I19+J19+K19+L19+M19+N19+O19)/2)+(P19+Q19+R19+S19+T19+U19)+(V19+W19+X19+Y19+Z19+AA19)</f>
        <v>36.35</v>
      </c>
      <c r="AI19" s="57" t="n">
        <f aca="false">(AB19+AC19+AD19+AE19+AF19+AG19)*50/100</f>
        <v>34.15</v>
      </c>
      <c r="AJ19" s="58" t="n">
        <f aca="false">AH19+AI19</f>
        <v>70.5</v>
      </c>
    </row>
    <row r="20" customFormat="false" ht="18" hidden="false" customHeight="true" outlineLevel="0" collapsed="false">
      <c r="A20" s="53" t="n">
        <v>13</v>
      </c>
      <c r="B20" s="53" t="s">
        <v>74</v>
      </c>
      <c r="C20" s="54" t="s">
        <v>75</v>
      </c>
      <c r="D20" s="55" t="n">
        <v>4.7</v>
      </c>
      <c r="E20" s="55" t="n">
        <v>3.8</v>
      </c>
      <c r="F20" s="55" t="n">
        <v>4.1</v>
      </c>
      <c r="G20" s="55" t="n">
        <v>4</v>
      </c>
      <c r="H20" s="55" t="n">
        <v>4</v>
      </c>
      <c r="I20" s="55" t="n">
        <v>4</v>
      </c>
      <c r="J20" s="55" t="n">
        <v>3.4</v>
      </c>
      <c r="K20" s="55" t="n">
        <v>4.6</v>
      </c>
      <c r="L20" s="55" t="n">
        <v>4</v>
      </c>
      <c r="M20" s="55" t="n">
        <v>4.5</v>
      </c>
      <c r="N20" s="55" t="n">
        <v>4.3</v>
      </c>
      <c r="O20" s="55" t="n">
        <v>3.2</v>
      </c>
      <c r="P20" s="55" t="n">
        <v>1.3</v>
      </c>
      <c r="Q20" s="55" t="n">
        <v>0.9</v>
      </c>
      <c r="R20" s="55" t="n">
        <v>0.9</v>
      </c>
      <c r="S20" s="55" t="n">
        <v>0.9</v>
      </c>
      <c r="T20" s="55" t="n">
        <v>1.1</v>
      </c>
      <c r="U20" s="55" t="n">
        <v>1</v>
      </c>
      <c r="V20" s="55" t="n">
        <v>1.4</v>
      </c>
      <c r="W20" s="55" t="n">
        <v>1.3</v>
      </c>
      <c r="X20" s="55" t="n">
        <v>1.2</v>
      </c>
      <c r="Y20" s="55" t="n">
        <v>0.9</v>
      </c>
      <c r="Z20" s="55" t="n">
        <v>1.2</v>
      </c>
      <c r="AA20" s="55" t="n">
        <v>1</v>
      </c>
      <c r="AB20" s="55" t="n">
        <v>13.6</v>
      </c>
      <c r="AC20" s="55" t="n">
        <v>14.1</v>
      </c>
      <c r="AD20" s="55" t="n">
        <v>13.7</v>
      </c>
      <c r="AE20" s="55" t="n">
        <v>16.7</v>
      </c>
      <c r="AF20" s="55" t="n">
        <v>13</v>
      </c>
      <c r="AG20" s="55" t="n">
        <v>12.4</v>
      </c>
      <c r="AH20" s="56" t="n">
        <f aca="false">((D20+E20+F20+G20+H20+I20+J20+K20+L20+M20+N20+O20)/2)+(P20+Q20+R20+S20+T20+U20)+(V20+W20+X20+Y20+Z20+AA20)</f>
        <v>37.4</v>
      </c>
      <c r="AI20" s="57" t="n">
        <f aca="false">(AB20+AC20+AD20+AE20+AF20+AG20)*50/100</f>
        <v>41.75</v>
      </c>
      <c r="AJ20" s="58" t="n">
        <f aca="false">AH20+AI20</f>
        <v>79.15</v>
      </c>
    </row>
    <row r="21" customFormat="false" ht="18" hidden="false" customHeight="true" outlineLevel="0" collapsed="false">
      <c r="A21" s="59" t="n">
        <v>14</v>
      </c>
      <c r="B21" s="59" t="s">
        <v>76</v>
      </c>
      <c r="C21" s="60" t="s">
        <v>77</v>
      </c>
      <c r="D21" s="61" t="n">
        <v>2.9</v>
      </c>
      <c r="E21" s="61" t="n">
        <v>3.3</v>
      </c>
      <c r="F21" s="61" t="n">
        <v>3.6</v>
      </c>
      <c r="G21" s="61" t="n">
        <v>2.6</v>
      </c>
      <c r="H21" s="61" t="n">
        <v>3.4</v>
      </c>
      <c r="I21" s="61" t="n">
        <v>2.5</v>
      </c>
      <c r="J21" s="61" t="n">
        <v>2.8</v>
      </c>
      <c r="K21" s="61" t="n">
        <v>4.5</v>
      </c>
      <c r="L21" s="61" t="n">
        <v>4.9</v>
      </c>
      <c r="M21" s="61" t="n">
        <v>3.8</v>
      </c>
      <c r="N21" s="61" t="n">
        <v>3.7</v>
      </c>
      <c r="O21" s="61" t="n">
        <v>4.2</v>
      </c>
      <c r="P21" s="61" t="n">
        <v>1.2</v>
      </c>
      <c r="Q21" s="61" t="n">
        <v>1.5</v>
      </c>
      <c r="R21" s="61" t="n">
        <v>1.2</v>
      </c>
      <c r="S21" s="61" t="n">
        <v>0.9</v>
      </c>
      <c r="T21" s="61" t="n">
        <v>0.9</v>
      </c>
      <c r="U21" s="61" t="n">
        <v>1.5</v>
      </c>
      <c r="V21" s="61" t="n">
        <v>1.1</v>
      </c>
      <c r="W21" s="61" t="n">
        <v>1.1</v>
      </c>
      <c r="X21" s="61" t="n">
        <v>1.3</v>
      </c>
      <c r="Y21" s="61" t="n">
        <v>1</v>
      </c>
      <c r="Z21" s="61" t="n">
        <v>1.2</v>
      </c>
      <c r="AA21" s="61" t="n">
        <v>1.5</v>
      </c>
      <c r="AB21" s="61" t="n">
        <v>14.7</v>
      </c>
      <c r="AC21" s="61" t="n">
        <v>12.9</v>
      </c>
      <c r="AD21" s="61" t="n">
        <v>9.3</v>
      </c>
      <c r="AE21" s="61" t="n">
        <v>9.3</v>
      </c>
      <c r="AF21" s="61" t="n">
        <v>14.8</v>
      </c>
      <c r="AG21" s="61" t="n">
        <v>15.2</v>
      </c>
      <c r="AH21" s="56" t="n">
        <f aca="false">((D21+E21+F21+G21+H21+I21+J21+K21+L21+M21+N21+O21)/2)+(P21+Q21+R21+S21+T21+U21)+(V21+W21+X21+Y21+Z21+AA21)</f>
        <v>35.5</v>
      </c>
      <c r="AI21" s="57" t="n">
        <f aca="false">(AB21+AC21+AD21+AE21+AF21+AG21)*50/100</f>
        <v>38.1</v>
      </c>
      <c r="AJ21" s="58" t="n">
        <f aca="false">AH21+AI21</f>
        <v>73.6</v>
      </c>
    </row>
    <row r="22" customFormat="false" ht="18" hidden="false" customHeight="true" outlineLevel="0" collapsed="false">
      <c r="A22" s="53" t="n">
        <v>15</v>
      </c>
      <c r="B22" s="53" t="s">
        <v>78</v>
      </c>
      <c r="C22" s="54" t="s">
        <v>79</v>
      </c>
      <c r="D22" s="55" t="n">
        <v>3.4</v>
      </c>
      <c r="E22" s="55" t="n">
        <v>4.6</v>
      </c>
      <c r="F22" s="55" t="n">
        <v>2.6</v>
      </c>
      <c r="G22" s="55" t="n">
        <v>4.3</v>
      </c>
      <c r="H22" s="55" t="n">
        <v>3.9</v>
      </c>
      <c r="I22" s="55" t="n">
        <v>5</v>
      </c>
      <c r="J22" s="55" t="n">
        <v>2.8</v>
      </c>
      <c r="K22" s="55" t="n">
        <v>4.6</v>
      </c>
      <c r="L22" s="55" t="n">
        <v>4.4</v>
      </c>
      <c r="M22" s="55" t="n">
        <v>3.2</v>
      </c>
      <c r="N22" s="55" t="n">
        <v>5</v>
      </c>
      <c r="O22" s="55" t="n">
        <v>3.6</v>
      </c>
      <c r="P22" s="55" t="n">
        <v>1.1</v>
      </c>
      <c r="Q22" s="55" t="n">
        <v>1.5</v>
      </c>
      <c r="R22" s="55" t="n">
        <v>1.2</v>
      </c>
      <c r="S22" s="55" t="n">
        <v>1.7</v>
      </c>
      <c r="T22" s="55" t="n">
        <v>1.5</v>
      </c>
      <c r="U22" s="55" t="n">
        <v>1</v>
      </c>
      <c r="V22" s="55" t="n">
        <v>1.5</v>
      </c>
      <c r="W22" s="55" t="n">
        <v>1.3</v>
      </c>
      <c r="X22" s="55" t="n">
        <v>1.1</v>
      </c>
      <c r="Y22" s="55" t="n">
        <v>1.4</v>
      </c>
      <c r="Z22" s="55" t="n">
        <v>1.4</v>
      </c>
      <c r="AA22" s="55" t="n">
        <v>1</v>
      </c>
      <c r="AB22" s="55" t="n">
        <v>9.5</v>
      </c>
      <c r="AC22" s="55" t="n">
        <v>10.1</v>
      </c>
      <c r="AD22" s="55" t="n">
        <v>10.1</v>
      </c>
      <c r="AE22" s="55" t="n">
        <v>8.8</v>
      </c>
      <c r="AF22" s="55" t="n">
        <v>11.3</v>
      </c>
      <c r="AG22" s="55" t="n">
        <v>10.7</v>
      </c>
      <c r="AH22" s="56" t="n">
        <f aca="false">((D22+E22+F22+G22+H22+I22+J22+K22+L22+M22+N22+O22)/2)+(P22+Q22+R22+S22+T22+U22)+(V22+W22+X22+Y22+Z22+AA22)</f>
        <v>39.4</v>
      </c>
      <c r="AI22" s="57" t="n">
        <f aca="false">(AB22+AC22+AD22+AE22+AF22+AG22)*50/100</f>
        <v>30.25</v>
      </c>
      <c r="AJ22" s="58" t="n">
        <f aca="false">AH22+AI22</f>
        <v>69.65</v>
      </c>
    </row>
    <row r="23" customFormat="false" ht="18" hidden="false" customHeight="true" outlineLevel="0" collapsed="false">
      <c r="A23" s="59" t="n">
        <v>16</v>
      </c>
      <c r="B23" s="59" t="s">
        <v>80</v>
      </c>
      <c r="C23" s="60" t="s">
        <v>81</v>
      </c>
      <c r="D23" s="61" t="n">
        <v>3.8</v>
      </c>
      <c r="E23" s="61" t="n">
        <v>3.3</v>
      </c>
      <c r="F23" s="61" t="n">
        <v>4.3</v>
      </c>
      <c r="G23" s="61" t="n">
        <v>3.2</v>
      </c>
      <c r="H23" s="61" t="n">
        <v>3.2</v>
      </c>
      <c r="I23" s="61" t="n">
        <v>4.6</v>
      </c>
      <c r="J23" s="61" t="n">
        <v>5</v>
      </c>
      <c r="K23" s="61" t="n">
        <v>4.2</v>
      </c>
      <c r="L23" s="61" t="n">
        <v>2.7</v>
      </c>
      <c r="M23" s="61" t="n">
        <v>4.9</v>
      </c>
      <c r="N23" s="61" t="n">
        <v>4.5</v>
      </c>
      <c r="O23" s="61" t="n">
        <v>4.8</v>
      </c>
      <c r="P23" s="61" t="n">
        <v>1.7</v>
      </c>
      <c r="Q23" s="61" t="n">
        <v>1.6</v>
      </c>
      <c r="R23" s="61" t="n">
        <v>0.9</v>
      </c>
      <c r="S23" s="61" t="n">
        <v>1.6</v>
      </c>
      <c r="T23" s="61" t="n">
        <v>1</v>
      </c>
      <c r="U23" s="61" t="n">
        <v>1.4</v>
      </c>
      <c r="V23" s="61" t="n">
        <v>1.5</v>
      </c>
      <c r="W23" s="61" t="n">
        <v>1.5</v>
      </c>
      <c r="X23" s="61" t="n">
        <v>1.4</v>
      </c>
      <c r="Y23" s="61" t="n">
        <v>1.2</v>
      </c>
      <c r="Z23" s="61" t="n">
        <v>1.3</v>
      </c>
      <c r="AA23" s="61" t="n">
        <v>1.1</v>
      </c>
      <c r="AB23" s="61" t="n">
        <v>11.8</v>
      </c>
      <c r="AC23" s="61" t="n">
        <v>12.1</v>
      </c>
      <c r="AD23" s="61" t="n">
        <v>13.6</v>
      </c>
      <c r="AE23" s="61" t="n">
        <v>15.7</v>
      </c>
      <c r="AF23" s="61" t="n">
        <v>9.1</v>
      </c>
      <c r="AG23" s="61" t="n">
        <v>12.6</v>
      </c>
      <c r="AH23" s="56" t="n">
        <f aca="false">((D23+E23+F23+G23+H23+I23+J23+K23+L23+M23+N23+O23)/2)+(P23+Q23+R23+S23+T23+U23)+(V23+W23+X23+Y23+Z23+AA23)</f>
        <v>40.45</v>
      </c>
      <c r="AI23" s="57" t="n">
        <f aca="false">(AB23+AC23+AD23+AE23+AF23+AG23)*50/100</f>
        <v>37.45</v>
      </c>
      <c r="AJ23" s="58" t="n">
        <f aca="false">AH23+AI23</f>
        <v>77.9</v>
      </c>
    </row>
    <row r="24" customFormat="false" ht="18" hidden="false" customHeight="true" outlineLevel="0" collapsed="false">
      <c r="A24" s="53" t="n">
        <v>17</v>
      </c>
      <c r="B24" s="53" t="s">
        <v>82</v>
      </c>
      <c r="C24" s="54" t="s">
        <v>83</v>
      </c>
      <c r="D24" s="55" t="n">
        <v>3.2</v>
      </c>
      <c r="E24" s="55" t="n">
        <v>4.8</v>
      </c>
      <c r="F24" s="55" t="n">
        <v>3.4</v>
      </c>
      <c r="G24" s="55" t="n">
        <v>4.9</v>
      </c>
      <c r="H24" s="55" t="n">
        <v>3.3</v>
      </c>
      <c r="I24" s="55" t="n">
        <v>2.5</v>
      </c>
      <c r="J24" s="55" t="n">
        <v>4.4</v>
      </c>
      <c r="K24" s="55" t="n">
        <v>4.3</v>
      </c>
      <c r="L24" s="55" t="n">
        <v>4.3</v>
      </c>
      <c r="M24" s="55" t="n">
        <v>3.6</v>
      </c>
      <c r="N24" s="55" t="n">
        <v>4.2</v>
      </c>
      <c r="O24" s="55" t="n">
        <v>3.4</v>
      </c>
      <c r="P24" s="55" t="n">
        <v>0.9</v>
      </c>
      <c r="Q24" s="55" t="n">
        <v>1.3</v>
      </c>
      <c r="R24" s="55" t="n">
        <v>1</v>
      </c>
      <c r="S24" s="55" t="n">
        <v>1.2</v>
      </c>
      <c r="T24" s="55" t="n">
        <v>1</v>
      </c>
      <c r="U24" s="55" t="n">
        <v>1.1</v>
      </c>
      <c r="V24" s="55" t="n">
        <v>1.5</v>
      </c>
      <c r="W24" s="55" t="n">
        <v>1.1</v>
      </c>
      <c r="X24" s="55" t="n">
        <v>1.3</v>
      </c>
      <c r="Y24" s="55" t="n">
        <v>1.3</v>
      </c>
      <c r="Z24" s="55" t="n">
        <v>1.2</v>
      </c>
      <c r="AA24" s="55" t="n">
        <v>1.1</v>
      </c>
      <c r="AB24" s="55" t="n">
        <v>14</v>
      </c>
      <c r="AC24" s="55" t="n">
        <v>8.7</v>
      </c>
      <c r="AD24" s="55" t="n">
        <v>9.2</v>
      </c>
      <c r="AE24" s="55" t="n">
        <v>14.9</v>
      </c>
      <c r="AF24" s="55" t="n">
        <v>12.2</v>
      </c>
      <c r="AG24" s="55" t="n">
        <v>9.4</v>
      </c>
      <c r="AH24" s="56" t="n">
        <f aca="false">((D24+E24+F24+G24+H24+I24+J24+K24+L24+M24+N24+O24)/2)+(P24+Q24+R24+S24+T24+U24)+(V24+W24+X24+Y24+Z24+AA24)</f>
        <v>37.15</v>
      </c>
      <c r="AI24" s="57" t="n">
        <f aca="false">(AB24+AC24+AD24+AE24+AF24+AG24)*50/100</f>
        <v>34.2</v>
      </c>
      <c r="AJ24" s="58" t="n">
        <f aca="false">AH24+AI24</f>
        <v>71.35</v>
      </c>
    </row>
    <row r="25" customFormat="false" ht="18" hidden="false" customHeight="true" outlineLevel="0" collapsed="false">
      <c r="A25" s="59" t="n">
        <v>18</v>
      </c>
      <c r="B25" s="59" t="s">
        <v>84</v>
      </c>
      <c r="C25" s="60" t="s">
        <v>85</v>
      </c>
      <c r="D25" s="61" t="n">
        <v>4.6</v>
      </c>
      <c r="E25" s="61" t="n">
        <v>3.6</v>
      </c>
      <c r="F25" s="61" t="n">
        <v>2.5</v>
      </c>
      <c r="G25" s="61" t="n">
        <v>4.9</v>
      </c>
      <c r="H25" s="61" t="n">
        <v>3</v>
      </c>
      <c r="I25" s="61" t="n">
        <v>4.2</v>
      </c>
      <c r="J25" s="61" t="n">
        <v>2.8</v>
      </c>
      <c r="K25" s="61" t="n">
        <v>4.1</v>
      </c>
      <c r="L25" s="61" t="n">
        <v>2.9</v>
      </c>
      <c r="M25" s="61" t="n">
        <v>4.8</v>
      </c>
      <c r="N25" s="61" t="n">
        <v>3.2</v>
      </c>
      <c r="O25" s="61" t="n">
        <v>4.1</v>
      </c>
      <c r="P25" s="61" t="n">
        <v>1</v>
      </c>
      <c r="Q25" s="61" t="n">
        <v>1.1</v>
      </c>
      <c r="R25" s="61" t="n">
        <v>1.6</v>
      </c>
      <c r="S25" s="61" t="n">
        <v>1</v>
      </c>
      <c r="T25" s="61" t="n">
        <v>1.2</v>
      </c>
      <c r="U25" s="61" t="n">
        <v>1.1</v>
      </c>
      <c r="V25" s="61" t="n">
        <v>1.4</v>
      </c>
      <c r="W25" s="61" t="n">
        <v>1</v>
      </c>
      <c r="X25" s="61" t="n">
        <v>1.4</v>
      </c>
      <c r="Y25" s="61" t="n">
        <v>1.4</v>
      </c>
      <c r="Z25" s="61" t="n">
        <v>0.8</v>
      </c>
      <c r="AA25" s="61" t="n">
        <v>1.2</v>
      </c>
      <c r="AB25" s="61" t="n">
        <v>9.4</v>
      </c>
      <c r="AC25" s="61" t="n">
        <v>10.2</v>
      </c>
      <c r="AD25" s="61" t="n">
        <v>14</v>
      </c>
      <c r="AE25" s="61" t="n">
        <v>8.4</v>
      </c>
      <c r="AF25" s="61" t="n">
        <v>14.1</v>
      </c>
      <c r="AG25" s="61" t="n">
        <v>15.1</v>
      </c>
      <c r="AH25" s="56" t="n">
        <f aca="false">((D25+E25+F25+G25+H25+I25+J25+K25+L25+M25+N25+O25)/2)+(P25+Q25+R25+S25+T25+U25)+(V25+W25+X25+Y25+Z25+AA25)</f>
        <v>36.55</v>
      </c>
      <c r="AI25" s="57" t="n">
        <f aca="false">(AB25+AC25+AD25+AE25+AF25+AG25)*50/100</f>
        <v>35.6</v>
      </c>
      <c r="AJ25" s="58" t="n">
        <f aca="false">AH25+AI25</f>
        <v>72.15</v>
      </c>
    </row>
    <row r="26" customFormat="false" ht="18" hidden="false" customHeight="true" outlineLevel="0" collapsed="false">
      <c r="A26" s="53" t="n">
        <v>19</v>
      </c>
      <c r="B26" s="53" t="s">
        <v>86</v>
      </c>
      <c r="C26" s="54" t="s">
        <v>87</v>
      </c>
      <c r="D26" s="55" t="n">
        <v>5</v>
      </c>
      <c r="E26" s="55" t="n">
        <v>3.6</v>
      </c>
      <c r="F26" s="55" t="n">
        <v>2.8</v>
      </c>
      <c r="G26" s="55" t="n">
        <v>2.7</v>
      </c>
      <c r="H26" s="55" t="n">
        <v>3.5</v>
      </c>
      <c r="I26" s="55" t="n">
        <v>4.3</v>
      </c>
      <c r="J26" s="55" t="n">
        <v>2.8</v>
      </c>
      <c r="K26" s="55" t="n">
        <v>3.3</v>
      </c>
      <c r="L26" s="55" t="n">
        <v>4.7</v>
      </c>
      <c r="M26" s="55" t="n">
        <v>2.8</v>
      </c>
      <c r="N26" s="55" t="n">
        <v>4.4</v>
      </c>
      <c r="O26" s="55" t="n">
        <v>4.4</v>
      </c>
      <c r="P26" s="55" t="n">
        <v>0.9</v>
      </c>
      <c r="Q26" s="55" t="n">
        <v>1.7</v>
      </c>
      <c r="R26" s="55" t="n">
        <v>1</v>
      </c>
      <c r="S26" s="55" t="n">
        <v>1.3</v>
      </c>
      <c r="T26" s="55" t="n">
        <v>0.8</v>
      </c>
      <c r="U26" s="55" t="n">
        <v>1.4</v>
      </c>
      <c r="V26" s="55" t="n">
        <v>1.2</v>
      </c>
      <c r="W26" s="55" t="n">
        <v>1.4</v>
      </c>
      <c r="X26" s="55" t="n">
        <v>1.4</v>
      </c>
      <c r="Y26" s="55" t="n">
        <v>1</v>
      </c>
      <c r="Z26" s="55" t="n">
        <v>1.2</v>
      </c>
      <c r="AA26" s="55" t="n">
        <v>1.4</v>
      </c>
      <c r="AB26" s="55" t="n">
        <v>15.5</v>
      </c>
      <c r="AC26" s="55" t="n">
        <v>9.1</v>
      </c>
      <c r="AD26" s="55" t="n">
        <v>9.2</v>
      </c>
      <c r="AE26" s="55" t="n">
        <v>14.6</v>
      </c>
      <c r="AF26" s="55" t="n">
        <v>13.2</v>
      </c>
      <c r="AG26" s="55" t="n">
        <v>11.5</v>
      </c>
      <c r="AH26" s="56" t="n">
        <f aca="false">((D26+E26+F26+G26+H26+I26+J26+K26+L26+M26+N26+O26)/2)+(P26+Q26+R26+S26+T26+U26)+(V26+W26+X26+Y26+Z26+AA26)</f>
        <v>36.85</v>
      </c>
      <c r="AI26" s="57" t="n">
        <f aca="false">(AB26+AC26+AD26+AE26+AF26+AG26)*50/100</f>
        <v>36.55</v>
      </c>
      <c r="AJ26" s="58" t="n">
        <f aca="false">AH26+AI26</f>
        <v>73.4</v>
      </c>
    </row>
    <row r="27" customFormat="false" ht="18" hidden="false" customHeight="true" outlineLevel="0" collapsed="false">
      <c r="A27" s="59" t="n">
        <v>20</v>
      </c>
      <c r="B27" s="59" t="s">
        <v>88</v>
      </c>
      <c r="C27" s="60" t="s">
        <v>89</v>
      </c>
      <c r="D27" s="61" t="n">
        <v>4.9</v>
      </c>
      <c r="E27" s="61" t="n">
        <v>3.3</v>
      </c>
      <c r="F27" s="61" t="n">
        <v>2.8</v>
      </c>
      <c r="G27" s="61" t="n">
        <v>3.2</v>
      </c>
      <c r="H27" s="61" t="n">
        <v>2.7</v>
      </c>
      <c r="I27" s="61" t="n">
        <v>3.9</v>
      </c>
      <c r="J27" s="61" t="n">
        <v>4</v>
      </c>
      <c r="K27" s="61" t="n">
        <v>4</v>
      </c>
      <c r="L27" s="61" t="n">
        <v>4.4</v>
      </c>
      <c r="M27" s="61" t="n">
        <v>4.2</v>
      </c>
      <c r="N27" s="61" t="n">
        <v>4.6</v>
      </c>
      <c r="O27" s="61" t="n">
        <v>4.1</v>
      </c>
      <c r="P27" s="61" t="n">
        <v>1.1</v>
      </c>
      <c r="Q27" s="61" t="n">
        <v>1.3</v>
      </c>
      <c r="R27" s="61" t="n">
        <v>1.3</v>
      </c>
      <c r="S27" s="61" t="n">
        <v>1.5</v>
      </c>
      <c r="T27" s="61" t="n">
        <v>1.1</v>
      </c>
      <c r="U27" s="61" t="n">
        <v>0.9</v>
      </c>
      <c r="V27" s="61" t="n">
        <v>1.6</v>
      </c>
      <c r="W27" s="61" t="n">
        <v>1.6</v>
      </c>
      <c r="X27" s="61" t="n">
        <v>1.2</v>
      </c>
      <c r="Y27" s="61" t="n">
        <v>0.9</v>
      </c>
      <c r="Z27" s="61" t="n">
        <v>1.2</v>
      </c>
      <c r="AA27" s="61" t="n">
        <v>1.3</v>
      </c>
      <c r="AB27" s="61" t="n">
        <v>12.7</v>
      </c>
      <c r="AC27" s="61" t="n">
        <v>16.5</v>
      </c>
      <c r="AD27" s="61" t="n">
        <v>16.6</v>
      </c>
      <c r="AE27" s="61" t="n">
        <v>16.1</v>
      </c>
      <c r="AF27" s="61" t="n">
        <v>9.4</v>
      </c>
      <c r="AG27" s="61" t="n">
        <v>15.5</v>
      </c>
      <c r="AH27" s="56" t="n">
        <f aca="false">((D27+E27+F27+G27+H27+I27+J27+K27+L27+M27+N27+O27)/2)+(P27+Q27+R27+S27+T27+U27)+(V27+W27+X27+Y27+Z27+AA27)</f>
        <v>38.05</v>
      </c>
      <c r="AI27" s="57" t="n">
        <f aca="false">(AB27+AC27+AD27+AE27+AF27+AG27)*50/100</f>
        <v>43.4</v>
      </c>
      <c r="AJ27" s="58" t="n">
        <f aca="false">AH27+AI27</f>
        <v>81.45</v>
      </c>
    </row>
    <row r="29" customFormat="false" ht="21.75" hidden="false" customHeight="true" outlineLevel="0" collapsed="false">
      <c r="A29" s="62" t="s">
        <v>90</v>
      </c>
      <c r="B29" s="62"/>
      <c r="C29" s="62"/>
    </row>
    <row r="30" customFormat="false" ht="18" hidden="false" customHeight="true" outlineLevel="0" collapsed="false">
      <c r="A30" s="63" t="s">
        <v>91</v>
      </c>
      <c r="B30" s="63"/>
      <c r="C30" s="63"/>
      <c r="D30" s="64" t="n">
        <f aca="false">AVERAGE(D8:D27)</f>
        <v>3.98</v>
      </c>
      <c r="E30" s="64" t="n">
        <f aca="false">AVERAGE(E8:E27)</f>
        <v>3.685</v>
      </c>
      <c r="F30" s="64" t="n">
        <f aca="false">AVERAGE(F8:F27)</f>
        <v>3.54</v>
      </c>
      <c r="G30" s="64" t="n">
        <f aca="false">AVERAGE(G8:G27)</f>
        <v>3.745</v>
      </c>
      <c r="H30" s="64" t="n">
        <f aca="false">AVERAGE(H8:H27)</f>
        <v>3.55</v>
      </c>
      <c r="I30" s="64" t="n">
        <f aca="false">AVERAGE(I8:I27)</f>
        <v>3.685</v>
      </c>
    </row>
    <row r="31" customFormat="false" ht="18" hidden="false" customHeight="true" outlineLevel="0" collapsed="false">
      <c r="A31" s="65" t="s">
        <v>92</v>
      </c>
      <c r="B31" s="65"/>
      <c r="C31" s="65"/>
      <c r="J31" s="64" t="n">
        <f aca="false">AVERAGE(J8:J27)</f>
        <v>3.725</v>
      </c>
      <c r="K31" s="64" t="n">
        <f aca="false">AVERAGE(K8:K27)</f>
        <v>3.83</v>
      </c>
      <c r="L31" s="64" t="n">
        <f aca="false">AVERAGE(L8:L27)</f>
        <v>4.195</v>
      </c>
      <c r="M31" s="64" t="n">
        <f aca="false">AVERAGE(M8:M27)</f>
        <v>3.82</v>
      </c>
      <c r="N31" s="64" t="n">
        <f aca="false">AVERAGE(N8:N27)</f>
        <v>3.92</v>
      </c>
      <c r="O31" s="64" t="n">
        <f aca="false">AVERAGE(O8:O27)</f>
        <v>3.62</v>
      </c>
    </row>
    <row r="32" customFormat="false" ht="18" hidden="false" customHeight="true" outlineLevel="0" collapsed="false">
      <c r="A32" s="66" t="s">
        <v>93</v>
      </c>
      <c r="B32" s="66"/>
      <c r="C32" s="66"/>
      <c r="P32" s="64" t="n">
        <f aca="false">AVERAGE(P8:P27)</f>
        <v>1.135</v>
      </c>
      <c r="Q32" s="64" t="n">
        <f aca="false">AVERAGE(Q8:Q27)</f>
        <v>1.265</v>
      </c>
      <c r="R32" s="64" t="n">
        <f aca="false">AVERAGE(R8:R27)</f>
        <v>1.27</v>
      </c>
      <c r="S32" s="64" t="n">
        <f aca="false">AVERAGE(S8:S27)</f>
        <v>1.23</v>
      </c>
      <c r="T32" s="64" t="n">
        <f aca="false">AVERAGE(T8:T27)</f>
        <v>1.185</v>
      </c>
      <c r="U32" s="64" t="n">
        <f aca="false">AVERAGE(U8:U27)</f>
        <v>1.165</v>
      </c>
    </row>
    <row r="33" customFormat="false" ht="18" hidden="false" customHeight="true" outlineLevel="0" collapsed="false">
      <c r="A33" s="67" t="s">
        <v>94</v>
      </c>
      <c r="B33" s="67"/>
      <c r="C33" s="67"/>
      <c r="V33" s="64" t="n">
        <f aca="false">AVERAGE(V8:V27)</f>
        <v>1.36</v>
      </c>
      <c r="W33" s="64" t="n">
        <f aca="false">AVERAGE(W8:W27)</f>
        <v>1.29</v>
      </c>
      <c r="X33" s="64" t="n">
        <f aca="false">AVERAGE(X8:X27)</f>
        <v>1.225</v>
      </c>
      <c r="Y33" s="64" t="n">
        <f aca="false">AVERAGE(Y8:Y27)</f>
        <v>1.2</v>
      </c>
      <c r="Z33" s="64" t="n">
        <f aca="false">AVERAGE(Z8:Z27)</f>
        <v>1.235</v>
      </c>
      <c r="AA33" s="64" t="n">
        <f aca="false">AVERAGE(AA8:AA27)</f>
        <v>1.215</v>
      </c>
    </row>
    <row r="34" customFormat="false" ht="18" hidden="false" customHeight="true" outlineLevel="0" collapsed="false">
      <c r="A34" s="68" t="s">
        <v>95</v>
      </c>
      <c r="B34" s="68"/>
      <c r="C34" s="68"/>
      <c r="AB34" s="64" t="n">
        <f aca="false">AVERAGE(AB8:AB27)</f>
        <v>12.965</v>
      </c>
      <c r="AC34" s="64" t="n">
        <f aca="false">AVERAGE(AC8:AC27)</f>
        <v>12.655</v>
      </c>
      <c r="AD34" s="64" t="n">
        <f aca="false">AVERAGE(AD8:AD27)</f>
        <v>12.79</v>
      </c>
      <c r="AE34" s="64" t="n">
        <f aca="false">AVERAGE(AE8:AE27)</f>
        <v>13.18</v>
      </c>
      <c r="AF34" s="64" t="n">
        <f aca="false">AVERAGE(AF8:AF27)</f>
        <v>12.085</v>
      </c>
      <c r="AG34" s="64" t="n">
        <f aca="false">AVERAGE(AG8:AG27)</f>
        <v>12.16</v>
      </c>
    </row>
    <row r="35" customFormat="false" ht="21.75" hidden="false" customHeight="true" outlineLevel="0" collapsed="false">
      <c r="A35" s="62" t="s">
        <v>96</v>
      </c>
      <c r="B35" s="62"/>
      <c r="C35" s="62"/>
      <c r="D35" s="69" t="n">
        <f aca="false">(D30+J31+P32+V33+AB34)/30</f>
        <v>0.772166666666667</v>
      </c>
      <c r="E35" s="69" t="n">
        <f aca="false">(E30+K31+Q32+W33+AC34)/30</f>
        <v>0.7575</v>
      </c>
      <c r="F35" s="69" t="n">
        <f aca="false">(F30+L31+R32+X33+AD34)/30</f>
        <v>0.767333333333333</v>
      </c>
      <c r="G35" s="69" t="n">
        <f aca="false">(G30+M31+S32+Y33+AE34)/30</f>
        <v>0.7725</v>
      </c>
      <c r="H35" s="69" t="n">
        <f aca="false">(H30+N31+T32+Z33+AF34)/30</f>
        <v>0.7325</v>
      </c>
      <c r="I35" s="69" t="n">
        <f aca="false">(I30+O31+U32+AA33+AG34)/30</f>
        <v>0.728166666666667</v>
      </c>
    </row>
    <row r="36" customFormat="false" ht="21.75" hidden="false" customHeight="true" outlineLevel="0" collapsed="false">
      <c r="A36" s="46" t="s">
        <v>97</v>
      </c>
      <c r="B36" s="46"/>
      <c r="C36" s="46"/>
      <c r="D36" s="70" t="n">
        <f aca="false">IF(D35&gt;=0.6,3,IF(D35&gt;=0.4,2,1))</f>
        <v>3</v>
      </c>
      <c r="E36" s="70" t="n">
        <f aca="false">IF(E35&gt;=0.6,3,IF(E35&gt;=0.4,2,1))</f>
        <v>3</v>
      </c>
      <c r="F36" s="70" t="n">
        <f aca="false">IF(F35&gt;=0.6,3,IF(F35&gt;=0.4,2,1))</f>
        <v>3</v>
      </c>
      <c r="G36" s="70" t="n">
        <f aca="false">IF(G35&gt;=0.6,3,IF(G35&gt;=0.4,2,1))</f>
        <v>3</v>
      </c>
      <c r="H36" s="70" t="n">
        <f aca="false">IF(H35&gt;=0.6,3,IF(H35&gt;=0.4,2,1))</f>
        <v>3</v>
      </c>
      <c r="I36" s="70" t="n">
        <f aca="false">IF(I35&gt;=0.6,3,IF(I35&gt;=0.4,2,1))</f>
        <v>3</v>
      </c>
    </row>
  </sheetData>
  <mergeCells count="27">
    <mergeCell ref="A1:AK1"/>
    <mergeCell ref="A2:AK2"/>
    <mergeCell ref="A4:A5"/>
    <mergeCell ref="B4:G4"/>
    <mergeCell ref="H4:M4"/>
    <mergeCell ref="N4:S4"/>
    <mergeCell ref="T4:Y4"/>
    <mergeCell ref="Z4:AE4"/>
    <mergeCell ref="AF4:AF5"/>
    <mergeCell ref="AG4:AG5"/>
    <mergeCell ref="AH4:AH5"/>
    <mergeCell ref="A6:A7"/>
    <mergeCell ref="B6:B7"/>
    <mergeCell ref="C6:C7"/>
    <mergeCell ref="D6:I6"/>
    <mergeCell ref="J6:O6"/>
    <mergeCell ref="P6:U6"/>
    <mergeCell ref="V6:AA6"/>
    <mergeCell ref="AB6:AG6"/>
    <mergeCell ref="A29:C29"/>
    <mergeCell ref="A30:C30"/>
    <mergeCell ref="A31:C31"/>
    <mergeCell ref="A32:C32"/>
    <mergeCell ref="A33:C33"/>
    <mergeCell ref="A34:C34"/>
    <mergeCell ref="A35:C35"/>
    <mergeCell ref="A36:C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2"/>
    <col collapsed="false" customWidth="true" hidden="false" outlineLevel="0" max="12" min="3" style="0" width="10"/>
  </cols>
  <sheetData>
    <row r="1" customFormat="false" ht="37.5" hidden="false" customHeight="true" outlineLevel="0" collapsed="false">
      <c r="A1" s="71" t="s">
        <v>102</v>
      </c>
      <c r="B1" s="71"/>
      <c r="C1" s="71"/>
      <c r="D1" s="71"/>
      <c r="E1" s="71"/>
      <c r="F1" s="71"/>
      <c r="G1" s="71"/>
      <c r="H1" s="71"/>
      <c r="I1" s="71"/>
      <c r="J1" s="71"/>
      <c r="K1" s="71"/>
      <c r="L1" s="71"/>
    </row>
    <row r="2" customFormat="false" ht="19.5" hidden="false" customHeight="true" outlineLevel="0" collapsed="false">
      <c r="A2" s="72" t="s">
        <v>103</v>
      </c>
      <c r="B2" s="72"/>
      <c r="C2" s="72"/>
      <c r="D2" s="72"/>
      <c r="E2" s="72"/>
      <c r="F2" s="72"/>
      <c r="G2" s="72"/>
      <c r="H2" s="72"/>
      <c r="I2" s="72"/>
      <c r="J2" s="72"/>
      <c r="K2" s="72"/>
      <c r="L2" s="72"/>
    </row>
    <row r="4" customFormat="false" ht="24.75" hidden="false" customHeight="true" outlineLevel="0" collapsed="false">
      <c r="A4" s="73" t="s">
        <v>6</v>
      </c>
      <c r="B4" s="74" t="s">
        <v>104</v>
      </c>
      <c r="C4" s="74" t="s">
        <v>8</v>
      </c>
      <c r="D4" s="75" t="s">
        <v>9</v>
      </c>
      <c r="E4" s="75" t="s">
        <v>10</v>
      </c>
      <c r="F4" s="75" t="s">
        <v>11</v>
      </c>
      <c r="G4" s="75" t="s">
        <v>12</v>
      </c>
      <c r="H4" s="75" t="s">
        <v>13</v>
      </c>
      <c r="I4" s="75" t="s">
        <v>14</v>
      </c>
      <c r="J4" s="76" t="s">
        <v>105</v>
      </c>
      <c r="K4" s="76" t="s">
        <v>106</v>
      </c>
      <c r="L4" s="76" t="s">
        <v>107</v>
      </c>
    </row>
    <row r="5" customFormat="false" ht="19.5" hidden="false" customHeight="true" outlineLevel="0" collapsed="false">
      <c r="A5" s="14" t="n">
        <v>1</v>
      </c>
      <c r="B5" s="77" t="s">
        <v>21</v>
      </c>
      <c r="C5" s="14" t="s">
        <v>22</v>
      </c>
      <c r="D5" s="78" t="n">
        <v>0.68</v>
      </c>
      <c r="E5" s="78" t="n">
        <v>0.6</v>
      </c>
      <c r="F5" s="78" t="n">
        <v>0.72</v>
      </c>
      <c r="G5" s="78" t="n">
        <v>0.76</v>
      </c>
      <c r="H5" s="78" t="n">
        <v>0.83</v>
      </c>
      <c r="I5" s="79" t="s">
        <v>23</v>
      </c>
      <c r="J5" s="80" t="n">
        <v>0.72</v>
      </c>
      <c r="K5" s="81" t="n">
        <v>0.75</v>
      </c>
      <c r="L5" s="82" t="n">
        <v>0.73</v>
      </c>
    </row>
    <row r="6" customFormat="false" ht="19.5" hidden="false" customHeight="true" outlineLevel="0" collapsed="false">
      <c r="A6" s="22" t="n">
        <v>2</v>
      </c>
      <c r="B6" s="83" t="s">
        <v>24</v>
      </c>
      <c r="C6" s="22" t="s">
        <v>25</v>
      </c>
      <c r="D6" s="84" t="n">
        <v>0.46</v>
      </c>
      <c r="E6" s="84" t="n">
        <v>0.48</v>
      </c>
      <c r="F6" s="84" t="n">
        <v>0.55</v>
      </c>
      <c r="G6" s="84" t="n">
        <v>0.47</v>
      </c>
      <c r="H6" s="84" t="n">
        <v>0.47</v>
      </c>
      <c r="I6" s="85" t="s">
        <v>23</v>
      </c>
      <c r="J6" s="80" t="n">
        <v>0.49</v>
      </c>
      <c r="K6" s="81" t="n">
        <v>0.52</v>
      </c>
      <c r="L6" s="82" t="n">
        <v>0.51</v>
      </c>
    </row>
    <row r="7" customFormat="false" ht="19.5" hidden="false" customHeight="true" outlineLevel="0" collapsed="false">
      <c r="A7" s="14" t="n">
        <v>3</v>
      </c>
      <c r="B7" s="77" t="s">
        <v>26</v>
      </c>
      <c r="C7" s="14" t="s">
        <v>27</v>
      </c>
      <c r="D7" s="78" t="n">
        <v>0.65</v>
      </c>
      <c r="E7" s="78" t="n">
        <v>0.7</v>
      </c>
      <c r="F7" s="78" t="n">
        <v>0.65</v>
      </c>
      <c r="G7" s="78" t="n">
        <v>0.62</v>
      </c>
      <c r="H7" s="78" t="n">
        <v>0.73</v>
      </c>
      <c r="I7" s="79" t="s">
        <v>23</v>
      </c>
      <c r="J7" s="80" t="n">
        <v>0.67</v>
      </c>
      <c r="K7" s="81" t="n">
        <v>0.63</v>
      </c>
      <c r="L7" s="82" t="n">
        <v>0.65</v>
      </c>
    </row>
    <row r="8" customFormat="false" ht="19.5" hidden="false" customHeight="true" outlineLevel="0" collapsed="false">
      <c r="A8" s="22" t="n">
        <v>4</v>
      </c>
      <c r="B8" s="83" t="s">
        <v>28</v>
      </c>
      <c r="C8" s="22" t="s">
        <v>29</v>
      </c>
      <c r="D8" s="78" t="n">
        <v>0.66</v>
      </c>
      <c r="E8" s="78" t="n">
        <v>0.7</v>
      </c>
      <c r="F8" s="84" t="n">
        <v>0.56</v>
      </c>
      <c r="G8" s="84" t="n">
        <v>0.57</v>
      </c>
      <c r="H8" s="78" t="n">
        <v>0.65</v>
      </c>
      <c r="I8" s="85" t="s">
        <v>23</v>
      </c>
      <c r="J8" s="80" t="n">
        <v>0.63</v>
      </c>
      <c r="K8" s="81" t="n">
        <v>0.6</v>
      </c>
      <c r="L8" s="82" t="n">
        <v>0.61</v>
      </c>
    </row>
    <row r="9" customFormat="false" ht="19.5" hidden="false" customHeight="true" outlineLevel="0" collapsed="false">
      <c r="A9" s="14" t="n">
        <v>5</v>
      </c>
      <c r="B9" s="77" t="s">
        <v>30</v>
      </c>
      <c r="C9" s="14" t="s">
        <v>31</v>
      </c>
      <c r="D9" s="78" t="n">
        <v>0.77</v>
      </c>
      <c r="E9" s="78" t="n">
        <v>0.66</v>
      </c>
      <c r="F9" s="78" t="n">
        <v>0.61</v>
      </c>
      <c r="G9" s="78" t="n">
        <v>0.7</v>
      </c>
      <c r="H9" s="78" t="n">
        <v>0.78</v>
      </c>
      <c r="I9" s="78" t="n">
        <v>0.72</v>
      </c>
      <c r="J9" s="80" t="n">
        <v>0.71</v>
      </c>
      <c r="K9" s="81" t="n">
        <v>0.67</v>
      </c>
      <c r="L9" s="82" t="n">
        <v>0.69</v>
      </c>
    </row>
  </sheetData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2026-04-25T05:47:05Z</dcterms:created>
  <dc:creator>openpyxl</dc:creator>
  <dc:description/>
  <dc:language>en-US</dc:language>
  <cp:lastModifiedBy/>
  <dcterms:modified xsi:type="dcterms:W3CDTF">2026-04-25T05:47:06Z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