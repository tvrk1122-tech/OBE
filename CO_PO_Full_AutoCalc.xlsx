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tabRatio="500" activeTab="1"/>
  </bookViews>
  <sheets>
    <sheet name="Master Dashboard" sheetId="1" r:id="rId1"/>
    <sheet name="CS301" sheetId="2" r:id="rId2"/>
    <sheet name="CS302" sheetId="3" r:id="rId3"/>
    <sheet name="CS303" sheetId="4" r:id="rId4"/>
    <sheet name="CS304" sheetId="5" r:id="rId5"/>
    <sheet name="CS305" sheetId="6" r:id="rId6"/>
    <sheet name="CO-PO Mapping" sheetId="7" r:id="rId7"/>
    <sheet name="PO Direct Attainment" sheetId="8" r:id="rId8"/>
    <sheet name="PO Indirect Attainment" sheetId="9" r:id="rId9"/>
    <sheet name="PO Total Attainmen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<sst xmlns="http://schemas.openxmlformats.org/spreadsheetml/2006/main" count="711" uniqueCount="177">
  <si>
    <t>CO &amp; PO ATTAINMENT — COMPLETE AUTO-CALCULATION MASTER DASHBOARD  |  B.Tech CSE  |  AY 2024-25</t>
  </si>
  <si>
    <t>Enter marks in Course sheets (CS301–CS305)  →  CO Att% auto-calculates  →  CO-PO Mapping links CO att%  →  PO Direct Att% auto-calculates  →  Add survey scores in Indirect sheet  →  PO Total Att% auto-updates</t>
  </si>
  <si>
    <t>📥 STEP 1: Enter Marks  →  📊 STEP 2: CO Att% Auto  →  🔗 STEP 3: CO-PO Mapping  →  📈 STEP 4: PO Direct Auto  →  📝 STEP 5: Survey Scores  →  🏁 STEP 6: PO Total Auto</t>
  </si>
  <si>
    <t>SECTION A — CO ATTAINMENT SUMMARY</t>
  </si>
  <si>
    <t>SECTION B — PO TOTAL ATTAINMENT SUMMARY</t>
  </si>
  <si>
    <t>#</t>
  </si>
  <si>
    <t>Course</t>
  </si>
  <si>
    <t>Code</t>
  </si>
  <si>
    <t>Cr</t>
  </si>
  <si>
    <t>CO1</t>
  </si>
  <si>
    <t>CO2</t>
  </si>
  <si>
    <t>CO3</t>
  </si>
  <si>
    <t>CO4</t>
  </si>
  <si>
    <t>CO5</t>
  </si>
  <si>
    <t>PO/PSO</t>
  </si>
  <si>
    <t>Description</t>
  </si>
  <si>
    <t>Direct%</t>
  </si>
  <si>
    <t>Indirect%</t>
  </si>
  <si>
    <t>Total%</t>
  </si>
  <si>
    <t>Level</t>
  </si>
  <si>
    <t>Target</t>
  </si>
  <si>
    <t>Gap</t>
  </si>
  <si>
    <t>Status</t>
  </si>
  <si>
    <t>Data Structures &amp; Algorithms</t>
  </si>
  <si>
    <t>CS301</t>
  </si>
  <si>
    <t>PO1</t>
  </si>
  <si>
    <t>Engineering Knowledge</t>
  </si>
  <si>
    <t>Database Management Systems</t>
  </si>
  <si>
    <t>CS302</t>
  </si>
  <si>
    <t>PO2</t>
  </si>
  <si>
    <t>Problem Analysis</t>
  </si>
  <si>
    <t>Computer Networks</t>
  </si>
  <si>
    <t>CS303</t>
  </si>
  <si>
    <t>PO3</t>
  </si>
  <si>
    <t>Design/Development of Solutions</t>
  </si>
  <si>
    <t>Operating Systems</t>
  </si>
  <si>
    <t>CS304</t>
  </si>
  <si>
    <t>PO4</t>
  </si>
  <si>
    <t>Conduct Investigations</t>
  </si>
  <si>
    <t>Machine Learning</t>
  </si>
  <si>
    <t>CS305</t>
  </si>
  <si>
    <t>PO5</t>
  </si>
  <si>
    <t>Modern Tool Usage</t>
  </si>
  <si>
    <t>PO6</t>
  </si>
  <si>
    <t>The Engineer and Society</t>
  </si>
  <si>
    <t>PO7</t>
  </si>
  <si>
    <t>Environment and Sustainability</t>
  </si>
  <si>
    <t>PO8</t>
  </si>
  <si>
    <t>Ethics</t>
  </si>
  <si>
    <t>PO9</t>
  </si>
  <si>
    <t>Individual and Team Work</t>
  </si>
  <si>
    <t>PO10</t>
  </si>
  <si>
    <t>Communication</t>
  </si>
  <si>
    <t>PO11</t>
  </si>
  <si>
    <t>Project Management and Finance</t>
  </si>
  <si>
    <t>PO12</t>
  </si>
  <si>
    <t>Life-long Learning</t>
  </si>
  <si>
    <t>PSO1</t>
  </si>
  <si>
    <t>Apply core CS concepts to design software systems</t>
  </si>
  <si>
    <t>PSO2</t>
  </si>
  <si>
    <t>Use modern tools to solve real-world engineering problems</t>
  </si>
  <si>
    <t>PSO3</t>
  </si>
  <si>
    <t>Demonstrate professional skills for industry/research</t>
  </si>
  <si>
    <t>📌 HOW TO USE THIS WORKBOOK — FULLY AUTO-CALCULATION:
1️⃣ CS301–CS305 sheets: Enter Mid-1, Mid-2, Assignment, Quiz, SEE marks per student per CO  →  CIE, SEE Scaled, Total, Class Avg, CO Att% all auto-calculate
2️⃣ CO-PO Mapping sheet: Edit correlation values (0–3) in yellow cells only  →  CO Att% auto-links from course sheets
3️⃣ PO Direct Attainment sheet: Everything auto-calculates — no manual entry needed
4️⃣ PO Indirect Attainment sheet: Enter avg survey score (1–5) in yellow cells per PO per tool  →  Indirect Att% auto-calculates
5️⃣ PO Total Attainment sheet: Total = Direct×80% + Indirect×20% — change weights in D5/E5  →  All PO levels, gaps, status auto-update
6️⃣ This Dashboard auto-updates as you enter data — all values linked via formulas.</t>
  </si>
  <si>
    <t>CO ATTAINMENT — Data Structures &amp; Algorithms (CS301)</t>
  </si>
  <si>
    <t>CIE = (Mid-1+Mid-2)/2 + Assignment + Quiz → 50M  |  SEE = 100M → 50M  |  Total = 100M</t>
  </si>
  <si>
    <t>Student Info</t>
  </si>
  <si>
    <t>MID-1 (Max=30M)</t>
  </si>
  <si>
    <t>MID-2 (Max=30M)</t>
  </si>
  <si>
    <t>ASSIGNMENT (Max=10M)</t>
  </si>
  <si>
    <t>QUIZ (Max=10M)</t>
  </si>
  <si>
    <t>SEE (Max=100M)</t>
  </si>
  <si>
    <t>CIE
(50M)</t>
  </si>
  <si>
    <t>SEE
(50M)</t>
  </si>
  <si>
    <t>TOTAL
(100M)</t>
  </si>
  <si>
    <t>S.No</t>
  </si>
  <si>
    <t>Reg No</t>
  </si>
  <si>
    <t>Name</t>
  </si>
  <si>
    <t>Formula</t>
  </si>
  <si>
    <t>MAX MARKS ← Edit here</t>
  </si>
  <si>
    <t>↓ Enter student marks in white/grey cells below — CIE, SEE Scaled, Total calculate automatically ↓</t>
  </si>
  <si>
    <t>S001</t>
  </si>
  <si>
    <t>Aarav Sharma</t>
  </si>
  <si>
    <t>S002</t>
  </si>
  <si>
    <t>Priya Patel</t>
  </si>
  <si>
    <t>S003</t>
  </si>
  <si>
    <t>Rohan Mehta</t>
  </si>
  <si>
    <t>S004</t>
  </si>
  <si>
    <t>Sneha Reddy</t>
  </si>
  <si>
    <t>S005</t>
  </si>
  <si>
    <t>Vikram Singh</t>
  </si>
  <si>
    <t>S006</t>
  </si>
  <si>
    <t>Anjali Nair</t>
  </si>
  <si>
    <t>S007</t>
  </si>
  <si>
    <t>Kiran Kumar</t>
  </si>
  <si>
    <t>S008</t>
  </si>
  <si>
    <t>Divya Rao</t>
  </si>
  <si>
    <t>S009</t>
  </si>
  <si>
    <t>Arjun Gupta</t>
  </si>
  <si>
    <t>S010</t>
  </si>
  <si>
    <t>Pooja Iyer</t>
  </si>
  <si>
    <t>S011</t>
  </si>
  <si>
    <t>Rahul Verma</t>
  </si>
  <si>
    <t>S012</t>
  </si>
  <si>
    <t>Meera Joshi</t>
  </si>
  <si>
    <t>S013</t>
  </si>
  <si>
    <t>Suresh Pillai</t>
  </si>
  <si>
    <t>S014</t>
  </si>
  <si>
    <t>Kavya Menon</t>
  </si>
  <si>
    <t>S015</t>
  </si>
  <si>
    <t>Aditya Bhat</t>
  </si>
  <si>
    <t>S016</t>
  </si>
  <si>
    <t>Lakshmi Das</t>
  </si>
  <si>
    <t>S017</t>
  </si>
  <si>
    <t>Nikhil Tiwari</t>
  </si>
  <si>
    <t>S018</t>
  </si>
  <si>
    <t>Riya Shah</t>
  </si>
  <si>
    <t>S019</t>
  </si>
  <si>
    <t>Manish Yadav</t>
  </si>
  <si>
    <t>S020</t>
  </si>
  <si>
    <t>Deepa Nambiar</t>
  </si>
  <si>
    <t>CLASS AVERAGE</t>
  </si>
  <si>
    <t>CO ATTAINMENT %
(Auto-calculated)</t>
  </si>
  <si>
    <t>CIE CO ATT%</t>
  </si>
  <si>
    <t>SEE CO ATT%</t>
  </si>
  <si>
    <t>LEVEL (3=High≥60% / 2=Med≥40% / 1=Low)</t>
  </si>
  <si>
    <t>CO ATTAINMENT — Database Management Systems (CS302)</t>
  </si>
  <si>
    <t>CO ATTAINMENT — Computer Networks (CS303)</t>
  </si>
  <si>
    <t>CO ATTAINMENT — Operating Systems (CS304)</t>
  </si>
  <si>
    <t>CO ATTAINMENT — Machine Learning (CS305)</t>
  </si>
  <si>
    <t>CO6</t>
  </si>
  <si>
    <t>CO–PO / CO–PSO MAPPING  (3=High  2=Medium  1=Low  0=No Relation)  — Edit yellow cells only</t>
  </si>
  <si>
    <t>CO Attainment % is auto-linked from course sheets. Correlation values (0–3) are editable. PO Direct Attainment sheet reads both.</t>
  </si>
  <si>
    <t>CO</t>
  </si>
  <si>
    <t>CO Att%</t>
  </si>
  <si>
    <t>PROGRAMME OUTCOMES (PO1–PO12)</t>
  </si>
  <si>
    <t>PROGRAMME SPECIFIC OUTCOMES</t>
  </si>
  <si>
    <t>PO DIRECT ATTAINMENT  —  Auto-calculated via CO Attainment × CO-PO Mapping</t>
  </si>
  <si>
    <t>PO Att% = SUMPRODUCT(CO_Att × CO-PO Correlation) ÷ SUMIF(Correlation,&gt;0)  |  Credit-Weighted Programme Average at bottom</t>
  </si>
  <si>
    <t>Credits</t>
  </si>
  <si>
    <t>PSOs</t>
  </si>
  <si>
    <t>SUMMARY</t>
  </si>
  <si>
    <t>Avg PO%</t>
  </si>
  <si>
    <t>Avg PSO%</t>
  </si>
  <si>
    <t>Overall%</t>
  </si>
  <si>
    <t>CREDIT-WEIGHTED PROGRAMME PO ATTAINMENT (Direct)</t>
  </si>
  <si>
    <t>ATTAINMENT LEVEL (3/2/1)</t>
  </si>
  <si>
    <t>PO INDIRECT ATTAINMENT — Survey &amp; Feedback  (Enter Avg Scores in Yellow Cells)</t>
  </si>
  <si>
    <t>Indirect Att% = SUMPRODUCT(Tool Weights × Tool Attainment%) | Scale 1-5 | Weights editable in Row 5</t>
  </si>
  <si>
    <t>Course Exit Survey
(20%)</t>
  </si>
  <si>
    <t>Programme Exit Survey
(25%)</t>
  </si>
  <si>
    <t>Alumni Survey
(20%)</t>
  </si>
  <si>
    <t>Employer Survey
(20%)</t>
  </si>
  <si>
    <t>Internship Feedback
(15%)</t>
  </si>
  <si>
    <t>INDIRECT
ATT%</t>
  </si>
  <si>
    <t>WEIGHTS (Edit) →</t>
  </si>
  <si>
    <t>↓ Enter average survey score (1–5 scale) per PO/PSO per tool in YELLOW cells. Attainment% auto-calculates. ↓</t>
  </si>
  <si>
    <t>PO / PSO TOTAL ATTAINMENT  =  Direct×80% + Indirect×20%  —  B.Tech CSE  |  AY 2024-25</t>
  </si>
  <si>
    <t>Formula: Total PO Att% = (Direct Att% × Weight_D) + (Indirect Att% × Weight_I)  |  NBA: Direct 80%, Indirect 20%  |  Target ≥ 60%</t>
  </si>
  <si>
    <t>WEIGHT CONFIGURATION</t>
  </si>
  <si>
    <t>Direct Wt
(Edit)</t>
  </si>
  <si>
    <t>Indirect Wt
(Edit)</t>
  </si>
  <si>
    <t>Sum
(= 100%?)</t>
  </si>
  <si>
    <t>Target %</t>
  </si>
  <si>
    <t>← Weights auto-flow to all formula columns. Edit only D5 and E5.</t>
  </si>
  <si>
    <t>Weights →</t>
  </si>
  <si>
    <t>PO / PSO IDENTIFICATION</t>
  </si>
  <si>
    <t>DIRECT ATTAINMENT
(CIE+SEE via CO-PO)</t>
  </si>
  <si>
    <t>INDIRECT ATTAINMENT
(Surveys &amp; Feedback)</t>
  </si>
  <si>
    <t>TOTAL ATTAINMENT  =  Direct×Wt_D  +  Indirect×Wt_I</t>
  </si>
  <si>
    <t>Direct
Att%</t>
  </si>
  <si>
    <t>Direct
Level</t>
  </si>
  <si>
    <t>Indirect
Att%</t>
  </si>
  <si>
    <t>Indirect
Level</t>
  </si>
  <si>
    <t>Total
Att%</t>
  </si>
  <si>
    <t>Action</t>
  </si>
  <si>
    <t>PROGRAMME OVERALL ATTAINMENT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</si>
</sst>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  <numFmt numFmtId="181" formatCode="\+0.0%;\-0.0%;0.0%"/>
    <numFmt numFmtId="182" formatCode="0.0"/>
  </numFmts>
  <fonts count="49">
    <font>
      <sz val="11"/>
      <color theme="1"/>
      <name val="Calibri"/>
      <charset val="1"/>
    </font>
    <font>
      <b/>
      <sz val="13"/>
      <color rgb="FFFFFFFF"/>
      <name val="Arial"/>
      <charset val="1"/>
    </font>
    <font>
      <i/>
      <sz val="8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C00000"/>
      <name val="Arial"/>
      <charset val="1"/>
    </font>
    <font>
      <b/>
      <sz val="12"/>
      <color rgb="FF1F3864"/>
      <name val="Arial"/>
      <charset val="1"/>
    </font>
    <font>
      <b/>
      <sz val="9"/>
      <color rgb="FF375623"/>
      <name val="Arial"/>
      <charset val="1"/>
    </font>
    <font>
      <b/>
      <sz val="12"/>
      <color rgb="FFC55A11"/>
      <name val="Arial"/>
      <charset val="1"/>
    </font>
    <font>
      <sz val="9"/>
      <color rgb="FF404040"/>
      <name val="Arial"/>
      <charset val="1"/>
    </font>
    <font>
      <b/>
      <sz val="10"/>
      <color rgb="FFFFFFFF"/>
      <name val="Arial"/>
      <charset val="1"/>
    </font>
    <font>
      <sz val="8"/>
      <color rgb="FF404040"/>
      <name val="Arial"/>
      <charset val="1"/>
    </font>
    <font>
      <b/>
      <sz val="9"/>
      <color rgb="FF1F3864"/>
      <name val="Arial"/>
      <charset val="1"/>
    </font>
    <font>
      <b/>
      <sz val="9"/>
      <color rgb="FF7030A0"/>
      <name val="Arial"/>
      <charset val="1"/>
    </font>
    <font>
      <b/>
      <sz val="9"/>
      <color rgb="FF404040"/>
      <name val="Arial"/>
      <charset val="1"/>
    </font>
    <font>
      <b/>
      <sz val="11"/>
      <color rgb="FFFFFFFF"/>
      <name val="Arial"/>
      <charset val="1"/>
    </font>
    <font>
      <b/>
      <sz val="8"/>
      <color rgb="FF404040"/>
      <name val="Arial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F3864"/>
      <name val="Arial"/>
      <charset val="1"/>
    </font>
    <font>
      <i/>
      <sz val="8"/>
      <color rgb="FFC00000"/>
      <name val="Arial"/>
      <charset val="1"/>
    </font>
    <font>
      <sz val="9"/>
      <color rgb="FFAAAAAA"/>
      <name val="Arial"/>
      <charset val="1"/>
    </font>
    <font>
      <b/>
      <sz val="9"/>
      <color rgb="FFC00000"/>
      <name val="Arial"/>
      <charset val="1"/>
    </font>
    <font>
      <b/>
      <sz val="9"/>
      <color rgb="FF2E75B6"/>
      <name val="Arial"/>
      <charset val="1"/>
    </font>
    <font>
      <i/>
      <sz val="8"/>
      <color rgb="FF888888"/>
      <name val="Arial"/>
      <charset val="1"/>
    </font>
    <font>
      <b/>
      <sz val="11"/>
      <color rgb="FF1F3864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sz val="8"/>
      <color rgb="FF1F38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8DC"/>
      </patternFill>
    </fill>
    <fill>
      <patternFill patternType="solid">
        <fgColor rgb="FFE2EFDA"/>
        <bgColor rgb="FFE0F2F1"/>
      </patternFill>
    </fill>
    <fill>
      <patternFill patternType="solid">
        <fgColor rgb="FFBF8F00"/>
        <bgColor rgb="FF808000"/>
      </patternFill>
    </fill>
    <fill>
      <patternFill patternType="solid">
        <fgColor rgb="FF70AD47"/>
        <bgColor rgb="FF888888"/>
      </patternFill>
    </fill>
    <fill>
      <patternFill patternType="solid">
        <fgColor rgb="FF00695C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0F2F1"/>
      </patternFill>
    </fill>
    <fill>
      <patternFill patternType="solid">
        <fgColor rgb="FFBDD7EE"/>
        <bgColor rgb="FFE2D9F3"/>
      </patternFill>
    </fill>
    <fill>
      <patternFill patternType="solid">
        <fgColor rgb="FFE2D9F3"/>
        <bgColor rgb="FFDEEAF1"/>
      </patternFill>
    </fill>
    <fill>
      <patternFill patternType="solid">
        <fgColor rgb="FFFFF8DC"/>
        <bgColor rgb="FFFFF2CC"/>
      </patternFill>
    </fill>
    <fill>
      <patternFill patternType="solid">
        <fgColor rgb="FFE0F2F1"/>
        <bgColor rgb="FFDEEAF1"/>
      </patternFill>
    </fill>
    <fill>
      <patternFill patternType="solid">
        <fgColor rgb="FFFFFFFF"/>
        <bgColor rgb="FFFFF8DC"/>
      </patternFill>
    </fill>
    <fill>
      <patternFill patternType="solid">
        <fgColor rgb="FFDEEAF1"/>
        <bgColor rgb="FFE0F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8" fillId="0" borderId="0" applyBorder="0" applyAlignment="0" applyProtection="0"/>
    <xf numFmtId="177" fontId="28" fillId="0" borderId="0" applyBorder="0" applyAlignment="0" applyProtection="0"/>
    <xf numFmtId="9" fontId="28" fillId="0" borderId="0" applyBorder="0" applyAlignment="0" applyProtection="0"/>
    <xf numFmtId="178" fontId="28" fillId="0" borderId="0" applyBorder="0" applyAlignment="0" applyProtection="0"/>
    <xf numFmtId="179" fontId="28" fillId="0" borderId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2" borderId="5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3" borderId="8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40" fillId="24" borderId="8" applyNumberFormat="0" applyAlignment="0" applyProtection="0">
      <alignment vertical="center"/>
    </xf>
    <xf numFmtId="0" fontId="41" fillId="25" borderId="10" applyNumberFormat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9" fontId="5" fillId="9" borderId="2" xfId="0" applyNumberFormat="1" applyFont="1" applyFill="1" applyBorder="1" applyAlignment="1">
      <alignment horizontal="center" vertical="center"/>
    </xf>
    <xf numFmtId="9" fontId="6" fillId="10" borderId="2" xfId="0" applyNumberFormat="1" applyFont="1" applyFill="1" applyBorder="1" applyAlignment="1">
      <alignment horizontal="center" vertical="center"/>
    </xf>
    <xf numFmtId="9" fontId="7" fillId="9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left" vertical="center"/>
    </xf>
    <xf numFmtId="180" fontId="11" fillId="16" borderId="2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80" fontId="12" fillId="17" borderId="2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80" fontId="13" fillId="18" borderId="2" xfId="0" applyNumberFormat="1" applyFont="1" applyFill="1" applyBorder="1" applyAlignment="1">
      <alignment horizontal="center" vertical="center"/>
    </xf>
    <xf numFmtId="1" fontId="14" fillId="12" borderId="2" xfId="0" applyNumberFormat="1" applyFont="1" applyFill="1" applyBorder="1" applyAlignment="1">
      <alignment horizontal="center" vertical="center"/>
    </xf>
    <xf numFmtId="9" fontId="8" fillId="8" borderId="2" xfId="0" applyNumberFormat="1" applyFont="1" applyFill="1" applyBorder="1" applyAlignment="1">
      <alignment horizontal="center" vertical="center"/>
    </xf>
    <xf numFmtId="181" fontId="13" fillId="15" borderId="2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1" fontId="14" fillId="5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80" fontId="16" fillId="16" borderId="2" xfId="0" applyNumberFormat="1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180" fontId="16" fillId="17" borderId="2" xfId="0" applyNumberFormat="1" applyFont="1" applyFill="1" applyBorder="1" applyAlignment="1">
      <alignment horizontal="center" vertical="center"/>
    </xf>
    <xf numFmtId="1" fontId="16" fillId="5" borderId="2" xfId="0" applyNumberFormat="1" applyFont="1" applyFill="1" applyBorder="1" applyAlignment="1">
      <alignment horizontal="center" vertical="center"/>
    </xf>
    <xf numFmtId="180" fontId="16" fillId="18" borderId="2" xfId="0" applyNumberFormat="1" applyFont="1" applyFill="1" applyBorder="1" applyAlignment="1">
      <alignment horizontal="center" vertical="center"/>
    </xf>
    <xf numFmtId="1" fontId="16" fillId="6" borderId="2" xfId="0" applyNumberFormat="1" applyFont="1" applyFill="1" applyBorder="1" applyAlignment="1">
      <alignment horizontal="center" vertical="center"/>
    </xf>
    <xf numFmtId="9" fontId="16" fillId="8" borderId="2" xfId="0" applyNumberFormat="1" applyFont="1" applyFill="1" applyBorder="1" applyAlignment="1">
      <alignment horizontal="center" vertical="center"/>
    </xf>
    <xf numFmtId="181" fontId="16" fillId="15" borderId="2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9" fontId="18" fillId="9" borderId="2" xfId="0" applyNumberFormat="1" applyFont="1" applyFill="1" applyBorder="1" applyAlignment="1">
      <alignment horizontal="center" vertical="center"/>
    </xf>
    <xf numFmtId="0" fontId="19" fillId="8" borderId="0" xfId="0" applyFont="1" applyFill="1" applyBorder="1" applyAlignment="1">
      <alignment horizontal="center" vertical="center"/>
    </xf>
    <xf numFmtId="180" fontId="13" fillId="9" borderId="2" xfId="0" applyNumberFormat="1" applyFont="1" applyFill="1" applyBorder="1" applyAlignment="1">
      <alignment horizontal="center" vertical="center"/>
    </xf>
    <xf numFmtId="180" fontId="18" fillId="17" borderId="2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0" fontId="13" fillId="15" borderId="3" xfId="0" applyNumberFormat="1" applyFont="1" applyFill="1" applyBorder="1" applyAlignment="1">
      <alignment horizontal="center" vertical="center"/>
    </xf>
    <xf numFmtId="180" fontId="11" fillId="10" borderId="3" xfId="0" applyNumberFormat="1" applyFont="1" applyFill="1" applyBorder="1" applyAlignment="1">
      <alignment horizontal="center" vertical="center"/>
    </xf>
    <xf numFmtId="180" fontId="11" fillId="17" borderId="3" xfId="0" applyNumberFormat="1" applyFont="1" applyFill="1" applyBorder="1" applyAlignment="1">
      <alignment horizontal="center" vertical="center"/>
    </xf>
    <xf numFmtId="180" fontId="11" fillId="9" borderId="3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center" vertical="center"/>
    </xf>
    <xf numFmtId="180" fontId="13" fillId="20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80" fontId="14" fillId="3" borderId="2" xfId="0" applyNumberFormat="1" applyFont="1" applyFill="1" applyBorder="1" applyAlignment="1">
      <alignment horizontal="center" vertical="center"/>
    </xf>
    <xf numFmtId="180" fontId="14" fillId="5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16" fillId="12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left" vertical="center"/>
    </xf>
    <xf numFmtId="0" fontId="11" fillId="21" borderId="2" xfId="0" applyFont="1" applyFill="1" applyBorder="1" applyAlignment="1">
      <alignment horizontal="center" vertical="center"/>
    </xf>
    <xf numFmtId="180" fontId="11" fillId="10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2" fontId="13" fillId="9" borderId="2" xfId="0" applyNumberFormat="1" applyFont="1" applyFill="1" applyBorder="1" applyAlignment="1">
      <alignment horizontal="center" vertical="center"/>
    </xf>
    <xf numFmtId="1" fontId="6" fillId="10" borderId="2" xfId="0" applyNumberFormat="1" applyFont="1" applyFill="1" applyBorder="1" applyAlignment="1">
      <alignment horizontal="center" vertical="center"/>
    </xf>
    <xf numFmtId="1" fontId="22" fillId="16" borderId="2" xfId="0" applyNumberFormat="1" applyFont="1" applyFill="1" applyBorder="1" applyAlignment="1">
      <alignment horizontal="center" vertical="center"/>
    </xf>
    <xf numFmtId="1" fontId="11" fillId="9" borderId="2" xfId="0" applyNumberFormat="1" applyFont="1" applyFill="1" applyBorder="1" applyAlignment="1">
      <alignment horizontal="center" vertical="center"/>
    </xf>
    <xf numFmtId="0" fontId="23" fillId="15" borderId="0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82" fontId="8" fillId="15" borderId="3" xfId="0" applyNumberFormat="1" applyFont="1" applyFill="1" applyBorder="1" applyAlignment="1">
      <alignment horizontal="center" vertical="center"/>
    </xf>
    <xf numFmtId="182" fontId="13" fillId="10" borderId="3" xfId="0" applyNumberFormat="1" applyFont="1" applyFill="1" applyBorder="1" applyAlignment="1">
      <alignment horizontal="center" vertical="center"/>
    </xf>
    <xf numFmtId="182" fontId="13" fillId="16" borderId="3" xfId="0" applyNumberFormat="1" applyFont="1" applyFill="1" applyBorder="1" applyAlignment="1">
      <alignment horizontal="center" vertical="center"/>
    </xf>
    <xf numFmtId="182" fontId="13" fillId="9" borderId="3" xfId="0" applyNumberFormat="1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left" vertical="center"/>
    </xf>
    <xf numFmtId="182" fontId="8" fillId="20" borderId="3" xfId="0" applyNumberFormat="1" applyFont="1" applyFill="1" applyBorder="1" applyAlignment="1">
      <alignment horizontal="center" vertical="center"/>
    </xf>
    <xf numFmtId="2" fontId="13" fillId="16" borderId="2" xfId="0" applyNumberFormat="1" applyFont="1" applyFill="1" applyBorder="1" applyAlignment="1">
      <alignment horizontal="center" vertical="center"/>
    </xf>
    <xf numFmtId="2" fontId="13" fillId="10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80" fontId="24" fillId="9" borderId="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80" fontId="13" fillId="10" borderId="2" xfId="0" applyNumberFormat="1" applyFont="1" applyFill="1" applyBorder="1" applyAlignment="1">
      <alignment horizontal="center" vertical="center"/>
    </xf>
    <xf numFmtId="180" fontId="13" fillId="16" borderId="2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1" fontId="9" fillId="12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695C"/>
      <rgbColor rgb="00E2D9F3"/>
      <rgbColor rgb="00888888"/>
      <rgbColor rgb="009999FF"/>
      <rgbColor rgb="007030A0"/>
      <rgbColor rgb="00FFF8DC"/>
      <rgbColor rgb="00E0F2F1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1"/>
      <rgbColor rgb="00E2EFDA"/>
      <rgbColor rgb="00FFF2CC"/>
      <rgbColor rgb="00F2F2F2"/>
      <rgbColor rgb="00FF99CC"/>
      <rgbColor rgb="00CC99FF"/>
      <rgbColor rgb="00FCE4D6"/>
      <rgbColor rgb="002E75B6"/>
      <rgbColor rgb="0033CCCC"/>
      <rgbColor rgb="0099CC00"/>
      <rgbColor rgb="00FFCC00"/>
      <rgbColor rgb="00BF8F00"/>
      <rgbColor rgb="00C55A11"/>
      <rgbColor rgb="00666699"/>
      <rgbColor rgb="00AAAAAA"/>
      <rgbColor rgb="001F3864"/>
      <rgbColor rgb="0070AD47"/>
      <rgbColor rgb="00003300"/>
      <rgbColor rgb="00375623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showGridLines="0" workbookViewId="0">
      <pane xSplit="4" ySplit="7" topLeftCell="E8" activePane="bottomRight" state="frozen"/>
      <selection/>
      <selection pane="topRight"/>
      <selection pane="bottomLeft"/>
      <selection pane="bottomRight" activeCell="A1" sqref="A1:Q1"/>
    </sheetView>
  </sheetViews>
  <sheetFormatPr defaultColWidth="8.67592592592593" defaultRowHeight="14.4"/>
  <cols>
    <col min="1" max="1" width="5" customWidth="1"/>
    <col min="2" max="2" width="26" customWidth="1"/>
    <col min="3" max="3" width="8" customWidth="1"/>
    <col min="4" max="4" width="5" customWidth="1"/>
    <col min="5" max="9" width="9" customWidth="1"/>
    <col min="10" max="10" width="8" customWidth="1"/>
    <col min="11" max="11" width="35" customWidth="1"/>
    <col min="12" max="17" width="11" customWidth="1"/>
  </cols>
  <sheetData>
    <row r="1" ht="49.5" customHeight="1" spans="1:18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</row>
    <row r="2" ht="21.75" customHeight="1" spans="1:18">
      <c r="A2" s="116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</row>
    <row r="3" ht="7.5" customHeight="1"/>
    <row r="4" ht="19.5" customHeight="1" spans="1:18">
      <c r="A4" s="117" t="s">
        <v>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ht="7.5" customHeight="1"/>
    <row r="6" ht="25.5" customHeight="1" spans="1:18">
      <c r="A6" s="118" t="s">
        <v>3</v>
      </c>
      <c r="B6" s="118"/>
      <c r="C6" s="118"/>
      <c r="D6" s="118"/>
      <c r="E6" s="118"/>
      <c r="F6" s="118"/>
      <c r="G6" s="118"/>
      <c r="H6" s="118"/>
      <c r="I6" s="118"/>
      <c r="J6" s="119" t="s">
        <v>4</v>
      </c>
      <c r="K6" s="119"/>
      <c r="L6" s="119"/>
      <c r="M6" s="119"/>
      <c r="N6" s="119"/>
      <c r="O6" s="119"/>
      <c r="P6" s="119"/>
      <c r="Q6" s="119"/>
    </row>
    <row r="7" ht="21.75" customHeight="1" spans="1:18">
      <c r="A7" s="88" t="s">
        <v>5</v>
      </c>
      <c r="B7" s="88" t="s">
        <v>6</v>
      </c>
      <c r="C7" s="88" t="s">
        <v>7</v>
      </c>
      <c r="D7" s="88" t="s">
        <v>8</v>
      </c>
      <c r="E7" s="88" t="s">
        <v>9</v>
      </c>
      <c r="F7" s="88" t="s">
        <v>10</v>
      </c>
      <c r="G7" s="88" t="s">
        <v>11</v>
      </c>
      <c r="H7" s="88" t="s">
        <v>12</v>
      </c>
      <c r="I7" s="88" t="s">
        <v>13</v>
      </c>
      <c r="J7" s="88" t="s">
        <v>14</v>
      </c>
      <c r="K7" s="88" t="s">
        <v>15</v>
      </c>
      <c r="L7" s="59" t="s">
        <v>16</v>
      </c>
      <c r="M7" s="60" t="s">
        <v>17</v>
      </c>
      <c r="N7" s="120" t="s">
        <v>18</v>
      </c>
      <c r="O7" s="121" t="s">
        <v>19</v>
      </c>
      <c r="P7" s="122" t="s">
        <v>20</v>
      </c>
      <c r="Q7" s="123" t="s">
        <v>21</v>
      </c>
      <c r="R7" s="88" t="s">
        <v>22</v>
      </c>
    </row>
    <row r="8" ht="19.5" customHeight="1" spans="1:18">
      <c r="A8" s="20">
        <v>1</v>
      </c>
      <c r="B8" s="63" t="s">
        <v>23</v>
      </c>
      <c r="C8" s="64" t="s">
        <v>24</v>
      </c>
      <c r="D8" s="124">
        <v>4</v>
      </c>
      <c r="E8" s="66">
        <f>CS301!D31</f>
        <v>0.765863333333333</v>
      </c>
      <c r="F8" s="66">
        <f>CS301!E31</f>
        <v>0.736866666666667</v>
      </c>
      <c r="G8" s="66">
        <f>CS301!F31</f>
        <v>0.747861666666667</v>
      </c>
      <c r="H8" s="66">
        <f>CS301!G31</f>
        <v>0.757025</v>
      </c>
      <c r="I8" s="66">
        <f>CS301!H31</f>
        <v>0.746276666666667</v>
      </c>
      <c r="J8" s="59" t="s">
        <v>25</v>
      </c>
      <c r="K8" s="22" t="s">
        <v>26</v>
      </c>
      <c r="L8" s="23">
        <f>'PO Total Attainment'!D8</f>
        <v>0.752418883974324</v>
      </c>
      <c r="M8" s="25">
        <f>'PO Total Attainment'!F8</f>
        <v>0.7402</v>
      </c>
      <c r="N8" s="27">
        <f>'PO Total Attainment'!H8</f>
        <v>0.74997510717946</v>
      </c>
      <c r="O8" s="125">
        <f t="shared" ref="O8:O22" si="0">IF(N8&gt;=0.6,3,IF(N8&gt;=0.4,2,1))</f>
        <v>3</v>
      </c>
      <c r="P8" s="29">
        <f>'PO Total Attainment'!$G$5</f>
        <v>0.6</v>
      </c>
      <c r="Q8" s="30">
        <f t="shared" ref="Q8:Q22" si="1">N8-P8</f>
        <v>0.14997510717946</v>
      </c>
      <c r="R8" s="31" t="str">
        <f t="shared" ref="R8:R22" si="2">IF(N8&gt;=P8,"✔ Met","✘ Not Met")</f>
        <v>✔ Met</v>
      </c>
    </row>
    <row r="9" ht="19.5" customHeight="1" spans="1:18">
      <c r="A9" s="33">
        <v>2</v>
      </c>
      <c r="B9" s="70" t="s">
        <v>27</v>
      </c>
      <c r="C9" s="71" t="s">
        <v>28</v>
      </c>
      <c r="D9" s="126">
        <v>4</v>
      </c>
      <c r="E9" s="72">
        <f>CS302!D31</f>
        <v>0.78649</v>
      </c>
      <c r="F9" s="72">
        <f>CS302!E31</f>
        <v>0.753313333333333</v>
      </c>
      <c r="G9" s="72">
        <f>CS302!F31</f>
        <v>0.763433333333333</v>
      </c>
      <c r="H9" s="72">
        <f>CS302!G31</f>
        <v>0.7418</v>
      </c>
      <c r="I9" s="72">
        <f>CS302!H31</f>
        <v>0.763813333333333</v>
      </c>
      <c r="J9" s="59" t="s">
        <v>29</v>
      </c>
      <c r="K9" s="34" t="s">
        <v>30</v>
      </c>
      <c r="L9" s="23">
        <f>'PO Total Attainment'!D9</f>
        <v>0.752277158993142</v>
      </c>
      <c r="M9" s="25">
        <f>'PO Total Attainment'!F9</f>
        <v>0.7659</v>
      </c>
      <c r="N9" s="27">
        <f>'PO Total Attainment'!H9</f>
        <v>0.755001727194514</v>
      </c>
      <c r="O9" s="125">
        <f t="shared" si="0"/>
        <v>3</v>
      </c>
      <c r="P9" s="29">
        <f>'PO Total Attainment'!$G$5</f>
        <v>0.6</v>
      </c>
      <c r="Q9" s="30">
        <f t="shared" si="1"/>
        <v>0.155001727194514</v>
      </c>
      <c r="R9" s="31" t="str">
        <f t="shared" si="2"/>
        <v>✔ Met</v>
      </c>
    </row>
    <row r="10" ht="19.5" customHeight="1" spans="1:18">
      <c r="A10" s="20">
        <v>3</v>
      </c>
      <c r="B10" s="63" t="s">
        <v>31</v>
      </c>
      <c r="C10" s="64" t="s">
        <v>32</v>
      </c>
      <c r="D10" s="124">
        <v>4</v>
      </c>
      <c r="E10" s="66">
        <f>CS303!D31</f>
        <v>0.747616666666667</v>
      </c>
      <c r="F10" s="66">
        <f>CS303!E31</f>
        <v>0.733796666666667</v>
      </c>
      <c r="G10" s="66">
        <f>CS303!F31</f>
        <v>0.77289</v>
      </c>
      <c r="H10" s="66">
        <f>CS303!G31</f>
        <v>0.73717</v>
      </c>
      <c r="I10" s="66">
        <f>CS303!H31</f>
        <v>0.730676666666667</v>
      </c>
      <c r="J10" s="59" t="s">
        <v>33</v>
      </c>
      <c r="K10" s="22" t="s">
        <v>34</v>
      </c>
      <c r="L10" s="23">
        <f>'PO Total Attainment'!D10</f>
        <v>0.752107428872876</v>
      </c>
      <c r="M10" s="25">
        <f>'PO Total Attainment'!F10</f>
        <v>0.8082</v>
      </c>
      <c r="N10" s="27">
        <f>'PO Total Attainment'!H10</f>
        <v>0.763325943098301</v>
      </c>
      <c r="O10" s="125">
        <f t="shared" si="0"/>
        <v>3</v>
      </c>
      <c r="P10" s="29">
        <f>'PO Total Attainment'!$G$5</f>
        <v>0.6</v>
      </c>
      <c r="Q10" s="30">
        <f t="shared" si="1"/>
        <v>0.163325943098301</v>
      </c>
      <c r="R10" s="31" t="str">
        <f t="shared" si="2"/>
        <v>✔ Met</v>
      </c>
    </row>
    <row r="11" ht="19.5" customHeight="1" spans="1:18">
      <c r="A11" s="33">
        <v>4</v>
      </c>
      <c r="B11" s="70" t="s">
        <v>35</v>
      </c>
      <c r="C11" s="71" t="s">
        <v>36</v>
      </c>
      <c r="D11" s="126">
        <v>4</v>
      </c>
      <c r="E11" s="72">
        <f>CS304!D31</f>
        <v>0.759028333333333</v>
      </c>
      <c r="F11" s="72">
        <f>CS304!E31</f>
        <v>0.777003333333333</v>
      </c>
      <c r="G11" s="72">
        <f>CS304!F31</f>
        <v>0.735376666666667</v>
      </c>
      <c r="H11" s="72">
        <f>CS304!G31</f>
        <v>0.745556666666667</v>
      </c>
      <c r="I11" s="72">
        <f>CS304!H31</f>
        <v>0.756196666666667</v>
      </c>
      <c r="J11" s="59" t="s">
        <v>37</v>
      </c>
      <c r="K11" s="34" t="s">
        <v>38</v>
      </c>
      <c r="L11" s="23">
        <f>'PO Total Attainment'!D11</f>
        <v>0.750609214842734</v>
      </c>
      <c r="M11" s="25">
        <f>'PO Total Attainment'!F11</f>
        <v>0.7578</v>
      </c>
      <c r="N11" s="27">
        <f>'PO Total Attainment'!H11</f>
        <v>0.752047371874188</v>
      </c>
      <c r="O11" s="125">
        <f t="shared" si="0"/>
        <v>3</v>
      </c>
      <c r="P11" s="29">
        <f>'PO Total Attainment'!$G$5</f>
        <v>0.6</v>
      </c>
      <c r="Q11" s="30">
        <f t="shared" si="1"/>
        <v>0.152047371874188</v>
      </c>
      <c r="R11" s="31" t="str">
        <f t="shared" si="2"/>
        <v>✔ Met</v>
      </c>
    </row>
    <row r="12" ht="19.5" customHeight="1" spans="1:18">
      <c r="A12" s="20">
        <v>5</v>
      </c>
      <c r="B12" s="63" t="s">
        <v>39</v>
      </c>
      <c r="C12" s="64" t="s">
        <v>40</v>
      </c>
      <c r="D12" s="124">
        <v>4</v>
      </c>
      <c r="E12" s="66">
        <f>CS305!D31</f>
        <v>0.72408172693605</v>
      </c>
      <c r="F12" s="66">
        <f>CS305!E31</f>
        <v>0.766038835586176</v>
      </c>
      <c r="G12" s="66">
        <f>CS305!F31</f>
        <v>0.755709533063447</v>
      </c>
      <c r="H12" s="66">
        <f>CS305!G31</f>
        <v>0.761949717409811</v>
      </c>
      <c r="I12" s="66">
        <f>CS305!H31</f>
        <v>0.747005796565238</v>
      </c>
      <c r="J12" s="127" t="s">
        <v>41</v>
      </c>
      <c r="K12" s="22" t="s">
        <v>42</v>
      </c>
      <c r="L12" s="23">
        <f>'PO Total Attainment'!D12</f>
        <v>0.751546528027229</v>
      </c>
      <c r="M12" s="25">
        <f>'PO Total Attainment'!F12</f>
        <v>0.7708</v>
      </c>
      <c r="N12" s="27">
        <f>'PO Total Attainment'!H12</f>
        <v>0.755397222421784</v>
      </c>
      <c r="O12" s="125">
        <f t="shared" si="0"/>
        <v>3</v>
      </c>
      <c r="P12" s="29">
        <f>'PO Total Attainment'!$G$5</f>
        <v>0.6</v>
      </c>
      <c r="Q12" s="30">
        <f t="shared" si="1"/>
        <v>0.155397222421784</v>
      </c>
      <c r="R12" s="31" t="str">
        <f t="shared" si="2"/>
        <v>✔ Met</v>
      </c>
    </row>
    <row r="13" ht="19.5" customHeight="1" spans="1:18">
      <c r="J13" s="59" t="s">
        <v>43</v>
      </c>
      <c r="K13" s="34" t="s">
        <v>44</v>
      </c>
      <c r="L13" s="23">
        <f>'PO Total Attainment'!D13</f>
        <v>0.297834768050781</v>
      </c>
      <c r="M13" s="25">
        <f>'PO Total Attainment'!F13</f>
        <v>0.8618</v>
      </c>
      <c r="N13" s="27">
        <f>'PO Total Attainment'!H13</f>
        <v>0.410627814440625</v>
      </c>
      <c r="O13" s="125">
        <f t="shared" si="0"/>
        <v>2</v>
      </c>
      <c r="P13" s="29">
        <f>'PO Total Attainment'!$G$5</f>
        <v>0.6</v>
      </c>
      <c r="Q13" s="30">
        <f t="shared" si="1"/>
        <v>-0.189372185559375</v>
      </c>
      <c r="R13" s="31" t="str">
        <f t="shared" si="2"/>
        <v>✘ Not Met</v>
      </c>
    </row>
    <row r="14" ht="19.5" customHeight="1" spans="1:18">
      <c r="J14" s="59" t="s">
        <v>45</v>
      </c>
      <c r="K14" s="22" t="s">
        <v>46</v>
      </c>
      <c r="L14" s="23">
        <f>'PO Total Attainment'!D14</f>
        <v>0.154578</v>
      </c>
      <c r="M14" s="25">
        <f>'PO Total Attainment'!F14</f>
        <v>0.8157</v>
      </c>
      <c r="N14" s="27">
        <f>'PO Total Attainment'!H14</f>
        <v>0.2868024</v>
      </c>
      <c r="O14" s="125">
        <f t="shared" si="0"/>
        <v>1</v>
      </c>
      <c r="P14" s="29">
        <f>'PO Total Attainment'!$G$5</f>
        <v>0.6</v>
      </c>
      <c r="Q14" s="30">
        <f t="shared" si="1"/>
        <v>-0.3131976</v>
      </c>
      <c r="R14" s="31" t="str">
        <f t="shared" si="2"/>
        <v>✘ Not Met</v>
      </c>
    </row>
    <row r="15" ht="19.5" customHeight="1" spans="1:18">
      <c r="J15" s="59" t="s">
        <v>47</v>
      </c>
      <c r="K15" s="34" t="s">
        <v>48</v>
      </c>
      <c r="L15" s="23">
        <f>'PO Total Attainment'!D15</f>
        <v>0</v>
      </c>
      <c r="M15" s="25">
        <f>'PO Total Attainment'!F15</f>
        <v>0.7358</v>
      </c>
      <c r="N15" s="27">
        <f>'PO Total Attainment'!H15</f>
        <v>0.14716</v>
      </c>
      <c r="O15" s="125">
        <f t="shared" si="0"/>
        <v>1</v>
      </c>
      <c r="P15" s="29">
        <f>'PO Total Attainment'!$G$5</f>
        <v>0.6</v>
      </c>
      <c r="Q15" s="30">
        <f t="shared" si="1"/>
        <v>-0.45284</v>
      </c>
      <c r="R15" s="31" t="str">
        <f t="shared" si="2"/>
        <v>✘ Not Met</v>
      </c>
    </row>
    <row r="16" ht="19.5" customHeight="1" spans="1:18">
      <c r="J16" s="59" t="s">
        <v>49</v>
      </c>
      <c r="K16" s="22" t="s">
        <v>50</v>
      </c>
      <c r="L16" s="23">
        <f>'PO Total Attainment'!D16</f>
        <v>0.749846307698141</v>
      </c>
      <c r="M16" s="25">
        <f>'PO Total Attainment'!F16</f>
        <v>0.7106</v>
      </c>
      <c r="N16" s="27">
        <f>'PO Total Attainment'!H16</f>
        <v>0.741997046158513</v>
      </c>
      <c r="O16" s="125">
        <f t="shared" si="0"/>
        <v>3</v>
      </c>
      <c r="P16" s="29">
        <f>'PO Total Attainment'!$G$5</f>
        <v>0.6</v>
      </c>
      <c r="Q16" s="30">
        <f t="shared" si="1"/>
        <v>0.141997046158513</v>
      </c>
      <c r="R16" s="31" t="str">
        <f t="shared" si="2"/>
        <v>✔ Met</v>
      </c>
    </row>
    <row r="17" ht="19.5" customHeight="1" spans="1:18">
      <c r="J17" s="59" t="s">
        <v>51</v>
      </c>
      <c r="K17" s="34" t="s">
        <v>52</v>
      </c>
      <c r="L17" s="23">
        <f>'PO Total Attainment'!D17</f>
        <v>0.748827641239018</v>
      </c>
      <c r="M17" s="25">
        <f>'PO Total Attainment'!F17</f>
        <v>0.736</v>
      </c>
      <c r="N17" s="27">
        <f>'PO Total Attainment'!H17</f>
        <v>0.746262112991214</v>
      </c>
      <c r="O17" s="125">
        <f t="shared" si="0"/>
        <v>3</v>
      </c>
      <c r="P17" s="29">
        <f>'PO Total Attainment'!$G$5</f>
        <v>0.6</v>
      </c>
      <c r="Q17" s="30">
        <f t="shared" si="1"/>
        <v>0.146262112991214</v>
      </c>
      <c r="R17" s="31" t="str">
        <f t="shared" si="2"/>
        <v>✔ Met</v>
      </c>
    </row>
    <row r="18" ht="19.5" customHeight="1" spans="1:18">
      <c r="J18" s="59" t="s">
        <v>53</v>
      </c>
      <c r="K18" s="22" t="s">
        <v>54</v>
      </c>
      <c r="L18" s="23">
        <f>'PO Total Attainment'!D18</f>
        <v>0.14836</v>
      </c>
      <c r="M18" s="25">
        <f>'PO Total Attainment'!F18</f>
        <v>0.7146</v>
      </c>
      <c r="N18" s="27">
        <f>'PO Total Attainment'!H18</f>
        <v>0.261608</v>
      </c>
      <c r="O18" s="125">
        <f t="shared" si="0"/>
        <v>1</v>
      </c>
      <c r="P18" s="29">
        <f>'PO Total Attainment'!$G$5</f>
        <v>0.6</v>
      </c>
      <c r="Q18" s="30">
        <f t="shared" si="1"/>
        <v>-0.338392</v>
      </c>
      <c r="R18" s="31" t="str">
        <f t="shared" si="2"/>
        <v>✘ Not Met</v>
      </c>
    </row>
    <row r="19" ht="19.5" customHeight="1" spans="1:18">
      <c r="J19" s="59" t="s">
        <v>55</v>
      </c>
      <c r="K19" s="34" t="s">
        <v>56</v>
      </c>
      <c r="L19" s="23">
        <f>'PO Total Attainment'!D19</f>
        <v>0.751658217032318</v>
      </c>
      <c r="M19" s="25">
        <f>'PO Total Attainment'!F19</f>
        <v>0.8104</v>
      </c>
      <c r="N19" s="27">
        <f>'PO Total Attainment'!H19</f>
        <v>0.763406573625855</v>
      </c>
      <c r="O19" s="125">
        <f t="shared" si="0"/>
        <v>3</v>
      </c>
      <c r="P19" s="29">
        <f>'PO Total Attainment'!$G$5</f>
        <v>0.6</v>
      </c>
      <c r="Q19" s="30">
        <f t="shared" si="1"/>
        <v>0.163406573625855</v>
      </c>
      <c r="R19" s="31" t="str">
        <f t="shared" si="2"/>
        <v>✔ Met</v>
      </c>
    </row>
    <row r="20" ht="19.5" customHeight="1" spans="1:18">
      <c r="J20" s="60" t="s">
        <v>57</v>
      </c>
      <c r="K20" s="22" t="s">
        <v>58</v>
      </c>
      <c r="L20" s="23">
        <f>'PO Total Attainment'!D20</f>
        <v>0.751958427319868</v>
      </c>
      <c r="M20" s="25">
        <f>'PO Total Attainment'!F20</f>
        <v>0.786</v>
      </c>
      <c r="N20" s="27">
        <f>'PO Total Attainment'!H20</f>
        <v>0.758766741855894</v>
      </c>
      <c r="O20" s="26">
        <f t="shared" si="0"/>
        <v>3</v>
      </c>
      <c r="P20" s="29">
        <f>'PO Total Attainment'!$G$5</f>
        <v>0.6</v>
      </c>
      <c r="Q20" s="30">
        <f t="shared" si="1"/>
        <v>0.158766741855894</v>
      </c>
      <c r="R20" s="31" t="str">
        <f t="shared" si="2"/>
        <v>✔ Met</v>
      </c>
    </row>
    <row r="21" ht="19.5" customHeight="1" spans="1:18">
      <c r="J21" s="60" t="s">
        <v>59</v>
      </c>
      <c r="K21" s="34" t="s">
        <v>60</v>
      </c>
      <c r="L21" s="23">
        <f>'PO Total Attainment'!D21</f>
        <v>0.752083929666186</v>
      </c>
      <c r="M21" s="25">
        <f>'PO Total Attainment'!F21</f>
        <v>0.6811</v>
      </c>
      <c r="N21" s="27">
        <f>'PO Total Attainment'!H21</f>
        <v>0.737887143732949</v>
      </c>
      <c r="O21" s="26">
        <f t="shared" si="0"/>
        <v>3</v>
      </c>
      <c r="P21" s="29">
        <f>'PO Total Attainment'!$G$5</f>
        <v>0.6</v>
      </c>
      <c r="Q21" s="30">
        <f t="shared" si="1"/>
        <v>0.137887143732949</v>
      </c>
      <c r="R21" s="31" t="str">
        <f t="shared" si="2"/>
        <v>✔ Met</v>
      </c>
    </row>
    <row r="22" ht="19.5" customHeight="1" spans="1:18">
      <c r="J22" s="60" t="s">
        <v>61</v>
      </c>
      <c r="K22" s="22" t="s">
        <v>62</v>
      </c>
      <c r="L22" s="23">
        <f>'PO Total Attainment'!D22</f>
        <v>0.752158491720475</v>
      </c>
      <c r="M22" s="25">
        <f>'PO Total Attainment'!F22</f>
        <v>0.7702</v>
      </c>
      <c r="N22" s="27">
        <f>'PO Total Attainment'!H22</f>
        <v>0.75576679337638</v>
      </c>
      <c r="O22" s="26">
        <f t="shared" si="0"/>
        <v>3</v>
      </c>
      <c r="P22" s="29">
        <f>'PO Total Attainment'!$G$5</f>
        <v>0.6</v>
      </c>
      <c r="Q22" s="30">
        <f t="shared" si="1"/>
        <v>0.15576679337638</v>
      </c>
      <c r="R22" s="31" t="str">
        <f t="shared" si="2"/>
        <v>✔ Met</v>
      </c>
    </row>
    <row r="24" ht="15.15"/>
    <row r="25" ht="39.75" customHeight="1" spans="1:18">
      <c r="A25" s="128" t="s">
        <v>63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</sheetData>
  <mergeCells count="6">
    <mergeCell ref="A1:Q1"/>
    <mergeCell ref="A2:Q2"/>
    <mergeCell ref="A4:Q4"/>
    <mergeCell ref="A6:I6"/>
    <mergeCell ref="J6:Q6"/>
    <mergeCell ref="A25:Q2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4"/>
  <sheetViews>
    <sheetView showGridLines="0" tabSelected="1" workbookViewId="0">
      <pane xSplit="3" ySplit="7" topLeftCell="D20" activePane="bottomRight" state="frozen"/>
      <selection/>
      <selection pane="topRight"/>
      <selection pane="bottomLeft"/>
      <selection pane="bottomRight" activeCell="D34" sqref="D34"/>
    </sheetView>
  </sheetViews>
  <sheetFormatPr defaultColWidth="8.67592592592593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1.5" customHeight="1" spans="1:31">
      <c r="A1" s="47" t="s">
        <v>64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ht="13.5" customHeight="1" spans="1:31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4.5" customHeight="1"/>
    <row r="4" ht="19.5" customHeight="1" spans="1:31">
      <c r="A4" s="3" t="s">
        <v>66</v>
      </c>
      <c r="B4" s="3"/>
      <c r="C4" s="3"/>
      <c r="D4" s="84" t="s">
        <v>67</v>
      </c>
      <c r="E4" s="84"/>
      <c r="F4" s="84"/>
      <c r="G4" s="84"/>
      <c r="H4" s="84"/>
      <c r="I4" s="76" t="s">
        <v>68</v>
      </c>
      <c r="J4" s="76"/>
      <c r="K4" s="76"/>
      <c r="L4" s="76"/>
      <c r="M4" s="76"/>
      <c r="N4" s="85" t="s">
        <v>69</v>
      </c>
      <c r="O4" s="85"/>
      <c r="P4" s="85"/>
      <c r="Q4" s="85"/>
      <c r="R4" s="85"/>
      <c r="S4" s="86" t="s">
        <v>70</v>
      </c>
      <c r="T4" s="86"/>
      <c r="U4" s="86"/>
      <c r="V4" s="86"/>
      <c r="W4" s="86"/>
      <c r="X4" s="73" t="s">
        <v>71</v>
      </c>
      <c r="Y4" s="73"/>
      <c r="Z4" s="73"/>
      <c r="AA4" s="73"/>
      <c r="AB4" s="73"/>
      <c r="AC4" s="6" t="s">
        <v>72</v>
      </c>
      <c r="AD4" s="4" t="s">
        <v>73</v>
      </c>
      <c r="AE4" s="87" t="s">
        <v>74</v>
      </c>
    </row>
    <row r="5" ht="18" customHeight="1" spans="1:31">
      <c r="A5" s="88" t="s">
        <v>75</v>
      </c>
      <c r="B5" s="88" t="s">
        <v>76</v>
      </c>
      <c r="C5" s="88" t="s">
        <v>77</v>
      </c>
      <c r="D5" s="83" t="s">
        <v>9</v>
      </c>
      <c r="E5" s="83" t="s">
        <v>10</v>
      </c>
      <c r="F5" s="83" t="s">
        <v>11</v>
      </c>
      <c r="G5" s="83" t="s">
        <v>12</v>
      </c>
      <c r="H5" s="83" t="s">
        <v>13</v>
      </c>
      <c r="I5" s="89" t="s">
        <v>9</v>
      </c>
      <c r="J5" s="89" t="s">
        <v>10</v>
      </c>
      <c r="K5" s="89" t="s">
        <v>11</v>
      </c>
      <c r="L5" s="89" t="s">
        <v>12</v>
      </c>
      <c r="M5" s="89" t="s">
        <v>13</v>
      </c>
      <c r="N5" s="31" t="s">
        <v>9</v>
      </c>
      <c r="O5" s="31" t="s">
        <v>10</v>
      </c>
      <c r="P5" s="31" t="s">
        <v>11</v>
      </c>
      <c r="Q5" s="31" t="s">
        <v>12</v>
      </c>
      <c r="R5" s="31" t="s">
        <v>13</v>
      </c>
      <c r="S5" s="90" t="s">
        <v>9</v>
      </c>
      <c r="T5" s="90" t="s">
        <v>10</v>
      </c>
      <c r="U5" s="90" t="s">
        <v>11</v>
      </c>
      <c r="V5" s="90" t="s">
        <v>12</v>
      </c>
      <c r="W5" s="90" t="s">
        <v>13</v>
      </c>
      <c r="X5" s="91" t="s">
        <v>9</v>
      </c>
      <c r="Y5" s="91" t="s">
        <v>10</v>
      </c>
      <c r="Z5" s="91" t="s">
        <v>11</v>
      </c>
      <c r="AA5" s="91" t="s">
        <v>12</v>
      </c>
      <c r="AB5" s="91" t="s">
        <v>13</v>
      </c>
      <c r="AC5" s="92" t="s">
        <v>78</v>
      </c>
      <c r="AD5" s="93" t="s">
        <v>78</v>
      </c>
      <c r="AE5" s="94" t="s">
        <v>78</v>
      </c>
    </row>
    <row r="6" ht="18" customHeight="1" spans="1:31">
      <c r="A6" s="95" t="s">
        <v>79</v>
      </c>
      <c r="B6" s="95"/>
      <c r="C6" s="95"/>
      <c r="D6" s="96">
        <v>6</v>
      </c>
      <c r="E6" s="96">
        <v>6</v>
      </c>
      <c r="F6" s="96">
        <v>6</v>
      </c>
      <c r="G6" s="96">
        <v>6</v>
      </c>
      <c r="H6" s="96">
        <v>6</v>
      </c>
      <c r="I6" s="96">
        <v>6</v>
      </c>
      <c r="J6" s="96">
        <v>6</v>
      </c>
      <c r="K6" s="96">
        <v>6</v>
      </c>
      <c r="L6" s="96">
        <v>6</v>
      </c>
      <c r="M6" s="96">
        <v>6</v>
      </c>
      <c r="N6" s="96">
        <v>2</v>
      </c>
      <c r="O6" s="96">
        <v>2</v>
      </c>
      <c r="P6" s="96">
        <v>2</v>
      </c>
      <c r="Q6" s="96">
        <v>2</v>
      </c>
      <c r="R6" s="96">
        <v>2</v>
      </c>
      <c r="S6" s="96">
        <v>2</v>
      </c>
      <c r="T6" s="96">
        <v>2</v>
      </c>
      <c r="U6" s="96">
        <v>2</v>
      </c>
      <c r="V6" s="96">
        <v>2</v>
      </c>
      <c r="W6" s="96">
        <v>2</v>
      </c>
      <c r="X6" s="96">
        <v>20</v>
      </c>
      <c r="Y6" s="96">
        <v>20</v>
      </c>
      <c r="Z6" s="96">
        <v>20</v>
      </c>
      <c r="AA6" s="96">
        <v>20</v>
      </c>
      <c r="AB6" s="96">
        <v>20</v>
      </c>
      <c r="AC6" s="97">
        <v>50</v>
      </c>
      <c r="AD6" s="98">
        <v>50</v>
      </c>
      <c r="AE6" s="99">
        <v>100</v>
      </c>
    </row>
    <row r="7" ht="12.75" customHeight="1" spans="1:31">
      <c r="A7" s="100" t="s">
        <v>80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</row>
    <row r="8" ht="16.5" customHeight="1" spans="1:31">
      <c r="A8" s="20">
        <v>1</v>
      </c>
      <c r="B8" s="20" t="s">
        <v>81</v>
      </c>
      <c r="C8" s="101" t="s">
        <v>82</v>
      </c>
      <c r="D8" s="102">
        <v>4.92</v>
      </c>
      <c r="E8" s="102">
        <v>3.08</v>
      </c>
      <c r="F8" s="102">
        <v>3.83</v>
      </c>
      <c r="G8" s="102">
        <v>3.67</v>
      </c>
      <c r="H8" s="102">
        <v>5.21</v>
      </c>
      <c r="I8" s="102">
        <v>5.03</v>
      </c>
      <c r="J8" s="102">
        <v>5.68</v>
      </c>
      <c r="K8" s="102">
        <v>3.26</v>
      </c>
      <c r="L8" s="102">
        <v>4.27</v>
      </c>
      <c r="M8" s="102">
        <v>3.09</v>
      </c>
      <c r="N8" s="102">
        <v>1.22</v>
      </c>
      <c r="O8" s="102">
        <v>1.51</v>
      </c>
      <c r="P8" s="102">
        <v>1.03</v>
      </c>
      <c r="Q8" s="102">
        <v>1.2</v>
      </c>
      <c r="R8" s="102">
        <v>1.65</v>
      </c>
      <c r="S8" s="102">
        <v>1.54</v>
      </c>
      <c r="T8" s="102">
        <v>1.22</v>
      </c>
      <c r="U8" s="102">
        <v>1.59</v>
      </c>
      <c r="V8" s="102">
        <v>1.81</v>
      </c>
      <c r="W8" s="102">
        <v>1.01</v>
      </c>
      <c r="X8" s="102">
        <v>18.06</v>
      </c>
      <c r="Y8" s="102">
        <v>16.98</v>
      </c>
      <c r="Z8" s="102">
        <v>13.4</v>
      </c>
      <c r="AA8" s="102">
        <v>11.55</v>
      </c>
      <c r="AB8" s="102">
        <v>19.57</v>
      </c>
      <c r="AC8" s="103">
        <f t="shared" ref="AC8:AC27" si="0">(SUM(D8:H8)+SUM(I8:M8))/2+SUM(N8:R8)+SUM(S8:W8)</f>
        <v>34.8</v>
      </c>
      <c r="AD8" s="104">
        <f t="shared" ref="AD8:AD27" si="1">SUM(X8:AB8)/100*50</f>
        <v>39.78</v>
      </c>
      <c r="AE8" s="105">
        <f t="shared" ref="AE8:AE27" si="2">AC8+AD8</f>
        <v>74.58</v>
      </c>
    </row>
    <row r="9" ht="16.5" customHeight="1" spans="1:31">
      <c r="A9" s="33">
        <v>2</v>
      </c>
      <c r="B9" s="33" t="s">
        <v>83</v>
      </c>
      <c r="C9" s="106" t="s">
        <v>84</v>
      </c>
      <c r="D9" s="107">
        <v>4.01</v>
      </c>
      <c r="E9" s="107">
        <v>3.28</v>
      </c>
      <c r="F9" s="107">
        <v>3.29</v>
      </c>
      <c r="G9" s="107">
        <v>5.54</v>
      </c>
      <c r="H9" s="107">
        <v>4.81</v>
      </c>
      <c r="I9" s="107">
        <v>5.42</v>
      </c>
      <c r="J9" s="107">
        <v>5.19</v>
      </c>
      <c r="K9" s="107">
        <v>4.61</v>
      </c>
      <c r="L9" s="107">
        <v>5.92</v>
      </c>
      <c r="M9" s="107">
        <v>4.14</v>
      </c>
      <c r="N9" s="107">
        <v>1.55</v>
      </c>
      <c r="O9" s="107">
        <v>1.83</v>
      </c>
      <c r="P9" s="107">
        <v>1.62</v>
      </c>
      <c r="Q9" s="107">
        <v>1.86</v>
      </c>
      <c r="R9" s="107">
        <v>1.58</v>
      </c>
      <c r="S9" s="107">
        <v>1.7</v>
      </c>
      <c r="T9" s="107">
        <v>1.05</v>
      </c>
      <c r="U9" s="107">
        <v>1.23</v>
      </c>
      <c r="V9" s="107">
        <v>1.29</v>
      </c>
      <c r="W9" s="107">
        <v>1.08</v>
      </c>
      <c r="X9" s="107">
        <v>12.33</v>
      </c>
      <c r="Y9" s="107">
        <v>11.01</v>
      </c>
      <c r="Z9" s="107">
        <v>12.78</v>
      </c>
      <c r="AA9" s="107">
        <v>16.36</v>
      </c>
      <c r="AB9" s="107">
        <v>13.65</v>
      </c>
      <c r="AC9" s="103">
        <f t="shared" si="0"/>
        <v>37.895</v>
      </c>
      <c r="AD9" s="104">
        <f t="shared" si="1"/>
        <v>33.065</v>
      </c>
      <c r="AE9" s="105">
        <f t="shared" si="2"/>
        <v>70.96</v>
      </c>
    </row>
    <row r="10" ht="16.5" customHeight="1" spans="1:31">
      <c r="A10" s="20">
        <v>3</v>
      </c>
      <c r="B10" s="20" t="s">
        <v>85</v>
      </c>
      <c r="C10" s="101" t="s">
        <v>86</v>
      </c>
      <c r="D10" s="102">
        <v>4.11</v>
      </c>
      <c r="E10" s="102">
        <v>3.63</v>
      </c>
      <c r="F10" s="102">
        <v>3.8</v>
      </c>
      <c r="G10" s="102">
        <v>5.81</v>
      </c>
      <c r="H10" s="102">
        <v>4.94</v>
      </c>
      <c r="I10" s="102">
        <v>4.83</v>
      </c>
      <c r="J10" s="102">
        <v>3.51</v>
      </c>
      <c r="K10" s="102">
        <v>5.19</v>
      </c>
      <c r="L10" s="102">
        <v>3.49</v>
      </c>
      <c r="M10" s="102">
        <v>4.14</v>
      </c>
      <c r="N10" s="102">
        <v>1.99</v>
      </c>
      <c r="O10" s="102">
        <v>1.64</v>
      </c>
      <c r="P10" s="102">
        <v>1.56</v>
      </c>
      <c r="Q10" s="102">
        <v>1.68</v>
      </c>
      <c r="R10" s="102">
        <v>1.84</v>
      </c>
      <c r="S10" s="102">
        <v>1.78</v>
      </c>
      <c r="T10" s="102">
        <v>1.23</v>
      </c>
      <c r="U10" s="102">
        <v>1.03</v>
      </c>
      <c r="V10" s="102">
        <v>1.32</v>
      </c>
      <c r="W10" s="102">
        <v>1.27</v>
      </c>
      <c r="X10" s="102">
        <v>12.11</v>
      </c>
      <c r="Y10" s="102">
        <v>19.43</v>
      </c>
      <c r="Z10" s="102">
        <v>18.76</v>
      </c>
      <c r="AA10" s="102">
        <v>13.15</v>
      </c>
      <c r="AB10" s="102">
        <v>16.55</v>
      </c>
      <c r="AC10" s="103">
        <f t="shared" si="0"/>
        <v>37.065</v>
      </c>
      <c r="AD10" s="104">
        <f t="shared" si="1"/>
        <v>40</v>
      </c>
      <c r="AE10" s="105">
        <f t="shared" si="2"/>
        <v>77.065</v>
      </c>
    </row>
    <row r="11" ht="16.5" customHeight="1" spans="1:31">
      <c r="A11" s="33">
        <v>4</v>
      </c>
      <c r="B11" s="33" t="s">
        <v>87</v>
      </c>
      <c r="C11" s="106" t="s">
        <v>88</v>
      </c>
      <c r="D11" s="107">
        <v>4.19</v>
      </c>
      <c r="E11" s="107">
        <v>5.74</v>
      </c>
      <c r="F11" s="107">
        <v>4.38</v>
      </c>
      <c r="G11" s="107">
        <v>3.79</v>
      </c>
      <c r="H11" s="107">
        <v>3.74</v>
      </c>
      <c r="I11" s="107">
        <v>4.68</v>
      </c>
      <c r="J11" s="107">
        <v>3.79</v>
      </c>
      <c r="K11" s="107">
        <v>4.75</v>
      </c>
      <c r="L11" s="107">
        <v>5.69</v>
      </c>
      <c r="M11" s="107">
        <v>4.2</v>
      </c>
      <c r="N11" s="107">
        <v>1.22</v>
      </c>
      <c r="O11" s="107">
        <v>2</v>
      </c>
      <c r="P11" s="107">
        <v>1.51</v>
      </c>
      <c r="Q11" s="107">
        <v>1.09</v>
      </c>
      <c r="R11" s="107">
        <v>1.05</v>
      </c>
      <c r="S11" s="107">
        <v>1.11</v>
      </c>
      <c r="T11" s="107">
        <v>1.63</v>
      </c>
      <c r="U11" s="107">
        <v>1.79</v>
      </c>
      <c r="V11" s="107">
        <v>1.42</v>
      </c>
      <c r="W11" s="107">
        <v>1.06</v>
      </c>
      <c r="X11" s="107">
        <v>13.82</v>
      </c>
      <c r="Y11" s="107">
        <v>19.96</v>
      </c>
      <c r="Z11" s="107">
        <v>15.29</v>
      </c>
      <c r="AA11" s="107">
        <v>19.71</v>
      </c>
      <c r="AB11" s="107">
        <v>18.61</v>
      </c>
      <c r="AC11" s="103">
        <f t="shared" si="0"/>
        <v>36.355</v>
      </c>
      <c r="AD11" s="104">
        <f t="shared" si="1"/>
        <v>43.695</v>
      </c>
      <c r="AE11" s="105">
        <f t="shared" si="2"/>
        <v>80.05</v>
      </c>
    </row>
    <row r="12" ht="16.5" customHeight="1" spans="1:31">
      <c r="A12" s="20">
        <v>5</v>
      </c>
      <c r="B12" s="20" t="s">
        <v>89</v>
      </c>
      <c r="C12" s="101" t="s">
        <v>90</v>
      </c>
      <c r="D12" s="102">
        <v>3.03</v>
      </c>
      <c r="E12" s="102">
        <v>5.16</v>
      </c>
      <c r="F12" s="102">
        <v>5.05</v>
      </c>
      <c r="G12" s="102">
        <v>4.61</v>
      </c>
      <c r="H12" s="102">
        <v>3.8</v>
      </c>
      <c r="I12" s="102">
        <v>4.92</v>
      </c>
      <c r="J12" s="102">
        <v>3.33</v>
      </c>
      <c r="K12" s="102">
        <v>4.3</v>
      </c>
      <c r="L12" s="102">
        <v>4.36</v>
      </c>
      <c r="M12" s="102">
        <v>5.86</v>
      </c>
      <c r="N12" s="102">
        <v>1.88</v>
      </c>
      <c r="O12" s="102">
        <v>1.26</v>
      </c>
      <c r="P12" s="102">
        <v>1.5</v>
      </c>
      <c r="Q12" s="102">
        <v>1.18</v>
      </c>
      <c r="R12" s="102">
        <v>1.91</v>
      </c>
      <c r="S12" s="102">
        <v>1.87</v>
      </c>
      <c r="T12" s="102">
        <v>1.3</v>
      </c>
      <c r="U12" s="102">
        <v>1.64</v>
      </c>
      <c r="V12" s="102">
        <v>1.61</v>
      </c>
      <c r="W12" s="102">
        <v>1.15</v>
      </c>
      <c r="X12" s="102">
        <v>17.63</v>
      </c>
      <c r="Y12" s="102">
        <v>15.39</v>
      </c>
      <c r="Z12" s="102">
        <v>17.79</v>
      </c>
      <c r="AA12" s="102">
        <v>15.3</v>
      </c>
      <c r="AB12" s="102">
        <v>10.01</v>
      </c>
      <c r="AC12" s="103">
        <f t="shared" si="0"/>
        <v>37.51</v>
      </c>
      <c r="AD12" s="104">
        <f t="shared" si="1"/>
        <v>38.06</v>
      </c>
      <c r="AE12" s="105">
        <f t="shared" si="2"/>
        <v>75.57</v>
      </c>
    </row>
    <row r="13" ht="16.5" customHeight="1" spans="1:31">
      <c r="A13" s="33">
        <v>6</v>
      </c>
      <c r="B13" s="33" t="s">
        <v>91</v>
      </c>
      <c r="C13" s="106" t="s">
        <v>92</v>
      </c>
      <c r="D13" s="107">
        <v>3.97</v>
      </c>
      <c r="E13" s="107">
        <v>3.06</v>
      </c>
      <c r="F13" s="107">
        <v>5.79</v>
      </c>
      <c r="G13" s="107">
        <v>5.64</v>
      </c>
      <c r="H13" s="107">
        <v>5.49</v>
      </c>
      <c r="I13" s="107">
        <v>3.92</v>
      </c>
      <c r="J13" s="107">
        <v>3.17</v>
      </c>
      <c r="K13" s="107">
        <v>5.63</v>
      </c>
      <c r="L13" s="107">
        <v>5.84</v>
      </c>
      <c r="M13" s="107">
        <v>3.26</v>
      </c>
      <c r="N13" s="107">
        <v>1.49</v>
      </c>
      <c r="O13" s="107">
        <v>1.07</v>
      </c>
      <c r="P13" s="107">
        <v>1.76</v>
      </c>
      <c r="Q13" s="107">
        <v>1.77</v>
      </c>
      <c r="R13" s="107">
        <v>1.13</v>
      </c>
      <c r="S13" s="107">
        <v>1.48</v>
      </c>
      <c r="T13" s="107">
        <v>1.55</v>
      </c>
      <c r="U13" s="107">
        <v>1.27</v>
      </c>
      <c r="V13" s="107">
        <v>1.87</v>
      </c>
      <c r="W13" s="107">
        <v>1.42</v>
      </c>
      <c r="X13" s="107">
        <v>12.12</v>
      </c>
      <c r="Y13" s="107">
        <v>15.39</v>
      </c>
      <c r="Z13" s="107">
        <v>17.3</v>
      </c>
      <c r="AA13" s="107">
        <v>12.01</v>
      </c>
      <c r="AB13" s="107">
        <v>13.12</v>
      </c>
      <c r="AC13" s="103">
        <f t="shared" si="0"/>
        <v>37.695</v>
      </c>
      <c r="AD13" s="104">
        <f t="shared" si="1"/>
        <v>34.97</v>
      </c>
      <c r="AE13" s="105">
        <f t="shared" si="2"/>
        <v>72.665</v>
      </c>
    </row>
    <row r="14" ht="16.5" customHeight="1" spans="1:31">
      <c r="A14" s="20">
        <v>7</v>
      </c>
      <c r="B14" s="20" t="s">
        <v>93</v>
      </c>
      <c r="C14" s="101" t="s">
        <v>94</v>
      </c>
      <c r="D14" s="102">
        <v>5.99</v>
      </c>
      <c r="E14" s="102">
        <v>4.95</v>
      </c>
      <c r="F14" s="102">
        <v>4.31</v>
      </c>
      <c r="G14" s="102">
        <v>4.55</v>
      </c>
      <c r="H14" s="102">
        <v>3.36</v>
      </c>
      <c r="I14" s="102">
        <v>3.67</v>
      </c>
      <c r="J14" s="102">
        <v>4.01</v>
      </c>
      <c r="K14" s="102">
        <v>4.76</v>
      </c>
      <c r="L14" s="102">
        <v>3.69</v>
      </c>
      <c r="M14" s="102">
        <v>3.66</v>
      </c>
      <c r="N14" s="102">
        <v>1.07</v>
      </c>
      <c r="O14" s="102">
        <v>1.63</v>
      </c>
      <c r="P14" s="102">
        <v>1.23</v>
      </c>
      <c r="Q14" s="102">
        <v>1.91</v>
      </c>
      <c r="R14" s="102">
        <v>1.86</v>
      </c>
      <c r="S14" s="102">
        <v>1.07</v>
      </c>
      <c r="T14" s="102">
        <v>1.24</v>
      </c>
      <c r="U14" s="102">
        <v>1.67</v>
      </c>
      <c r="V14" s="102">
        <v>1.21</v>
      </c>
      <c r="W14" s="102">
        <v>1.13</v>
      </c>
      <c r="X14" s="102">
        <v>19.36</v>
      </c>
      <c r="Y14" s="102">
        <v>15.71</v>
      </c>
      <c r="Z14" s="102">
        <v>14.73</v>
      </c>
      <c r="AA14" s="102">
        <v>17.85</v>
      </c>
      <c r="AB14" s="102">
        <v>18.07</v>
      </c>
      <c r="AC14" s="103">
        <f t="shared" si="0"/>
        <v>35.495</v>
      </c>
      <c r="AD14" s="104">
        <f t="shared" si="1"/>
        <v>42.86</v>
      </c>
      <c r="AE14" s="105">
        <f t="shared" si="2"/>
        <v>78.355</v>
      </c>
    </row>
    <row r="15" ht="16.5" customHeight="1" spans="1:31">
      <c r="A15" s="33">
        <v>8</v>
      </c>
      <c r="B15" s="33" t="s">
        <v>95</v>
      </c>
      <c r="C15" s="106" t="s">
        <v>96</v>
      </c>
      <c r="D15" s="107">
        <v>3.57</v>
      </c>
      <c r="E15" s="107">
        <v>3.29</v>
      </c>
      <c r="F15" s="107">
        <v>4.29</v>
      </c>
      <c r="G15" s="107">
        <v>4.27</v>
      </c>
      <c r="H15" s="107">
        <v>4.4</v>
      </c>
      <c r="I15" s="107">
        <v>5.19</v>
      </c>
      <c r="J15" s="107">
        <v>5.02</v>
      </c>
      <c r="K15" s="107">
        <v>5.95</v>
      </c>
      <c r="L15" s="107">
        <v>3.3</v>
      </c>
      <c r="M15" s="107">
        <v>4.21</v>
      </c>
      <c r="N15" s="107">
        <v>1.34</v>
      </c>
      <c r="O15" s="107">
        <v>1.86</v>
      </c>
      <c r="P15" s="107">
        <v>1.25</v>
      </c>
      <c r="Q15" s="107">
        <v>1.19</v>
      </c>
      <c r="R15" s="107">
        <v>1.45</v>
      </c>
      <c r="S15" s="107">
        <v>1.42</v>
      </c>
      <c r="T15" s="107">
        <v>1.28</v>
      </c>
      <c r="U15" s="107">
        <v>1.25</v>
      </c>
      <c r="V15" s="107">
        <v>1.92</v>
      </c>
      <c r="W15" s="107">
        <v>1.44</v>
      </c>
      <c r="X15" s="107">
        <v>18.61</v>
      </c>
      <c r="Y15" s="107">
        <v>15.5</v>
      </c>
      <c r="Z15" s="107">
        <v>10.51</v>
      </c>
      <c r="AA15" s="107">
        <v>19.99</v>
      </c>
      <c r="AB15" s="107">
        <v>18.36</v>
      </c>
      <c r="AC15" s="103">
        <f t="shared" si="0"/>
        <v>36.145</v>
      </c>
      <c r="AD15" s="104">
        <f t="shared" si="1"/>
        <v>41.485</v>
      </c>
      <c r="AE15" s="105">
        <f t="shared" si="2"/>
        <v>77.63</v>
      </c>
    </row>
    <row r="16" ht="16.5" customHeight="1" spans="1:31">
      <c r="A16" s="20">
        <v>9</v>
      </c>
      <c r="B16" s="20" t="s">
        <v>97</v>
      </c>
      <c r="C16" s="101" t="s">
        <v>98</v>
      </c>
      <c r="D16" s="102">
        <v>5.91</v>
      </c>
      <c r="E16" s="102">
        <v>5.78</v>
      </c>
      <c r="F16" s="102">
        <v>5.55</v>
      </c>
      <c r="G16" s="102">
        <v>3.5</v>
      </c>
      <c r="H16" s="102">
        <v>4.46</v>
      </c>
      <c r="I16" s="102">
        <v>3.64</v>
      </c>
      <c r="J16" s="102">
        <v>4.2</v>
      </c>
      <c r="K16" s="102">
        <v>3.18</v>
      </c>
      <c r="L16" s="102">
        <v>4.14</v>
      </c>
      <c r="M16" s="102">
        <v>5.96</v>
      </c>
      <c r="N16" s="102">
        <v>1.27</v>
      </c>
      <c r="O16" s="102">
        <v>1.78</v>
      </c>
      <c r="P16" s="102">
        <v>1.46</v>
      </c>
      <c r="Q16" s="102">
        <v>1.42</v>
      </c>
      <c r="R16" s="102">
        <v>1.96</v>
      </c>
      <c r="S16" s="102">
        <v>2</v>
      </c>
      <c r="T16" s="102">
        <v>1.56</v>
      </c>
      <c r="U16" s="102">
        <v>1.72</v>
      </c>
      <c r="V16" s="102">
        <v>1.15</v>
      </c>
      <c r="W16" s="102">
        <v>1.3</v>
      </c>
      <c r="X16" s="102">
        <v>19.69</v>
      </c>
      <c r="Y16" s="102">
        <v>15.79</v>
      </c>
      <c r="Z16" s="102">
        <v>15.42</v>
      </c>
      <c r="AA16" s="102">
        <v>17.48</v>
      </c>
      <c r="AB16" s="102">
        <v>10.57</v>
      </c>
      <c r="AC16" s="103">
        <f t="shared" si="0"/>
        <v>38.78</v>
      </c>
      <c r="AD16" s="104">
        <f t="shared" si="1"/>
        <v>39.475</v>
      </c>
      <c r="AE16" s="105">
        <f t="shared" si="2"/>
        <v>78.255</v>
      </c>
    </row>
    <row r="17" ht="16.5" customHeight="1" spans="1:31">
      <c r="A17" s="33">
        <v>10</v>
      </c>
      <c r="B17" s="33" t="s">
        <v>99</v>
      </c>
      <c r="C17" s="106" t="s">
        <v>100</v>
      </c>
      <c r="D17" s="107">
        <v>4.75</v>
      </c>
      <c r="E17" s="107">
        <v>4.51</v>
      </c>
      <c r="F17" s="107">
        <v>5.56</v>
      </c>
      <c r="G17" s="107">
        <v>3.47</v>
      </c>
      <c r="H17" s="107">
        <v>5.88</v>
      </c>
      <c r="I17" s="107">
        <v>3.24</v>
      </c>
      <c r="J17" s="107">
        <v>3.56</v>
      </c>
      <c r="K17" s="107">
        <v>4.79</v>
      </c>
      <c r="L17" s="107">
        <v>5.03</v>
      </c>
      <c r="M17" s="107">
        <v>3.71</v>
      </c>
      <c r="N17" s="107">
        <v>1.12</v>
      </c>
      <c r="O17" s="107">
        <v>1.89</v>
      </c>
      <c r="P17" s="107">
        <v>1.25</v>
      </c>
      <c r="Q17" s="107">
        <v>1.59</v>
      </c>
      <c r="R17" s="107">
        <v>1.62</v>
      </c>
      <c r="S17" s="107">
        <v>1.42</v>
      </c>
      <c r="T17" s="107">
        <v>1.58</v>
      </c>
      <c r="U17" s="107">
        <v>1.52</v>
      </c>
      <c r="V17" s="107">
        <v>1.93</v>
      </c>
      <c r="W17" s="107">
        <v>1.2</v>
      </c>
      <c r="X17" s="107">
        <v>17.16</v>
      </c>
      <c r="Y17" s="107">
        <v>12.39</v>
      </c>
      <c r="Z17" s="107">
        <v>13.96</v>
      </c>
      <c r="AA17" s="107">
        <v>16.72</v>
      </c>
      <c r="AB17" s="107">
        <v>13</v>
      </c>
      <c r="AC17" s="103">
        <f t="shared" si="0"/>
        <v>37.37</v>
      </c>
      <c r="AD17" s="104">
        <f t="shared" si="1"/>
        <v>36.615</v>
      </c>
      <c r="AE17" s="105">
        <f t="shared" si="2"/>
        <v>73.985</v>
      </c>
    </row>
    <row r="18" ht="16.5" customHeight="1" spans="1:31">
      <c r="A18" s="20">
        <v>11</v>
      </c>
      <c r="B18" s="20" t="s">
        <v>101</v>
      </c>
      <c r="C18" s="101" t="s">
        <v>102</v>
      </c>
      <c r="D18" s="102">
        <v>3.95</v>
      </c>
      <c r="E18" s="102">
        <v>5.26</v>
      </c>
      <c r="F18" s="102">
        <v>3.22</v>
      </c>
      <c r="G18" s="102">
        <v>4.37</v>
      </c>
      <c r="H18" s="102">
        <v>6</v>
      </c>
      <c r="I18" s="102">
        <v>5.99</v>
      </c>
      <c r="J18" s="102">
        <v>3.22</v>
      </c>
      <c r="K18" s="102">
        <v>3.64</v>
      </c>
      <c r="L18" s="102">
        <v>3.8</v>
      </c>
      <c r="M18" s="102">
        <v>5.8</v>
      </c>
      <c r="N18" s="102">
        <v>1.88</v>
      </c>
      <c r="O18" s="102">
        <v>1.88</v>
      </c>
      <c r="P18" s="102">
        <v>1.37</v>
      </c>
      <c r="Q18" s="102">
        <v>1.16</v>
      </c>
      <c r="R18" s="102">
        <v>1.83</v>
      </c>
      <c r="S18" s="102">
        <v>1.7</v>
      </c>
      <c r="T18" s="102">
        <v>1.61</v>
      </c>
      <c r="U18" s="102">
        <v>1.99</v>
      </c>
      <c r="V18" s="102">
        <v>1.65</v>
      </c>
      <c r="W18" s="102">
        <v>1.01</v>
      </c>
      <c r="X18" s="102">
        <v>18.17</v>
      </c>
      <c r="Y18" s="102">
        <v>12.99</v>
      </c>
      <c r="Z18" s="102">
        <v>16.63</v>
      </c>
      <c r="AA18" s="102">
        <v>19.39</v>
      </c>
      <c r="AB18" s="102">
        <v>11.34</v>
      </c>
      <c r="AC18" s="103">
        <f t="shared" si="0"/>
        <v>38.705</v>
      </c>
      <c r="AD18" s="104">
        <f t="shared" si="1"/>
        <v>39.26</v>
      </c>
      <c r="AE18" s="105">
        <f t="shared" si="2"/>
        <v>77.965</v>
      </c>
    </row>
    <row r="19" ht="16.5" customHeight="1" spans="1:31">
      <c r="A19" s="33">
        <v>12</v>
      </c>
      <c r="B19" s="33" t="s">
        <v>103</v>
      </c>
      <c r="C19" s="106" t="s">
        <v>104</v>
      </c>
      <c r="D19" s="107">
        <v>3.35</v>
      </c>
      <c r="E19" s="107">
        <v>3.32</v>
      </c>
      <c r="F19" s="107">
        <v>4.66</v>
      </c>
      <c r="G19" s="107">
        <v>3.82</v>
      </c>
      <c r="H19" s="107">
        <v>4.81</v>
      </c>
      <c r="I19" s="107">
        <v>5.15</v>
      </c>
      <c r="J19" s="107">
        <v>3.61</v>
      </c>
      <c r="K19" s="107">
        <v>4.9</v>
      </c>
      <c r="L19" s="107">
        <v>3.79</v>
      </c>
      <c r="M19" s="107">
        <v>4.47</v>
      </c>
      <c r="N19" s="107">
        <v>1.91</v>
      </c>
      <c r="O19" s="107">
        <v>1.85</v>
      </c>
      <c r="P19" s="107">
        <v>1.09</v>
      </c>
      <c r="Q19" s="107">
        <v>1.42</v>
      </c>
      <c r="R19" s="107">
        <v>1.28</v>
      </c>
      <c r="S19" s="107">
        <v>1</v>
      </c>
      <c r="T19" s="107">
        <v>1.77</v>
      </c>
      <c r="U19" s="107">
        <v>1.64</v>
      </c>
      <c r="V19" s="107">
        <v>1.26</v>
      </c>
      <c r="W19" s="107">
        <v>1.74</v>
      </c>
      <c r="X19" s="107">
        <v>15.52</v>
      </c>
      <c r="Y19" s="107">
        <v>14.28</v>
      </c>
      <c r="Z19" s="107">
        <v>10.1</v>
      </c>
      <c r="AA19" s="107">
        <v>10.75</v>
      </c>
      <c r="AB19" s="107">
        <v>18.83</v>
      </c>
      <c r="AC19" s="103">
        <f t="shared" si="0"/>
        <v>35.9</v>
      </c>
      <c r="AD19" s="104">
        <f t="shared" si="1"/>
        <v>34.74</v>
      </c>
      <c r="AE19" s="105">
        <f t="shared" si="2"/>
        <v>70.64</v>
      </c>
    </row>
    <row r="20" ht="16.5" customHeight="1" spans="1:31">
      <c r="A20" s="20">
        <v>13</v>
      </c>
      <c r="B20" s="20" t="s">
        <v>105</v>
      </c>
      <c r="C20" s="101" t="s">
        <v>106</v>
      </c>
      <c r="D20" s="102">
        <v>5.71</v>
      </c>
      <c r="E20" s="102">
        <v>4.64</v>
      </c>
      <c r="F20" s="102">
        <v>5.5</v>
      </c>
      <c r="G20" s="102">
        <v>4.75</v>
      </c>
      <c r="H20" s="102">
        <v>3.44</v>
      </c>
      <c r="I20" s="102">
        <v>3.38</v>
      </c>
      <c r="J20" s="102">
        <v>3.92</v>
      </c>
      <c r="K20" s="102">
        <v>5.7</v>
      </c>
      <c r="L20" s="102">
        <v>5.39</v>
      </c>
      <c r="M20" s="102">
        <v>5.58</v>
      </c>
      <c r="N20" s="102">
        <v>1.9</v>
      </c>
      <c r="O20" s="102">
        <v>1.21</v>
      </c>
      <c r="P20" s="102">
        <v>1.25</v>
      </c>
      <c r="Q20" s="102">
        <v>1.1</v>
      </c>
      <c r="R20" s="102">
        <v>1.78</v>
      </c>
      <c r="S20" s="102">
        <v>1.88</v>
      </c>
      <c r="T20" s="102">
        <v>1.41</v>
      </c>
      <c r="U20" s="102">
        <v>1.62</v>
      </c>
      <c r="V20" s="102">
        <v>1.15</v>
      </c>
      <c r="W20" s="102">
        <v>1.93</v>
      </c>
      <c r="X20" s="102">
        <v>18.65</v>
      </c>
      <c r="Y20" s="102">
        <v>19.76</v>
      </c>
      <c r="Z20" s="102">
        <v>18.11</v>
      </c>
      <c r="AA20" s="102">
        <v>18.81</v>
      </c>
      <c r="AB20" s="102">
        <v>10.25</v>
      </c>
      <c r="AC20" s="103">
        <f t="shared" si="0"/>
        <v>39.235</v>
      </c>
      <c r="AD20" s="104">
        <f t="shared" si="1"/>
        <v>42.79</v>
      </c>
      <c r="AE20" s="105">
        <f t="shared" si="2"/>
        <v>82.025</v>
      </c>
    </row>
    <row r="21" ht="16.5" customHeight="1" spans="1:31">
      <c r="A21" s="33">
        <v>14</v>
      </c>
      <c r="B21" s="33" t="s">
        <v>107</v>
      </c>
      <c r="C21" s="106" t="s">
        <v>108</v>
      </c>
      <c r="D21" s="107">
        <v>5.21</v>
      </c>
      <c r="E21" s="107">
        <v>4</v>
      </c>
      <c r="F21" s="107">
        <v>5.79</v>
      </c>
      <c r="G21" s="107">
        <v>5.41</v>
      </c>
      <c r="H21" s="107">
        <v>5.59</v>
      </c>
      <c r="I21" s="107">
        <v>5.43</v>
      </c>
      <c r="J21" s="107">
        <v>3.8</v>
      </c>
      <c r="K21" s="107">
        <v>5.36</v>
      </c>
      <c r="L21" s="107">
        <v>3.32</v>
      </c>
      <c r="M21" s="107">
        <v>5.62</v>
      </c>
      <c r="N21" s="107">
        <v>1.86</v>
      </c>
      <c r="O21" s="107">
        <v>1.22</v>
      </c>
      <c r="P21" s="107">
        <v>1.82</v>
      </c>
      <c r="Q21" s="107">
        <v>1.46</v>
      </c>
      <c r="R21" s="107">
        <v>1.31</v>
      </c>
      <c r="S21" s="107">
        <v>1.8</v>
      </c>
      <c r="T21" s="107">
        <v>1.23</v>
      </c>
      <c r="U21" s="107">
        <v>1.02</v>
      </c>
      <c r="V21" s="107">
        <v>1.19</v>
      </c>
      <c r="W21" s="107">
        <v>1.33</v>
      </c>
      <c r="X21" s="107">
        <v>18.64</v>
      </c>
      <c r="Y21" s="107">
        <v>19.67</v>
      </c>
      <c r="Z21" s="107">
        <v>12.79</v>
      </c>
      <c r="AA21" s="107">
        <v>16.41</v>
      </c>
      <c r="AB21" s="107">
        <v>14</v>
      </c>
      <c r="AC21" s="103">
        <f t="shared" si="0"/>
        <v>39.005</v>
      </c>
      <c r="AD21" s="104">
        <f t="shared" si="1"/>
        <v>40.755</v>
      </c>
      <c r="AE21" s="105">
        <f t="shared" si="2"/>
        <v>79.76</v>
      </c>
    </row>
    <row r="22" ht="16.5" customHeight="1" spans="1:31">
      <c r="A22" s="20">
        <v>15</v>
      </c>
      <c r="B22" s="20" t="s">
        <v>109</v>
      </c>
      <c r="C22" s="101" t="s">
        <v>110</v>
      </c>
      <c r="D22" s="102">
        <v>5.94</v>
      </c>
      <c r="E22" s="102">
        <v>4.61</v>
      </c>
      <c r="F22" s="102">
        <v>5.82</v>
      </c>
      <c r="G22" s="102">
        <v>3.35</v>
      </c>
      <c r="H22" s="102">
        <v>5.91</v>
      </c>
      <c r="I22" s="102">
        <v>3.54</v>
      </c>
      <c r="J22" s="102">
        <v>5.89</v>
      </c>
      <c r="K22" s="102">
        <v>3.8</v>
      </c>
      <c r="L22" s="102">
        <v>3.33</v>
      </c>
      <c r="M22" s="102">
        <v>4.3</v>
      </c>
      <c r="N22" s="102">
        <v>1.73</v>
      </c>
      <c r="O22" s="102">
        <v>1.31</v>
      </c>
      <c r="P22" s="102">
        <v>1.61</v>
      </c>
      <c r="Q22" s="102">
        <v>1.51</v>
      </c>
      <c r="R22" s="102">
        <v>1.39</v>
      </c>
      <c r="S22" s="102">
        <v>1.58</v>
      </c>
      <c r="T22" s="102">
        <v>1.25</v>
      </c>
      <c r="U22" s="102">
        <v>1.71</v>
      </c>
      <c r="V22" s="102">
        <v>1</v>
      </c>
      <c r="W22" s="102">
        <v>1.93</v>
      </c>
      <c r="X22" s="102">
        <v>15.38</v>
      </c>
      <c r="Y22" s="102">
        <v>17.19</v>
      </c>
      <c r="Z22" s="102">
        <v>17.42</v>
      </c>
      <c r="AA22" s="102">
        <v>16.71</v>
      </c>
      <c r="AB22" s="102">
        <v>13.64</v>
      </c>
      <c r="AC22" s="103">
        <f t="shared" si="0"/>
        <v>38.265</v>
      </c>
      <c r="AD22" s="104">
        <f t="shared" si="1"/>
        <v>40.17</v>
      </c>
      <c r="AE22" s="105">
        <f t="shared" si="2"/>
        <v>78.435</v>
      </c>
    </row>
    <row r="23" ht="16.5" customHeight="1" spans="1:31">
      <c r="A23" s="33">
        <v>16</v>
      </c>
      <c r="B23" s="33" t="s">
        <v>111</v>
      </c>
      <c r="C23" s="106" t="s">
        <v>112</v>
      </c>
      <c r="D23" s="107">
        <v>3.21</v>
      </c>
      <c r="E23" s="107">
        <v>4.99</v>
      </c>
      <c r="F23" s="107">
        <v>3.99</v>
      </c>
      <c r="G23" s="107">
        <v>3.94</v>
      </c>
      <c r="H23" s="107">
        <v>5.54</v>
      </c>
      <c r="I23" s="107">
        <v>5.16</v>
      </c>
      <c r="J23" s="107">
        <v>3.9</v>
      </c>
      <c r="K23" s="107">
        <v>3.93</v>
      </c>
      <c r="L23" s="107">
        <v>4.23</v>
      </c>
      <c r="M23" s="107">
        <v>4.21</v>
      </c>
      <c r="N23" s="107">
        <v>1.3</v>
      </c>
      <c r="O23" s="107">
        <v>1.13</v>
      </c>
      <c r="P23" s="107">
        <v>1.42</v>
      </c>
      <c r="Q23" s="107">
        <v>1.94</v>
      </c>
      <c r="R23" s="107">
        <v>1.68</v>
      </c>
      <c r="S23" s="107">
        <v>1.9</v>
      </c>
      <c r="T23" s="107">
        <v>1.62</v>
      </c>
      <c r="U23" s="107">
        <v>1.3</v>
      </c>
      <c r="V23" s="107">
        <v>1.55</v>
      </c>
      <c r="W23" s="107">
        <v>1</v>
      </c>
      <c r="X23" s="107">
        <v>12.87</v>
      </c>
      <c r="Y23" s="107">
        <v>14.3</v>
      </c>
      <c r="Z23" s="107">
        <v>15.8</v>
      </c>
      <c r="AA23" s="107">
        <v>16.55</v>
      </c>
      <c r="AB23" s="107">
        <v>14.65</v>
      </c>
      <c r="AC23" s="103">
        <f t="shared" si="0"/>
        <v>36.39</v>
      </c>
      <c r="AD23" s="104">
        <f t="shared" si="1"/>
        <v>37.085</v>
      </c>
      <c r="AE23" s="105">
        <f t="shared" si="2"/>
        <v>73.475</v>
      </c>
    </row>
    <row r="24" ht="16.5" customHeight="1" spans="1:31">
      <c r="A24" s="20">
        <v>17</v>
      </c>
      <c r="B24" s="20" t="s">
        <v>113</v>
      </c>
      <c r="C24" s="101" t="s">
        <v>114</v>
      </c>
      <c r="D24" s="102">
        <v>4.33</v>
      </c>
      <c r="E24" s="102">
        <v>3.64</v>
      </c>
      <c r="F24" s="102">
        <v>4.42</v>
      </c>
      <c r="G24" s="102">
        <v>5.7</v>
      </c>
      <c r="H24" s="102">
        <v>5.39</v>
      </c>
      <c r="I24" s="102">
        <v>3.51</v>
      </c>
      <c r="J24" s="102">
        <v>3.25</v>
      </c>
      <c r="K24" s="102">
        <v>4.55</v>
      </c>
      <c r="L24" s="102">
        <v>4.9</v>
      </c>
      <c r="M24" s="102">
        <v>4.01</v>
      </c>
      <c r="N24" s="102">
        <v>1.82</v>
      </c>
      <c r="O24" s="102">
        <v>1.75</v>
      </c>
      <c r="P24" s="102">
        <v>1.67</v>
      </c>
      <c r="Q24" s="102">
        <v>1.22</v>
      </c>
      <c r="R24" s="102">
        <v>1.2</v>
      </c>
      <c r="S24" s="102">
        <v>1.02</v>
      </c>
      <c r="T24" s="102">
        <v>1.24</v>
      </c>
      <c r="U24" s="102">
        <v>1.48</v>
      </c>
      <c r="V24" s="102">
        <v>1.85</v>
      </c>
      <c r="W24" s="102">
        <v>1.07</v>
      </c>
      <c r="X24" s="102">
        <v>14.14</v>
      </c>
      <c r="Y24" s="102">
        <v>16.3</v>
      </c>
      <c r="Z24" s="102">
        <v>11.94</v>
      </c>
      <c r="AA24" s="102">
        <v>16.96</v>
      </c>
      <c r="AB24" s="102">
        <v>14.94</v>
      </c>
      <c r="AC24" s="103">
        <f t="shared" si="0"/>
        <v>36.17</v>
      </c>
      <c r="AD24" s="104">
        <f t="shared" si="1"/>
        <v>37.14</v>
      </c>
      <c r="AE24" s="105">
        <f t="shared" si="2"/>
        <v>73.31</v>
      </c>
    </row>
    <row r="25" ht="16.5" customHeight="1" spans="1:31">
      <c r="A25" s="33">
        <v>18</v>
      </c>
      <c r="B25" s="33" t="s">
        <v>115</v>
      </c>
      <c r="C25" s="106" t="s">
        <v>116</v>
      </c>
      <c r="D25" s="107">
        <v>3.73</v>
      </c>
      <c r="E25" s="107">
        <v>4.97</v>
      </c>
      <c r="F25" s="107">
        <v>3.02</v>
      </c>
      <c r="G25" s="107">
        <v>5.25</v>
      </c>
      <c r="H25" s="107">
        <v>5.31</v>
      </c>
      <c r="I25" s="107">
        <v>3.32</v>
      </c>
      <c r="J25" s="107">
        <v>4.28</v>
      </c>
      <c r="K25" s="107">
        <v>3.53</v>
      </c>
      <c r="L25" s="107">
        <v>5.87</v>
      </c>
      <c r="M25" s="107">
        <v>4.55</v>
      </c>
      <c r="N25" s="107">
        <v>1.05</v>
      </c>
      <c r="O25" s="107">
        <v>1.25</v>
      </c>
      <c r="P25" s="107">
        <v>1.85</v>
      </c>
      <c r="Q25" s="107">
        <v>1.46</v>
      </c>
      <c r="R25" s="107">
        <v>1.8</v>
      </c>
      <c r="S25" s="107">
        <v>1.67</v>
      </c>
      <c r="T25" s="107">
        <v>1.99</v>
      </c>
      <c r="U25" s="107">
        <v>1.6</v>
      </c>
      <c r="V25" s="107">
        <v>1.95</v>
      </c>
      <c r="W25" s="107">
        <v>1.89</v>
      </c>
      <c r="X25" s="107">
        <v>16.13</v>
      </c>
      <c r="Y25" s="107">
        <v>17.19</v>
      </c>
      <c r="Z25" s="107">
        <v>15.05</v>
      </c>
      <c r="AA25" s="107">
        <v>18.31</v>
      </c>
      <c r="AB25" s="107">
        <v>15.48</v>
      </c>
      <c r="AC25" s="103">
        <f t="shared" si="0"/>
        <v>38.425</v>
      </c>
      <c r="AD25" s="104">
        <f t="shared" si="1"/>
        <v>41.08</v>
      </c>
      <c r="AE25" s="105">
        <f t="shared" si="2"/>
        <v>79.505</v>
      </c>
    </row>
    <row r="26" ht="16.5" customHeight="1" spans="1:31">
      <c r="A26" s="20">
        <v>19</v>
      </c>
      <c r="B26" s="20" t="s">
        <v>117</v>
      </c>
      <c r="C26" s="101" t="s">
        <v>118</v>
      </c>
      <c r="D26" s="102">
        <v>5.69</v>
      </c>
      <c r="E26" s="102">
        <v>5.23</v>
      </c>
      <c r="F26" s="102">
        <v>4.42</v>
      </c>
      <c r="G26" s="102">
        <v>3.78</v>
      </c>
      <c r="H26" s="102">
        <v>3.74</v>
      </c>
      <c r="I26" s="102">
        <v>4.91</v>
      </c>
      <c r="J26" s="102">
        <v>5.3</v>
      </c>
      <c r="K26" s="102">
        <v>4.56</v>
      </c>
      <c r="L26" s="102">
        <v>4.88</v>
      </c>
      <c r="M26" s="102">
        <v>3.82</v>
      </c>
      <c r="N26" s="102">
        <v>1.08</v>
      </c>
      <c r="O26" s="102">
        <v>1.29</v>
      </c>
      <c r="P26" s="102">
        <v>1.27</v>
      </c>
      <c r="Q26" s="102">
        <v>1.32</v>
      </c>
      <c r="R26" s="102">
        <v>1.54</v>
      </c>
      <c r="S26" s="102">
        <v>1.14</v>
      </c>
      <c r="T26" s="102">
        <v>1.23</v>
      </c>
      <c r="U26" s="102">
        <v>1.69</v>
      </c>
      <c r="V26" s="102">
        <v>1.71</v>
      </c>
      <c r="W26" s="102">
        <v>1.06</v>
      </c>
      <c r="X26" s="102">
        <v>14.08</v>
      </c>
      <c r="Y26" s="102">
        <v>15.43</v>
      </c>
      <c r="Z26" s="102">
        <v>14.16</v>
      </c>
      <c r="AA26" s="102">
        <v>12.07</v>
      </c>
      <c r="AB26" s="102">
        <v>14.2</v>
      </c>
      <c r="AC26" s="103">
        <f t="shared" si="0"/>
        <v>36.495</v>
      </c>
      <c r="AD26" s="104">
        <f t="shared" si="1"/>
        <v>34.97</v>
      </c>
      <c r="AE26" s="105">
        <f t="shared" si="2"/>
        <v>71.465</v>
      </c>
    </row>
    <row r="27" ht="16.5" customHeight="1" spans="1:31">
      <c r="A27" s="33">
        <v>20</v>
      </c>
      <c r="B27" s="33" t="s">
        <v>119</v>
      </c>
      <c r="C27" s="106" t="s">
        <v>120</v>
      </c>
      <c r="D27" s="107">
        <v>5.71</v>
      </c>
      <c r="E27" s="107">
        <v>4.75</v>
      </c>
      <c r="F27" s="107">
        <v>5.09</v>
      </c>
      <c r="G27" s="107">
        <v>5.57</v>
      </c>
      <c r="H27" s="107">
        <v>5.3</v>
      </c>
      <c r="I27" s="107">
        <v>4.14</v>
      </c>
      <c r="J27" s="107">
        <v>3.02</v>
      </c>
      <c r="K27" s="107">
        <v>4.06</v>
      </c>
      <c r="L27" s="107">
        <v>5.26</v>
      </c>
      <c r="M27" s="107">
        <v>5.56</v>
      </c>
      <c r="N27" s="107">
        <v>1.95</v>
      </c>
      <c r="O27" s="107">
        <v>1.42</v>
      </c>
      <c r="P27" s="107">
        <v>1.75</v>
      </c>
      <c r="Q27" s="107">
        <v>1.55</v>
      </c>
      <c r="R27" s="107">
        <v>1.6</v>
      </c>
      <c r="S27" s="107">
        <v>1.22</v>
      </c>
      <c r="T27" s="107">
        <v>1.22</v>
      </c>
      <c r="U27" s="107">
        <v>1.44</v>
      </c>
      <c r="V27" s="107">
        <v>1.03</v>
      </c>
      <c r="W27" s="107">
        <v>1.34</v>
      </c>
      <c r="X27" s="107">
        <v>16.79</v>
      </c>
      <c r="Y27" s="107">
        <v>14.04</v>
      </c>
      <c r="Z27" s="107">
        <v>11.65</v>
      </c>
      <c r="AA27" s="107">
        <v>14.67</v>
      </c>
      <c r="AB27" s="107">
        <v>11.28</v>
      </c>
      <c r="AC27" s="103">
        <f t="shared" si="0"/>
        <v>38.75</v>
      </c>
      <c r="AD27" s="104">
        <f t="shared" si="1"/>
        <v>34.215</v>
      </c>
      <c r="AE27" s="105">
        <f t="shared" si="2"/>
        <v>72.965</v>
      </c>
    </row>
    <row r="28" ht="15.15"/>
    <row r="29" ht="19.5" customHeight="1" spans="1:31">
      <c r="A29" s="73" t="s">
        <v>121</v>
      </c>
      <c r="B29" s="73"/>
      <c r="C29" s="73"/>
      <c r="D29" s="108">
        <f t="shared" ref="D29:AE29" si="3">AVERAGE(D8:D27)</f>
        <v>4.564</v>
      </c>
      <c r="E29" s="108">
        <f t="shared" si="3"/>
        <v>4.3945</v>
      </c>
      <c r="F29" s="108">
        <f t="shared" si="3"/>
        <v>4.589</v>
      </c>
      <c r="G29" s="108">
        <f t="shared" si="3"/>
        <v>4.5395</v>
      </c>
      <c r="H29" s="108">
        <f t="shared" si="3"/>
        <v>4.856</v>
      </c>
      <c r="I29" s="108">
        <f t="shared" si="3"/>
        <v>4.4535</v>
      </c>
      <c r="J29" s="108">
        <f t="shared" si="3"/>
        <v>4.0825</v>
      </c>
      <c r="K29" s="108">
        <f t="shared" si="3"/>
        <v>4.5225</v>
      </c>
      <c r="L29" s="108">
        <f t="shared" si="3"/>
        <v>4.525</v>
      </c>
      <c r="M29" s="108">
        <f t="shared" si="3"/>
        <v>4.5075</v>
      </c>
      <c r="N29" s="108">
        <f t="shared" si="3"/>
        <v>1.5315</v>
      </c>
      <c r="O29" s="108">
        <f t="shared" si="3"/>
        <v>1.539</v>
      </c>
      <c r="P29" s="108">
        <f t="shared" si="3"/>
        <v>1.4635</v>
      </c>
      <c r="Q29" s="108">
        <f t="shared" si="3"/>
        <v>1.4515</v>
      </c>
      <c r="R29" s="108">
        <f t="shared" si="3"/>
        <v>1.573</v>
      </c>
      <c r="S29" s="108">
        <f t="shared" si="3"/>
        <v>1.515</v>
      </c>
      <c r="T29" s="108">
        <f t="shared" si="3"/>
        <v>1.4105</v>
      </c>
      <c r="U29" s="108">
        <f t="shared" si="3"/>
        <v>1.51</v>
      </c>
      <c r="V29" s="108">
        <f t="shared" si="3"/>
        <v>1.4935</v>
      </c>
      <c r="W29" s="108">
        <f t="shared" si="3"/>
        <v>1.318</v>
      </c>
      <c r="X29" s="108">
        <f t="shared" si="3"/>
        <v>16.063</v>
      </c>
      <c r="Y29" s="108">
        <f t="shared" si="3"/>
        <v>15.935</v>
      </c>
      <c r="Z29" s="108">
        <f t="shared" si="3"/>
        <v>14.6795</v>
      </c>
      <c r="AA29" s="108">
        <f t="shared" si="3"/>
        <v>16.0375</v>
      </c>
      <c r="AB29" s="108">
        <f t="shared" si="3"/>
        <v>14.506</v>
      </c>
      <c r="AC29" s="109">
        <f t="shared" si="3"/>
        <v>37.3225</v>
      </c>
      <c r="AD29" s="108">
        <f t="shared" si="3"/>
        <v>38.6105</v>
      </c>
      <c r="AE29" s="96">
        <f t="shared" si="3"/>
        <v>75.933</v>
      </c>
    </row>
    <row r="30" ht="15.15"/>
    <row r="31" ht="34" customHeight="1" spans="1:31">
      <c r="A31" s="110" t="s">
        <v>122</v>
      </c>
      <c r="B31" s="110"/>
      <c r="C31" s="110"/>
      <c r="D31" s="111">
        <f>(IFERROR(D29/D6,0)+IFERROR(I29/I6,0)+IFERROR(N29/N6,0)+IFERROR(S29/S6,0)+IFERROR(X29/X6,0))/5</f>
        <v>0.765863333333333</v>
      </c>
      <c r="E31" s="111">
        <f>(IFERROR(E29/E6,0)+IFERROR(J29/J6,0)+IFERROR(O29/O6,0)+IFERROR(T29/T6,0)+IFERROR(Y29/Y6,0))/5</f>
        <v>0.736866666666667</v>
      </c>
      <c r="F31" s="111">
        <f>(IFERROR(F29/F6,0)+IFERROR(K29/K6,0)+IFERROR(P29/P6,0)+IFERROR(U29/U6,0)+IFERROR(Z29/Z6,0))/5</f>
        <v>0.747861666666667</v>
      </c>
      <c r="G31" s="111">
        <f>(IFERROR(G29/G6,0)+IFERROR(L29/L6,0)+IFERROR(Q29/Q6,0)+IFERROR(V29/V6,0)+IFERROR(AA29/AA6,0))/5</f>
        <v>0.757025</v>
      </c>
      <c r="H31" s="111">
        <f>(IFERROR(H29/H6,0)+IFERROR(M29/M6,0)+IFERROR(R29/R6,0)+IFERROR(W29/W6,0)+IFERROR(AB29/AB6,0))/5</f>
        <v>0.746276666666667</v>
      </c>
    </row>
    <row r="32" ht="19.5" customHeight="1" spans="1:31">
      <c r="A32" s="112" t="s">
        <v>123</v>
      </c>
      <c r="B32" s="112"/>
      <c r="C32" s="112"/>
      <c r="D32" s="113">
        <f>(IFERROR(D29/D6,0)+IFERROR(I29/I6,0)+IFERROR(N29/N6,0)+IFERROR(S29/S6,0))/4</f>
        <v>0.756541666666667</v>
      </c>
      <c r="E32" s="113">
        <f>(IFERROR(E29/E6,0)+IFERROR(J29/J6,0)+IFERROR(O29/O6,0)+IFERROR(T29/T6,0))/4</f>
        <v>0.721895833333333</v>
      </c>
      <c r="F32" s="113">
        <f>(IFERROR(F29/F6,0)+IFERROR(K29/K6,0)+IFERROR(P29/P6,0)+IFERROR(U29/U6,0))/4</f>
        <v>0.751333333333333</v>
      </c>
      <c r="G32" s="113">
        <f>(IFERROR(G29/G6,0)+IFERROR(L29/L6,0)+IFERROR(Q29/Q6,0)+IFERROR(V29/V6,0))/4</f>
        <v>0.7458125</v>
      </c>
      <c r="H32" s="113">
        <f>(IFERROR(H29/H6,0)+IFERROR(M29/M6,0)+IFERROR(R29/R6,0)+IFERROR(W29/W6,0))/4</f>
        <v>0.751520833333333</v>
      </c>
    </row>
    <row r="33" ht="19.5" customHeight="1" spans="1:8">
      <c r="A33" s="76" t="s">
        <v>124</v>
      </c>
      <c r="B33" s="76"/>
      <c r="C33" s="76"/>
      <c r="D33" s="114">
        <f>IFERROR(X29/X6,0)</f>
        <v>0.80315</v>
      </c>
      <c r="E33" s="114">
        <f>IFERROR(Y29/Y6,0)</f>
        <v>0.79675</v>
      </c>
      <c r="F33" s="114">
        <f>IFERROR(Z29/Z6,0)</f>
        <v>0.733975</v>
      </c>
      <c r="G33" s="114">
        <f>IFERROR(AA29/AA6,0)</f>
        <v>0.801875</v>
      </c>
      <c r="H33" s="114">
        <f>IFERROR(AB29/AB6,0)</f>
        <v>0.7253</v>
      </c>
    </row>
    <row r="34" ht="19.5" customHeight="1" spans="1:8">
      <c r="A34" s="76" t="s">
        <v>125</v>
      </c>
      <c r="B34" s="76"/>
      <c r="C34" s="76"/>
      <c r="D34" s="77">
        <f>IF(D31&gt;=0.6,3,IF(D31&gt;=0.4,2,1))</f>
        <v>3</v>
      </c>
      <c r="E34" s="77">
        <f>IF(E31&gt;=0.6,3,IF(E31&gt;=0.4,2,1))</f>
        <v>3</v>
      </c>
      <c r="F34" s="77">
        <f>IF(F31&gt;=0.6,3,IF(F31&gt;=0.4,2,1))</f>
        <v>3</v>
      </c>
      <c r="G34" s="77">
        <f>IF(G31&gt;=0.6,3,IF(G31&gt;=0.4,2,1))</f>
        <v>3</v>
      </c>
      <c r="H34" s="77">
        <f>IF(H31&gt;=0.6,3,IF(H31&gt;=0.4,2,1))</f>
        <v>3</v>
      </c>
    </row>
  </sheetData>
  <mergeCells count="15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AE7"/>
    <mergeCell ref="A29:C29"/>
    <mergeCell ref="A31:C31"/>
    <mergeCell ref="A32:C32"/>
    <mergeCell ref="A33:C33"/>
    <mergeCell ref="A34:C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4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E1"/>
    </sheetView>
  </sheetViews>
  <sheetFormatPr defaultColWidth="8.67592592592593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1.5" customHeight="1" spans="1:31">
      <c r="A1" s="47" t="s">
        <v>126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ht="13.5" customHeight="1" spans="1:31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4.5" customHeight="1"/>
    <row r="4" ht="19.5" customHeight="1" spans="1:31">
      <c r="A4" s="3" t="s">
        <v>66</v>
      </c>
      <c r="B4" s="3"/>
      <c r="C4" s="3"/>
      <c r="D4" s="84" t="s">
        <v>67</v>
      </c>
      <c r="E4" s="84"/>
      <c r="F4" s="84"/>
      <c r="G4" s="84"/>
      <c r="H4" s="84"/>
      <c r="I4" s="76" t="s">
        <v>68</v>
      </c>
      <c r="J4" s="76"/>
      <c r="K4" s="76"/>
      <c r="L4" s="76"/>
      <c r="M4" s="76"/>
      <c r="N4" s="85" t="s">
        <v>69</v>
      </c>
      <c r="O4" s="85"/>
      <c r="P4" s="85"/>
      <c r="Q4" s="85"/>
      <c r="R4" s="85"/>
      <c r="S4" s="86" t="s">
        <v>70</v>
      </c>
      <c r="T4" s="86"/>
      <c r="U4" s="86"/>
      <c r="V4" s="86"/>
      <c r="W4" s="86"/>
      <c r="X4" s="73" t="s">
        <v>71</v>
      </c>
      <c r="Y4" s="73"/>
      <c r="Z4" s="73"/>
      <c r="AA4" s="73"/>
      <c r="AB4" s="73"/>
      <c r="AC4" s="6" t="s">
        <v>72</v>
      </c>
      <c r="AD4" s="4" t="s">
        <v>73</v>
      </c>
      <c r="AE4" s="87" t="s">
        <v>74</v>
      </c>
    </row>
    <row r="5" ht="18" customHeight="1" spans="1:31">
      <c r="A5" s="88" t="s">
        <v>75</v>
      </c>
      <c r="B5" s="88" t="s">
        <v>76</v>
      </c>
      <c r="C5" s="88" t="s">
        <v>77</v>
      </c>
      <c r="D5" s="83" t="s">
        <v>9</v>
      </c>
      <c r="E5" s="83" t="s">
        <v>10</v>
      </c>
      <c r="F5" s="83" t="s">
        <v>11</v>
      </c>
      <c r="G5" s="83" t="s">
        <v>12</v>
      </c>
      <c r="H5" s="83" t="s">
        <v>13</v>
      </c>
      <c r="I5" s="89" t="s">
        <v>9</v>
      </c>
      <c r="J5" s="89" t="s">
        <v>10</v>
      </c>
      <c r="K5" s="89" t="s">
        <v>11</v>
      </c>
      <c r="L5" s="89" t="s">
        <v>12</v>
      </c>
      <c r="M5" s="89" t="s">
        <v>13</v>
      </c>
      <c r="N5" s="31" t="s">
        <v>9</v>
      </c>
      <c r="O5" s="31" t="s">
        <v>10</v>
      </c>
      <c r="P5" s="31" t="s">
        <v>11</v>
      </c>
      <c r="Q5" s="31" t="s">
        <v>12</v>
      </c>
      <c r="R5" s="31" t="s">
        <v>13</v>
      </c>
      <c r="S5" s="90" t="s">
        <v>9</v>
      </c>
      <c r="T5" s="90" t="s">
        <v>10</v>
      </c>
      <c r="U5" s="90" t="s">
        <v>11</v>
      </c>
      <c r="V5" s="90" t="s">
        <v>12</v>
      </c>
      <c r="W5" s="90" t="s">
        <v>13</v>
      </c>
      <c r="X5" s="91" t="s">
        <v>9</v>
      </c>
      <c r="Y5" s="91" t="s">
        <v>10</v>
      </c>
      <c r="Z5" s="91" t="s">
        <v>11</v>
      </c>
      <c r="AA5" s="91" t="s">
        <v>12</v>
      </c>
      <c r="AB5" s="91" t="s">
        <v>13</v>
      </c>
      <c r="AC5" s="92" t="s">
        <v>78</v>
      </c>
      <c r="AD5" s="93" t="s">
        <v>78</v>
      </c>
      <c r="AE5" s="94" t="s">
        <v>78</v>
      </c>
    </row>
    <row r="6" ht="18" customHeight="1" spans="1:31">
      <c r="A6" s="95" t="s">
        <v>79</v>
      </c>
      <c r="B6" s="95"/>
      <c r="C6" s="95"/>
      <c r="D6" s="96">
        <v>6</v>
      </c>
      <c r="E6" s="96">
        <v>6</v>
      </c>
      <c r="F6" s="96">
        <v>6</v>
      </c>
      <c r="G6" s="96">
        <v>6</v>
      </c>
      <c r="H6" s="96">
        <v>6</v>
      </c>
      <c r="I6" s="96">
        <v>6</v>
      </c>
      <c r="J6" s="96">
        <v>6</v>
      </c>
      <c r="K6" s="96">
        <v>6</v>
      </c>
      <c r="L6" s="96">
        <v>6</v>
      </c>
      <c r="M6" s="96">
        <v>6</v>
      </c>
      <c r="N6" s="96">
        <v>2</v>
      </c>
      <c r="O6" s="96">
        <v>2</v>
      </c>
      <c r="P6" s="96">
        <v>2</v>
      </c>
      <c r="Q6" s="96">
        <v>2</v>
      </c>
      <c r="R6" s="96">
        <v>2</v>
      </c>
      <c r="S6" s="96">
        <v>2</v>
      </c>
      <c r="T6" s="96">
        <v>2</v>
      </c>
      <c r="U6" s="96">
        <v>2</v>
      </c>
      <c r="V6" s="96">
        <v>2</v>
      </c>
      <c r="W6" s="96">
        <v>2</v>
      </c>
      <c r="X6" s="96">
        <v>20</v>
      </c>
      <c r="Y6" s="96">
        <v>20</v>
      </c>
      <c r="Z6" s="96">
        <v>20</v>
      </c>
      <c r="AA6" s="96">
        <v>20</v>
      </c>
      <c r="AB6" s="96">
        <v>20</v>
      </c>
      <c r="AC6" s="97">
        <v>50</v>
      </c>
      <c r="AD6" s="98">
        <v>50</v>
      </c>
      <c r="AE6" s="99">
        <v>100</v>
      </c>
    </row>
    <row r="7" ht="12.75" customHeight="1" spans="1:31">
      <c r="A7" s="100" t="s">
        <v>80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</row>
    <row r="8" ht="16.5" customHeight="1" spans="1:31">
      <c r="A8" s="20">
        <v>1</v>
      </c>
      <c r="B8" s="20" t="s">
        <v>81</v>
      </c>
      <c r="C8" s="101" t="s">
        <v>82</v>
      </c>
      <c r="D8" s="102">
        <v>4.87</v>
      </c>
      <c r="E8" s="102">
        <v>3.08</v>
      </c>
      <c r="F8" s="102">
        <v>4.18</v>
      </c>
      <c r="G8" s="102">
        <v>4.69</v>
      </c>
      <c r="H8" s="102">
        <v>3.08</v>
      </c>
      <c r="I8" s="102">
        <v>4.93</v>
      </c>
      <c r="J8" s="102">
        <v>3.41</v>
      </c>
      <c r="K8" s="102">
        <v>4.39</v>
      </c>
      <c r="L8" s="102">
        <v>3.15</v>
      </c>
      <c r="M8" s="102">
        <v>4.14</v>
      </c>
      <c r="N8" s="102">
        <v>1.21</v>
      </c>
      <c r="O8" s="102">
        <v>1.33</v>
      </c>
      <c r="P8" s="102">
        <v>1.76</v>
      </c>
      <c r="Q8" s="102">
        <v>1.38</v>
      </c>
      <c r="R8" s="102">
        <v>1.75</v>
      </c>
      <c r="S8" s="102">
        <v>1.83</v>
      </c>
      <c r="T8" s="102">
        <v>1.25</v>
      </c>
      <c r="U8" s="102">
        <v>1.08</v>
      </c>
      <c r="V8" s="102">
        <v>1.02</v>
      </c>
      <c r="W8" s="102">
        <v>1.54</v>
      </c>
      <c r="X8" s="102">
        <v>20</v>
      </c>
      <c r="Y8" s="102">
        <v>13.5</v>
      </c>
      <c r="Z8" s="102">
        <v>16.5</v>
      </c>
      <c r="AA8" s="102">
        <v>17.81</v>
      </c>
      <c r="AB8" s="102">
        <v>16.52</v>
      </c>
      <c r="AC8" s="103">
        <f t="shared" ref="AC8:AC27" si="0">(SUM(D8:H8)+SUM(I8:M8))/2+SUM(N8:R8)+SUM(S8:W8)</f>
        <v>34.11</v>
      </c>
      <c r="AD8" s="104">
        <f t="shared" ref="AD8:AD27" si="1">SUM(X8:AB8)/100*50</f>
        <v>42.165</v>
      </c>
      <c r="AE8" s="105">
        <f t="shared" ref="AE8:AE27" si="2">AC8+AD8</f>
        <v>76.275</v>
      </c>
    </row>
    <row r="9" ht="16.5" customHeight="1" spans="1:31">
      <c r="A9" s="33">
        <v>2</v>
      </c>
      <c r="B9" s="33" t="s">
        <v>83</v>
      </c>
      <c r="C9" s="106" t="s">
        <v>84</v>
      </c>
      <c r="D9" s="107">
        <v>5.26</v>
      </c>
      <c r="E9" s="107">
        <v>5.85</v>
      </c>
      <c r="F9" s="107">
        <v>3.6</v>
      </c>
      <c r="G9" s="107">
        <v>3.06</v>
      </c>
      <c r="H9" s="107">
        <v>3.46</v>
      </c>
      <c r="I9" s="107">
        <v>3.38</v>
      </c>
      <c r="J9" s="107">
        <v>5.01</v>
      </c>
      <c r="K9" s="107">
        <v>4.69</v>
      </c>
      <c r="L9" s="107">
        <v>3.65</v>
      </c>
      <c r="M9" s="107">
        <v>5.1</v>
      </c>
      <c r="N9" s="107">
        <v>1.77</v>
      </c>
      <c r="O9" s="107">
        <v>1.17</v>
      </c>
      <c r="P9" s="107">
        <v>1.61</v>
      </c>
      <c r="Q9" s="107">
        <v>1.75</v>
      </c>
      <c r="R9" s="107">
        <v>1.11</v>
      </c>
      <c r="S9" s="107">
        <v>1.82</v>
      </c>
      <c r="T9" s="107">
        <v>1.96</v>
      </c>
      <c r="U9" s="107">
        <v>1.11</v>
      </c>
      <c r="V9" s="107">
        <v>1.03</v>
      </c>
      <c r="W9" s="107">
        <v>1.31</v>
      </c>
      <c r="X9" s="107">
        <v>16.77</v>
      </c>
      <c r="Y9" s="107">
        <v>19.58</v>
      </c>
      <c r="Z9" s="107">
        <v>13.97</v>
      </c>
      <c r="AA9" s="107">
        <v>17.15</v>
      </c>
      <c r="AB9" s="107">
        <v>10.76</v>
      </c>
      <c r="AC9" s="103">
        <f t="shared" si="0"/>
        <v>36.17</v>
      </c>
      <c r="AD9" s="104">
        <f t="shared" si="1"/>
        <v>39.115</v>
      </c>
      <c r="AE9" s="105">
        <f t="shared" si="2"/>
        <v>75.285</v>
      </c>
    </row>
    <row r="10" ht="16.5" customHeight="1" spans="1:31">
      <c r="A10" s="20">
        <v>3</v>
      </c>
      <c r="B10" s="20" t="s">
        <v>85</v>
      </c>
      <c r="C10" s="101" t="s">
        <v>86</v>
      </c>
      <c r="D10" s="102">
        <v>5.07</v>
      </c>
      <c r="E10" s="102">
        <v>4.88</v>
      </c>
      <c r="F10" s="102">
        <v>3.31</v>
      </c>
      <c r="G10" s="102">
        <v>5.32</v>
      </c>
      <c r="H10" s="102">
        <v>5.55</v>
      </c>
      <c r="I10" s="102">
        <v>4.8</v>
      </c>
      <c r="J10" s="102">
        <v>3.36</v>
      </c>
      <c r="K10" s="102">
        <v>5.95</v>
      </c>
      <c r="L10" s="102">
        <v>5.35</v>
      </c>
      <c r="M10" s="102">
        <v>4.04</v>
      </c>
      <c r="N10" s="102">
        <v>1.43</v>
      </c>
      <c r="O10" s="102">
        <v>1.37</v>
      </c>
      <c r="P10" s="102">
        <v>1.51</v>
      </c>
      <c r="Q10" s="102">
        <v>1.34</v>
      </c>
      <c r="R10" s="102">
        <v>1.85</v>
      </c>
      <c r="S10" s="102">
        <v>1.82</v>
      </c>
      <c r="T10" s="102">
        <v>1.11</v>
      </c>
      <c r="U10" s="102">
        <v>1.96</v>
      </c>
      <c r="V10" s="102">
        <v>1.64</v>
      </c>
      <c r="W10" s="102">
        <v>1.83</v>
      </c>
      <c r="X10" s="102">
        <v>17.07</v>
      </c>
      <c r="Y10" s="102">
        <v>14.35</v>
      </c>
      <c r="Z10" s="102">
        <v>17.34</v>
      </c>
      <c r="AA10" s="102">
        <v>19.65</v>
      </c>
      <c r="AB10" s="102">
        <v>12.7</v>
      </c>
      <c r="AC10" s="103">
        <f t="shared" si="0"/>
        <v>39.675</v>
      </c>
      <c r="AD10" s="104">
        <f t="shared" si="1"/>
        <v>40.555</v>
      </c>
      <c r="AE10" s="105">
        <f t="shared" si="2"/>
        <v>80.23</v>
      </c>
    </row>
    <row r="11" ht="16.5" customHeight="1" spans="1:31">
      <c r="A11" s="33">
        <v>4</v>
      </c>
      <c r="B11" s="33" t="s">
        <v>87</v>
      </c>
      <c r="C11" s="106" t="s">
        <v>88</v>
      </c>
      <c r="D11" s="107">
        <v>5.42</v>
      </c>
      <c r="E11" s="107">
        <v>4.61</v>
      </c>
      <c r="F11" s="107">
        <v>4.45</v>
      </c>
      <c r="G11" s="107">
        <v>4.31</v>
      </c>
      <c r="H11" s="107">
        <v>5.19</v>
      </c>
      <c r="I11" s="107">
        <v>3.81</v>
      </c>
      <c r="J11" s="107">
        <v>5.56</v>
      </c>
      <c r="K11" s="107">
        <v>5.49</v>
      </c>
      <c r="L11" s="107">
        <v>3.26</v>
      </c>
      <c r="M11" s="107">
        <v>5.64</v>
      </c>
      <c r="N11" s="107">
        <v>1.24</v>
      </c>
      <c r="O11" s="107">
        <v>1.46</v>
      </c>
      <c r="P11" s="107">
        <v>1.61</v>
      </c>
      <c r="Q11" s="107">
        <v>1.38</v>
      </c>
      <c r="R11" s="107">
        <v>1.03</v>
      </c>
      <c r="S11" s="107">
        <v>1.85</v>
      </c>
      <c r="T11" s="107">
        <v>1.18</v>
      </c>
      <c r="U11" s="107">
        <v>1.21</v>
      </c>
      <c r="V11" s="107">
        <v>1.8</v>
      </c>
      <c r="W11" s="107">
        <v>1.34</v>
      </c>
      <c r="X11" s="107">
        <v>18.8</v>
      </c>
      <c r="Y11" s="107">
        <v>17.01</v>
      </c>
      <c r="Z11" s="107">
        <v>12.76</v>
      </c>
      <c r="AA11" s="107">
        <v>10.1</v>
      </c>
      <c r="AB11" s="107">
        <v>19.48</v>
      </c>
      <c r="AC11" s="103">
        <f t="shared" si="0"/>
        <v>37.97</v>
      </c>
      <c r="AD11" s="104">
        <f t="shared" si="1"/>
        <v>39.075</v>
      </c>
      <c r="AE11" s="105">
        <f t="shared" si="2"/>
        <v>77.045</v>
      </c>
    </row>
    <row r="12" ht="16.5" customHeight="1" spans="1:31">
      <c r="A12" s="20">
        <v>5</v>
      </c>
      <c r="B12" s="20" t="s">
        <v>89</v>
      </c>
      <c r="C12" s="101" t="s">
        <v>90</v>
      </c>
      <c r="D12" s="102">
        <v>3.26</v>
      </c>
      <c r="E12" s="102">
        <v>5.16</v>
      </c>
      <c r="F12" s="102">
        <v>4.47</v>
      </c>
      <c r="G12" s="102">
        <v>5.27</v>
      </c>
      <c r="H12" s="102">
        <v>5.07</v>
      </c>
      <c r="I12" s="102">
        <v>4.94</v>
      </c>
      <c r="J12" s="102">
        <v>4.47</v>
      </c>
      <c r="K12" s="102">
        <v>5.38</v>
      </c>
      <c r="L12" s="102">
        <v>3.28</v>
      </c>
      <c r="M12" s="102">
        <v>3.66</v>
      </c>
      <c r="N12" s="102">
        <v>1.69</v>
      </c>
      <c r="O12" s="102">
        <v>1.31</v>
      </c>
      <c r="P12" s="102">
        <v>1.58</v>
      </c>
      <c r="Q12" s="102">
        <v>1.47</v>
      </c>
      <c r="R12" s="102">
        <v>1.53</v>
      </c>
      <c r="S12" s="102">
        <v>1.43</v>
      </c>
      <c r="T12" s="102">
        <v>1.75</v>
      </c>
      <c r="U12" s="102">
        <v>1.33</v>
      </c>
      <c r="V12" s="102">
        <v>1.7</v>
      </c>
      <c r="W12" s="102">
        <v>1.27</v>
      </c>
      <c r="X12" s="102">
        <v>12.51</v>
      </c>
      <c r="Y12" s="102">
        <v>11.21</v>
      </c>
      <c r="Z12" s="102">
        <v>11.93</v>
      </c>
      <c r="AA12" s="102">
        <v>11.2</v>
      </c>
      <c r="AB12" s="102">
        <v>15.36</v>
      </c>
      <c r="AC12" s="103">
        <f t="shared" si="0"/>
        <v>37.54</v>
      </c>
      <c r="AD12" s="104">
        <f t="shared" si="1"/>
        <v>31.105</v>
      </c>
      <c r="AE12" s="105">
        <f t="shared" si="2"/>
        <v>68.645</v>
      </c>
    </row>
    <row r="13" ht="16.5" customHeight="1" spans="1:31">
      <c r="A13" s="33">
        <v>6</v>
      </c>
      <c r="B13" s="33" t="s">
        <v>91</v>
      </c>
      <c r="C13" s="106" t="s">
        <v>92</v>
      </c>
      <c r="D13" s="107">
        <v>5.29</v>
      </c>
      <c r="E13" s="107">
        <v>3.56</v>
      </c>
      <c r="F13" s="107">
        <v>3.65</v>
      </c>
      <c r="G13" s="107">
        <v>4.45</v>
      </c>
      <c r="H13" s="107">
        <v>5.17</v>
      </c>
      <c r="I13" s="107">
        <v>5.93</v>
      </c>
      <c r="J13" s="107">
        <v>4.57</v>
      </c>
      <c r="K13" s="107">
        <v>3.85</v>
      </c>
      <c r="L13" s="107">
        <v>3.3</v>
      </c>
      <c r="M13" s="107">
        <v>3.58</v>
      </c>
      <c r="N13" s="107">
        <v>1.23</v>
      </c>
      <c r="O13" s="107">
        <v>1.18</v>
      </c>
      <c r="P13" s="107">
        <v>1.01</v>
      </c>
      <c r="Q13" s="107">
        <v>1.53</v>
      </c>
      <c r="R13" s="107">
        <v>1.27</v>
      </c>
      <c r="S13" s="107">
        <v>1.97</v>
      </c>
      <c r="T13" s="107">
        <v>1.55</v>
      </c>
      <c r="U13" s="107">
        <v>1.7</v>
      </c>
      <c r="V13" s="107">
        <v>1.13</v>
      </c>
      <c r="W13" s="107">
        <v>1.87</v>
      </c>
      <c r="X13" s="107">
        <v>14.91</v>
      </c>
      <c r="Y13" s="107">
        <v>18.73</v>
      </c>
      <c r="Z13" s="107">
        <v>15.74</v>
      </c>
      <c r="AA13" s="107">
        <v>14.69</v>
      </c>
      <c r="AB13" s="107">
        <v>14.4</v>
      </c>
      <c r="AC13" s="103">
        <f t="shared" si="0"/>
        <v>36.115</v>
      </c>
      <c r="AD13" s="104">
        <f t="shared" si="1"/>
        <v>39.235</v>
      </c>
      <c r="AE13" s="105">
        <f t="shared" si="2"/>
        <v>75.35</v>
      </c>
    </row>
    <row r="14" ht="16.5" customHeight="1" spans="1:31">
      <c r="A14" s="20">
        <v>7</v>
      </c>
      <c r="B14" s="20" t="s">
        <v>93</v>
      </c>
      <c r="C14" s="101" t="s">
        <v>94</v>
      </c>
      <c r="D14" s="102">
        <v>3.55</v>
      </c>
      <c r="E14" s="102">
        <v>3.15</v>
      </c>
      <c r="F14" s="102">
        <v>5.82</v>
      </c>
      <c r="G14" s="102">
        <v>4.43</v>
      </c>
      <c r="H14" s="102">
        <v>5.47</v>
      </c>
      <c r="I14" s="102">
        <v>4.2</v>
      </c>
      <c r="J14" s="102">
        <v>3.22</v>
      </c>
      <c r="K14" s="102">
        <v>4.89</v>
      </c>
      <c r="L14" s="102">
        <v>3.16</v>
      </c>
      <c r="M14" s="102">
        <v>3.45</v>
      </c>
      <c r="N14" s="102">
        <v>1.56</v>
      </c>
      <c r="O14" s="102">
        <v>1.3</v>
      </c>
      <c r="P14" s="102">
        <v>1.99</v>
      </c>
      <c r="Q14" s="102">
        <v>1.12</v>
      </c>
      <c r="R14" s="102">
        <v>1.76</v>
      </c>
      <c r="S14" s="102">
        <v>1.61</v>
      </c>
      <c r="T14" s="102">
        <v>1.79</v>
      </c>
      <c r="U14" s="102">
        <v>1.23</v>
      </c>
      <c r="V14" s="102">
        <v>1.52</v>
      </c>
      <c r="W14" s="102">
        <v>1.45</v>
      </c>
      <c r="X14" s="102">
        <v>14.43</v>
      </c>
      <c r="Y14" s="102">
        <v>18.6</v>
      </c>
      <c r="Z14" s="102">
        <v>19.9</v>
      </c>
      <c r="AA14" s="102">
        <v>13.05</v>
      </c>
      <c r="AB14" s="102">
        <v>16.21</v>
      </c>
      <c r="AC14" s="103">
        <f t="shared" si="0"/>
        <v>36</v>
      </c>
      <c r="AD14" s="104">
        <f t="shared" si="1"/>
        <v>41.095</v>
      </c>
      <c r="AE14" s="105">
        <f t="shared" si="2"/>
        <v>77.095</v>
      </c>
    </row>
    <row r="15" ht="16.5" customHeight="1" spans="1:31">
      <c r="A15" s="33">
        <v>8</v>
      </c>
      <c r="B15" s="33" t="s">
        <v>95</v>
      </c>
      <c r="C15" s="106" t="s">
        <v>96</v>
      </c>
      <c r="D15" s="107">
        <v>4.83</v>
      </c>
      <c r="E15" s="107">
        <v>5.22</v>
      </c>
      <c r="F15" s="107">
        <v>5.84</v>
      </c>
      <c r="G15" s="107">
        <v>3.62</v>
      </c>
      <c r="H15" s="107">
        <v>3.63</v>
      </c>
      <c r="I15" s="107">
        <v>4.98</v>
      </c>
      <c r="J15" s="107">
        <v>3.47</v>
      </c>
      <c r="K15" s="107">
        <v>3.52</v>
      </c>
      <c r="L15" s="107">
        <v>3.23</v>
      </c>
      <c r="M15" s="107">
        <v>3.01</v>
      </c>
      <c r="N15" s="107">
        <v>1.45</v>
      </c>
      <c r="O15" s="107">
        <v>1.59</v>
      </c>
      <c r="P15" s="107">
        <v>1.29</v>
      </c>
      <c r="Q15" s="107">
        <v>1.23</v>
      </c>
      <c r="R15" s="107">
        <v>1.71</v>
      </c>
      <c r="S15" s="107">
        <v>1.7</v>
      </c>
      <c r="T15" s="107">
        <v>1.45</v>
      </c>
      <c r="U15" s="107">
        <v>1.69</v>
      </c>
      <c r="V15" s="107">
        <v>1.92</v>
      </c>
      <c r="W15" s="107">
        <v>1.79</v>
      </c>
      <c r="X15" s="107">
        <v>16.25</v>
      </c>
      <c r="Y15" s="107">
        <v>16.61</v>
      </c>
      <c r="Z15" s="107">
        <v>19.34</v>
      </c>
      <c r="AA15" s="107">
        <v>14.25</v>
      </c>
      <c r="AB15" s="107">
        <v>15.45</v>
      </c>
      <c r="AC15" s="103">
        <f t="shared" si="0"/>
        <v>36.495</v>
      </c>
      <c r="AD15" s="104">
        <f t="shared" si="1"/>
        <v>40.95</v>
      </c>
      <c r="AE15" s="105">
        <f t="shared" si="2"/>
        <v>77.445</v>
      </c>
    </row>
    <row r="16" ht="16.5" customHeight="1" spans="1:31">
      <c r="A16" s="20">
        <v>9</v>
      </c>
      <c r="B16" s="20" t="s">
        <v>97</v>
      </c>
      <c r="C16" s="101" t="s">
        <v>98</v>
      </c>
      <c r="D16" s="102">
        <v>4.94</v>
      </c>
      <c r="E16" s="102">
        <v>5.73</v>
      </c>
      <c r="F16" s="102">
        <v>5.48</v>
      </c>
      <c r="G16" s="102">
        <v>3.21</v>
      </c>
      <c r="H16" s="102">
        <v>3.5</v>
      </c>
      <c r="I16" s="102">
        <v>3.92</v>
      </c>
      <c r="J16" s="102">
        <v>5.25</v>
      </c>
      <c r="K16" s="102">
        <v>4.71</v>
      </c>
      <c r="L16" s="102">
        <v>3.87</v>
      </c>
      <c r="M16" s="102">
        <v>3.37</v>
      </c>
      <c r="N16" s="102">
        <v>1.69</v>
      </c>
      <c r="O16" s="102">
        <v>1.7</v>
      </c>
      <c r="P16" s="102">
        <v>1.94</v>
      </c>
      <c r="Q16" s="102">
        <v>1.5</v>
      </c>
      <c r="R16" s="102">
        <v>1.49</v>
      </c>
      <c r="S16" s="102">
        <v>1.08</v>
      </c>
      <c r="T16" s="102">
        <v>1.04</v>
      </c>
      <c r="U16" s="102">
        <v>1.43</v>
      </c>
      <c r="V16" s="102">
        <v>1.32</v>
      </c>
      <c r="W16" s="102">
        <v>1.25</v>
      </c>
      <c r="X16" s="102">
        <v>10.91</v>
      </c>
      <c r="Y16" s="102">
        <v>19.62</v>
      </c>
      <c r="Z16" s="102">
        <v>18.36</v>
      </c>
      <c r="AA16" s="102">
        <v>15.75</v>
      </c>
      <c r="AB16" s="102">
        <v>19.51</v>
      </c>
      <c r="AC16" s="103">
        <f t="shared" si="0"/>
        <v>36.43</v>
      </c>
      <c r="AD16" s="104">
        <f t="shared" si="1"/>
        <v>42.075</v>
      </c>
      <c r="AE16" s="105">
        <f t="shared" si="2"/>
        <v>78.505</v>
      </c>
    </row>
    <row r="17" ht="16.5" customHeight="1" spans="1:31">
      <c r="A17" s="33">
        <v>10</v>
      </c>
      <c r="B17" s="33" t="s">
        <v>99</v>
      </c>
      <c r="C17" s="106" t="s">
        <v>100</v>
      </c>
      <c r="D17" s="107">
        <v>6</v>
      </c>
      <c r="E17" s="107">
        <v>5.02</v>
      </c>
      <c r="F17" s="107">
        <v>3.81</v>
      </c>
      <c r="G17" s="107">
        <v>3.12</v>
      </c>
      <c r="H17" s="107">
        <v>5.27</v>
      </c>
      <c r="I17" s="107">
        <v>4.41</v>
      </c>
      <c r="J17" s="107">
        <v>4.95</v>
      </c>
      <c r="K17" s="107">
        <v>5.75</v>
      </c>
      <c r="L17" s="107">
        <v>3.54</v>
      </c>
      <c r="M17" s="107">
        <v>4.76</v>
      </c>
      <c r="N17" s="107">
        <v>1.63</v>
      </c>
      <c r="O17" s="107">
        <v>1.49</v>
      </c>
      <c r="P17" s="107">
        <v>1.09</v>
      </c>
      <c r="Q17" s="107">
        <v>1.35</v>
      </c>
      <c r="R17" s="107">
        <v>1.33</v>
      </c>
      <c r="S17" s="107">
        <v>1.67</v>
      </c>
      <c r="T17" s="107">
        <v>1.86</v>
      </c>
      <c r="U17" s="107">
        <v>1.33</v>
      </c>
      <c r="V17" s="107">
        <v>1.69</v>
      </c>
      <c r="W17" s="107">
        <v>1.29</v>
      </c>
      <c r="X17" s="107">
        <v>19.45</v>
      </c>
      <c r="Y17" s="107">
        <v>18.14</v>
      </c>
      <c r="Z17" s="107">
        <v>15.5</v>
      </c>
      <c r="AA17" s="107">
        <v>14.55</v>
      </c>
      <c r="AB17" s="107">
        <v>13.15</v>
      </c>
      <c r="AC17" s="103">
        <f t="shared" si="0"/>
        <v>38.045</v>
      </c>
      <c r="AD17" s="104">
        <f t="shared" si="1"/>
        <v>40.395</v>
      </c>
      <c r="AE17" s="105">
        <f t="shared" si="2"/>
        <v>78.44</v>
      </c>
    </row>
    <row r="18" ht="16.5" customHeight="1" spans="1:31">
      <c r="A18" s="20">
        <v>11</v>
      </c>
      <c r="B18" s="20" t="s">
        <v>101</v>
      </c>
      <c r="C18" s="101" t="s">
        <v>102</v>
      </c>
      <c r="D18" s="102">
        <v>3.97</v>
      </c>
      <c r="E18" s="102">
        <v>5.91</v>
      </c>
      <c r="F18" s="102">
        <v>4.21</v>
      </c>
      <c r="G18" s="102">
        <v>4.54</v>
      </c>
      <c r="H18" s="102">
        <v>5.96</v>
      </c>
      <c r="I18" s="102">
        <v>4.97</v>
      </c>
      <c r="J18" s="102">
        <v>4.63</v>
      </c>
      <c r="K18" s="102">
        <v>4.24</v>
      </c>
      <c r="L18" s="102">
        <v>3.56</v>
      </c>
      <c r="M18" s="102">
        <v>4.09</v>
      </c>
      <c r="N18" s="102">
        <v>1.76</v>
      </c>
      <c r="O18" s="102">
        <v>1.63</v>
      </c>
      <c r="P18" s="102">
        <v>1.76</v>
      </c>
      <c r="Q18" s="102">
        <v>1.2</v>
      </c>
      <c r="R18" s="102">
        <v>1.55</v>
      </c>
      <c r="S18" s="102">
        <v>1.93</v>
      </c>
      <c r="T18" s="102">
        <v>1.44</v>
      </c>
      <c r="U18" s="102">
        <v>1.7</v>
      </c>
      <c r="V18" s="102">
        <v>1.12</v>
      </c>
      <c r="W18" s="102">
        <v>1.97</v>
      </c>
      <c r="X18" s="102">
        <v>16.09</v>
      </c>
      <c r="Y18" s="102">
        <v>12.39</v>
      </c>
      <c r="Z18" s="102">
        <v>11.58</v>
      </c>
      <c r="AA18" s="102">
        <v>15.51</v>
      </c>
      <c r="AB18" s="102">
        <v>15.52</v>
      </c>
      <c r="AC18" s="103">
        <f t="shared" si="0"/>
        <v>39.1</v>
      </c>
      <c r="AD18" s="104">
        <f t="shared" si="1"/>
        <v>35.545</v>
      </c>
      <c r="AE18" s="105">
        <f t="shared" si="2"/>
        <v>74.645</v>
      </c>
    </row>
    <row r="19" ht="16.5" customHeight="1" spans="1:31">
      <c r="A19" s="33">
        <v>12</v>
      </c>
      <c r="B19" s="33" t="s">
        <v>103</v>
      </c>
      <c r="C19" s="106" t="s">
        <v>104</v>
      </c>
      <c r="D19" s="107">
        <v>3.28</v>
      </c>
      <c r="E19" s="107">
        <v>5.98</v>
      </c>
      <c r="F19" s="107">
        <v>5.74</v>
      </c>
      <c r="G19" s="107">
        <v>4.38</v>
      </c>
      <c r="H19" s="107">
        <v>3.35</v>
      </c>
      <c r="I19" s="107">
        <v>5.5</v>
      </c>
      <c r="J19" s="107">
        <v>4.5</v>
      </c>
      <c r="K19" s="107">
        <v>5.15</v>
      </c>
      <c r="L19" s="107">
        <v>4.53</v>
      </c>
      <c r="M19" s="107">
        <v>3.82</v>
      </c>
      <c r="N19" s="107">
        <v>1.83</v>
      </c>
      <c r="O19" s="107">
        <v>1.98</v>
      </c>
      <c r="P19" s="107">
        <v>1.24</v>
      </c>
      <c r="Q19" s="107">
        <v>1.55</v>
      </c>
      <c r="R19" s="107">
        <v>1.38</v>
      </c>
      <c r="S19" s="107">
        <v>1.92</v>
      </c>
      <c r="T19" s="107">
        <v>1.51</v>
      </c>
      <c r="U19" s="107">
        <v>1.88</v>
      </c>
      <c r="V19" s="107">
        <v>1.86</v>
      </c>
      <c r="W19" s="107">
        <v>1.28</v>
      </c>
      <c r="X19" s="107">
        <v>17.9</v>
      </c>
      <c r="Y19" s="107">
        <v>14.15</v>
      </c>
      <c r="Z19" s="107">
        <v>19.34</v>
      </c>
      <c r="AA19" s="107">
        <v>15.08</v>
      </c>
      <c r="AB19" s="107">
        <v>18.21</v>
      </c>
      <c r="AC19" s="103">
        <f t="shared" si="0"/>
        <v>39.545</v>
      </c>
      <c r="AD19" s="104">
        <f t="shared" si="1"/>
        <v>42.34</v>
      </c>
      <c r="AE19" s="105">
        <f t="shared" si="2"/>
        <v>81.885</v>
      </c>
    </row>
    <row r="20" ht="16.5" customHeight="1" spans="1:31">
      <c r="A20" s="20">
        <v>13</v>
      </c>
      <c r="B20" s="20" t="s">
        <v>105</v>
      </c>
      <c r="C20" s="101" t="s">
        <v>106</v>
      </c>
      <c r="D20" s="102">
        <v>3.85</v>
      </c>
      <c r="E20" s="102">
        <v>3.9</v>
      </c>
      <c r="F20" s="102">
        <v>4.76</v>
      </c>
      <c r="G20" s="102">
        <v>6</v>
      </c>
      <c r="H20" s="102">
        <v>4.47</v>
      </c>
      <c r="I20" s="102">
        <v>3.45</v>
      </c>
      <c r="J20" s="102">
        <v>4.62</v>
      </c>
      <c r="K20" s="102">
        <v>4.04</v>
      </c>
      <c r="L20" s="102">
        <v>4.66</v>
      </c>
      <c r="M20" s="102">
        <v>4.63</v>
      </c>
      <c r="N20" s="102">
        <v>1.46</v>
      </c>
      <c r="O20" s="102">
        <v>1.32</v>
      </c>
      <c r="P20" s="102">
        <v>1.19</v>
      </c>
      <c r="Q20" s="102">
        <v>1.7</v>
      </c>
      <c r="R20" s="102">
        <v>1.57</v>
      </c>
      <c r="S20" s="102">
        <v>1.23</v>
      </c>
      <c r="T20" s="102">
        <v>1.78</v>
      </c>
      <c r="U20" s="102">
        <v>1.04</v>
      </c>
      <c r="V20" s="102">
        <v>1.74</v>
      </c>
      <c r="W20" s="102">
        <v>1.71</v>
      </c>
      <c r="X20" s="102">
        <v>18.11</v>
      </c>
      <c r="Y20" s="102">
        <v>13.86</v>
      </c>
      <c r="Z20" s="102">
        <v>16.64</v>
      </c>
      <c r="AA20" s="102">
        <v>18.21</v>
      </c>
      <c r="AB20" s="102">
        <v>19.81</v>
      </c>
      <c r="AC20" s="103">
        <f t="shared" si="0"/>
        <v>36.93</v>
      </c>
      <c r="AD20" s="104">
        <f t="shared" si="1"/>
        <v>43.315</v>
      </c>
      <c r="AE20" s="105">
        <f t="shared" si="2"/>
        <v>80.245</v>
      </c>
    </row>
    <row r="21" ht="16.5" customHeight="1" spans="1:31">
      <c r="A21" s="33">
        <v>14</v>
      </c>
      <c r="B21" s="33" t="s">
        <v>107</v>
      </c>
      <c r="C21" s="106" t="s">
        <v>108</v>
      </c>
      <c r="D21" s="107">
        <v>4.49</v>
      </c>
      <c r="E21" s="107">
        <v>3.11</v>
      </c>
      <c r="F21" s="107">
        <v>4.51</v>
      </c>
      <c r="G21" s="107">
        <v>4.77</v>
      </c>
      <c r="H21" s="107">
        <v>5.61</v>
      </c>
      <c r="I21" s="107">
        <v>5.62</v>
      </c>
      <c r="J21" s="107">
        <v>4.32</v>
      </c>
      <c r="K21" s="107">
        <v>4.58</v>
      </c>
      <c r="L21" s="107">
        <v>4.37</v>
      </c>
      <c r="M21" s="107">
        <v>5.17</v>
      </c>
      <c r="N21" s="107">
        <v>1.41</v>
      </c>
      <c r="O21" s="107">
        <v>1.65</v>
      </c>
      <c r="P21" s="107">
        <v>1.15</v>
      </c>
      <c r="Q21" s="107">
        <v>1.47</v>
      </c>
      <c r="R21" s="107">
        <v>1.97</v>
      </c>
      <c r="S21" s="107">
        <v>1.34</v>
      </c>
      <c r="T21" s="107">
        <v>1.69</v>
      </c>
      <c r="U21" s="107">
        <v>1.65</v>
      </c>
      <c r="V21" s="107">
        <v>1.85</v>
      </c>
      <c r="W21" s="107">
        <v>1.85</v>
      </c>
      <c r="X21" s="107">
        <v>18.59</v>
      </c>
      <c r="Y21" s="107">
        <v>13.8</v>
      </c>
      <c r="Z21" s="107">
        <v>13.17</v>
      </c>
      <c r="AA21" s="107">
        <v>17.19</v>
      </c>
      <c r="AB21" s="107">
        <v>17.59</v>
      </c>
      <c r="AC21" s="103">
        <f t="shared" si="0"/>
        <v>39.305</v>
      </c>
      <c r="AD21" s="104">
        <f t="shared" si="1"/>
        <v>40.17</v>
      </c>
      <c r="AE21" s="105">
        <f t="shared" si="2"/>
        <v>79.475</v>
      </c>
    </row>
    <row r="22" ht="16.5" customHeight="1" spans="1:31">
      <c r="A22" s="20">
        <v>15</v>
      </c>
      <c r="B22" s="20" t="s">
        <v>109</v>
      </c>
      <c r="C22" s="101" t="s">
        <v>110</v>
      </c>
      <c r="D22" s="102">
        <v>5.62</v>
      </c>
      <c r="E22" s="102">
        <v>3.11</v>
      </c>
      <c r="F22" s="102">
        <v>3.21</v>
      </c>
      <c r="G22" s="102">
        <v>4.89</v>
      </c>
      <c r="H22" s="102">
        <v>5.76</v>
      </c>
      <c r="I22" s="102">
        <v>5.99</v>
      </c>
      <c r="J22" s="102">
        <v>5.24</v>
      </c>
      <c r="K22" s="102">
        <v>4.3</v>
      </c>
      <c r="L22" s="102">
        <v>3.3</v>
      </c>
      <c r="M22" s="102">
        <v>4.9</v>
      </c>
      <c r="N22" s="102">
        <v>1.87</v>
      </c>
      <c r="O22" s="102">
        <v>1.44</v>
      </c>
      <c r="P22" s="102">
        <v>1.69</v>
      </c>
      <c r="Q22" s="102">
        <v>1.9</v>
      </c>
      <c r="R22" s="102">
        <v>1.05</v>
      </c>
      <c r="S22" s="102">
        <v>1.8</v>
      </c>
      <c r="T22" s="102">
        <v>1.29</v>
      </c>
      <c r="U22" s="102">
        <v>1.37</v>
      </c>
      <c r="V22" s="102">
        <v>1.15</v>
      </c>
      <c r="W22" s="102">
        <v>1.53</v>
      </c>
      <c r="X22" s="102">
        <v>15.66</v>
      </c>
      <c r="Y22" s="102">
        <v>17.93</v>
      </c>
      <c r="Z22" s="102">
        <v>11.7</v>
      </c>
      <c r="AA22" s="102">
        <v>10.79</v>
      </c>
      <c r="AB22" s="102">
        <v>18.71</v>
      </c>
      <c r="AC22" s="103">
        <f t="shared" si="0"/>
        <v>38.25</v>
      </c>
      <c r="AD22" s="104">
        <f t="shared" si="1"/>
        <v>37.395</v>
      </c>
      <c r="AE22" s="105">
        <f t="shared" si="2"/>
        <v>75.645</v>
      </c>
    </row>
    <row r="23" ht="16.5" customHeight="1" spans="1:31">
      <c r="A23" s="33">
        <v>16</v>
      </c>
      <c r="B23" s="33" t="s">
        <v>111</v>
      </c>
      <c r="C23" s="106" t="s">
        <v>112</v>
      </c>
      <c r="D23" s="107">
        <v>4.86</v>
      </c>
      <c r="E23" s="107">
        <v>3.72</v>
      </c>
      <c r="F23" s="107">
        <v>5.74</v>
      </c>
      <c r="G23" s="107">
        <v>3.43</v>
      </c>
      <c r="H23" s="107">
        <v>4.38</v>
      </c>
      <c r="I23" s="107">
        <v>3.76</v>
      </c>
      <c r="J23" s="107">
        <v>3.77</v>
      </c>
      <c r="K23" s="107">
        <v>3.03</v>
      </c>
      <c r="L23" s="107">
        <v>5.41</v>
      </c>
      <c r="M23" s="107">
        <v>5.7</v>
      </c>
      <c r="N23" s="107">
        <v>1.68</v>
      </c>
      <c r="O23" s="107">
        <v>1.16</v>
      </c>
      <c r="P23" s="107">
        <v>1.44</v>
      </c>
      <c r="Q23" s="107">
        <v>1.35</v>
      </c>
      <c r="R23" s="107">
        <v>1.59</v>
      </c>
      <c r="S23" s="107">
        <v>1.64</v>
      </c>
      <c r="T23" s="107">
        <v>1.42</v>
      </c>
      <c r="U23" s="107">
        <v>1.25</v>
      </c>
      <c r="V23" s="107">
        <v>1.85</v>
      </c>
      <c r="W23" s="107">
        <v>1.2</v>
      </c>
      <c r="X23" s="107">
        <v>13.85</v>
      </c>
      <c r="Y23" s="107">
        <v>14.83</v>
      </c>
      <c r="Z23" s="107">
        <v>12.37</v>
      </c>
      <c r="AA23" s="107">
        <v>15.72</v>
      </c>
      <c r="AB23" s="107">
        <v>15.75</v>
      </c>
      <c r="AC23" s="103">
        <f t="shared" si="0"/>
        <v>36.48</v>
      </c>
      <c r="AD23" s="104">
        <f t="shared" si="1"/>
        <v>36.26</v>
      </c>
      <c r="AE23" s="105">
        <f t="shared" si="2"/>
        <v>72.74</v>
      </c>
    </row>
    <row r="24" ht="16.5" customHeight="1" spans="1:31">
      <c r="A24" s="20">
        <v>17</v>
      </c>
      <c r="B24" s="20" t="s">
        <v>113</v>
      </c>
      <c r="C24" s="101" t="s">
        <v>114</v>
      </c>
      <c r="D24" s="102">
        <v>5.98</v>
      </c>
      <c r="E24" s="102">
        <v>3.89</v>
      </c>
      <c r="F24" s="102">
        <v>5.93</v>
      </c>
      <c r="G24" s="102">
        <v>4.97</v>
      </c>
      <c r="H24" s="102">
        <v>3.82</v>
      </c>
      <c r="I24" s="102">
        <v>4.7</v>
      </c>
      <c r="J24" s="102">
        <v>5.06</v>
      </c>
      <c r="K24" s="102">
        <v>5.23</v>
      </c>
      <c r="L24" s="102">
        <v>3.15</v>
      </c>
      <c r="M24" s="102">
        <v>4.82</v>
      </c>
      <c r="N24" s="102">
        <v>1.5</v>
      </c>
      <c r="O24" s="102">
        <v>1.9</v>
      </c>
      <c r="P24" s="102">
        <v>1.29</v>
      </c>
      <c r="Q24" s="102">
        <v>1.8</v>
      </c>
      <c r="R24" s="102">
        <v>1.61</v>
      </c>
      <c r="S24" s="102">
        <v>1.35</v>
      </c>
      <c r="T24" s="102">
        <v>1.64</v>
      </c>
      <c r="U24" s="102">
        <v>1.62</v>
      </c>
      <c r="V24" s="102">
        <v>1.68</v>
      </c>
      <c r="W24" s="102">
        <v>1.72</v>
      </c>
      <c r="X24" s="102">
        <v>16.59</v>
      </c>
      <c r="Y24" s="102">
        <v>18.38</v>
      </c>
      <c r="Z24" s="102">
        <v>16.28</v>
      </c>
      <c r="AA24" s="102">
        <v>19.03</v>
      </c>
      <c r="AB24" s="102">
        <v>16.46</v>
      </c>
      <c r="AC24" s="103">
        <f t="shared" si="0"/>
        <v>39.885</v>
      </c>
      <c r="AD24" s="104">
        <f t="shared" si="1"/>
        <v>43.37</v>
      </c>
      <c r="AE24" s="105">
        <f t="shared" si="2"/>
        <v>83.255</v>
      </c>
    </row>
    <row r="25" ht="16.5" customHeight="1" spans="1:31">
      <c r="A25" s="33">
        <v>18</v>
      </c>
      <c r="B25" s="33" t="s">
        <v>115</v>
      </c>
      <c r="C25" s="106" t="s">
        <v>116</v>
      </c>
      <c r="D25" s="107">
        <v>3.93</v>
      </c>
      <c r="E25" s="107">
        <v>4.32</v>
      </c>
      <c r="F25" s="107">
        <v>4.74</v>
      </c>
      <c r="G25" s="107">
        <v>5.2</v>
      </c>
      <c r="H25" s="107">
        <v>3.27</v>
      </c>
      <c r="I25" s="107">
        <v>3.89</v>
      </c>
      <c r="J25" s="107">
        <v>5.24</v>
      </c>
      <c r="K25" s="107">
        <v>3.53</v>
      </c>
      <c r="L25" s="107">
        <v>3.4</v>
      </c>
      <c r="M25" s="107">
        <v>4.62</v>
      </c>
      <c r="N25" s="107">
        <v>1.97</v>
      </c>
      <c r="O25" s="107">
        <v>1.53</v>
      </c>
      <c r="P25" s="107">
        <v>1.91</v>
      </c>
      <c r="Q25" s="107">
        <v>1.83</v>
      </c>
      <c r="R25" s="107">
        <v>1.26</v>
      </c>
      <c r="S25" s="107">
        <v>1.82</v>
      </c>
      <c r="T25" s="107">
        <v>1.48</v>
      </c>
      <c r="U25" s="107">
        <v>1.81</v>
      </c>
      <c r="V25" s="107">
        <v>1.75</v>
      </c>
      <c r="W25" s="107">
        <v>1.34</v>
      </c>
      <c r="X25" s="107">
        <v>11.15</v>
      </c>
      <c r="Y25" s="107">
        <v>19.63</v>
      </c>
      <c r="Z25" s="107">
        <v>11.41</v>
      </c>
      <c r="AA25" s="107">
        <v>19.67</v>
      </c>
      <c r="AB25" s="107">
        <v>18.6</v>
      </c>
      <c r="AC25" s="103">
        <f t="shared" si="0"/>
        <v>37.77</v>
      </c>
      <c r="AD25" s="104">
        <f t="shared" si="1"/>
        <v>40.23</v>
      </c>
      <c r="AE25" s="105">
        <f t="shared" si="2"/>
        <v>78</v>
      </c>
    </row>
    <row r="26" ht="16.5" customHeight="1" spans="1:31">
      <c r="A26" s="20">
        <v>19</v>
      </c>
      <c r="B26" s="20" t="s">
        <v>117</v>
      </c>
      <c r="C26" s="101" t="s">
        <v>118</v>
      </c>
      <c r="D26" s="102">
        <v>5.17</v>
      </c>
      <c r="E26" s="102">
        <v>5.94</v>
      </c>
      <c r="F26" s="102">
        <v>5.9</v>
      </c>
      <c r="G26" s="102">
        <v>5.41</v>
      </c>
      <c r="H26" s="102">
        <v>4.1</v>
      </c>
      <c r="I26" s="102">
        <v>5.37</v>
      </c>
      <c r="J26" s="102">
        <v>3.04</v>
      </c>
      <c r="K26" s="102">
        <v>4.61</v>
      </c>
      <c r="L26" s="102">
        <v>4.36</v>
      </c>
      <c r="M26" s="102">
        <v>5.02</v>
      </c>
      <c r="N26" s="102">
        <v>1.67</v>
      </c>
      <c r="O26" s="102">
        <v>1.58</v>
      </c>
      <c r="P26" s="102">
        <v>1.82</v>
      </c>
      <c r="Q26" s="102">
        <v>1.94</v>
      </c>
      <c r="R26" s="102">
        <v>1.11</v>
      </c>
      <c r="S26" s="102">
        <v>1.23</v>
      </c>
      <c r="T26" s="102">
        <v>1.03</v>
      </c>
      <c r="U26" s="102">
        <v>1.88</v>
      </c>
      <c r="V26" s="102">
        <v>1.56</v>
      </c>
      <c r="W26" s="102">
        <v>1.92</v>
      </c>
      <c r="X26" s="102">
        <v>12.21</v>
      </c>
      <c r="Y26" s="102">
        <v>10.63</v>
      </c>
      <c r="Z26" s="102">
        <v>18.24</v>
      </c>
      <c r="AA26" s="102">
        <v>19.09</v>
      </c>
      <c r="AB26" s="102">
        <v>13.02</v>
      </c>
      <c r="AC26" s="103">
        <f t="shared" si="0"/>
        <v>40.2</v>
      </c>
      <c r="AD26" s="104">
        <f t="shared" si="1"/>
        <v>36.595</v>
      </c>
      <c r="AE26" s="105">
        <f t="shared" si="2"/>
        <v>76.795</v>
      </c>
    </row>
    <row r="27" ht="16.5" customHeight="1" spans="1:31">
      <c r="A27" s="33">
        <v>20</v>
      </c>
      <c r="B27" s="33" t="s">
        <v>119</v>
      </c>
      <c r="C27" s="106" t="s">
        <v>120</v>
      </c>
      <c r="D27" s="107">
        <v>4.22</v>
      </c>
      <c r="E27" s="107">
        <v>3.42</v>
      </c>
      <c r="F27" s="107">
        <v>5.84</v>
      </c>
      <c r="G27" s="107">
        <v>3.91</v>
      </c>
      <c r="H27" s="107">
        <v>4.48</v>
      </c>
      <c r="I27" s="107">
        <v>3.29</v>
      </c>
      <c r="J27" s="107">
        <v>5.66</v>
      </c>
      <c r="K27" s="107">
        <v>3.41</v>
      </c>
      <c r="L27" s="107">
        <v>4.36</v>
      </c>
      <c r="M27" s="107">
        <v>5.01</v>
      </c>
      <c r="N27" s="107">
        <v>1.74</v>
      </c>
      <c r="O27" s="107">
        <v>1.95</v>
      </c>
      <c r="P27" s="107">
        <v>1.42</v>
      </c>
      <c r="Q27" s="107">
        <v>1.74</v>
      </c>
      <c r="R27" s="107">
        <v>1.15</v>
      </c>
      <c r="S27" s="107">
        <v>1.41</v>
      </c>
      <c r="T27" s="107">
        <v>1.1</v>
      </c>
      <c r="U27" s="107">
        <v>1.49</v>
      </c>
      <c r="V27" s="107">
        <v>1.41</v>
      </c>
      <c r="W27" s="107">
        <v>1.95</v>
      </c>
      <c r="X27" s="107">
        <v>10.33</v>
      </c>
      <c r="Y27" s="107">
        <v>13.71</v>
      </c>
      <c r="Z27" s="107">
        <v>14.43</v>
      </c>
      <c r="AA27" s="107">
        <v>19.51</v>
      </c>
      <c r="AB27" s="107">
        <v>18.55</v>
      </c>
      <c r="AC27" s="103">
        <f t="shared" si="0"/>
        <v>37.16</v>
      </c>
      <c r="AD27" s="104">
        <f t="shared" si="1"/>
        <v>38.265</v>
      </c>
      <c r="AE27" s="105">
        <f t="shared" si="2"/>
        <v>75.425</v>
      </c>
    </row>
    <row r="28" ht="15.15"/>
    <row r="29" ht="19.5" customHeight="1" spans="1:31">
      <c r="A29" s="73" t="s">
        <v>121</v>
      </c>
      <c r="B29" s="73"/>
      <c r="C29" s="73"/>
      <c r="D29" s="108">
        <f t="shared" ref="D29:AE29" si="3">AVERAGE(D8:D27)</f>
        <v>4.693</v>
      </c>
      <c r="E29" s="108">
        <f t="shared" si="3"/>
        <v>4.478</v>
      </c>
      <c r="F29" s="108">
        <f t="shared" si="3"/>
        <v>4.7595</v>
      </c>
      <c r="G29" s="108">
        <f t="shared" si="3"/>
        <v>4.449</v>
      </c>
      <c r="H29" s="108">
        <f t="shared" si="3"/>
        <v>4.5295</v>
      </c>
      <c r="I29" s="108">
        <f t="shared" si="3"/>
        <v>4.592</v>
      </c>
      <c r="J29" s="108">
        <f t="shared" si="3"/>
        <v>4.4675</v>
      </c>
      <c r="K29" s="108">
        <f t="shared" si="3"/>
        <v>4.537</v>
      </c>
      <c r="L29" s="108">
        <f t="shared" si="3"/>
        <v>3.8445</v>
      </c>
      <c r="M29" s="108">
        <f t="shared" si="3"/>
        <v>4.4265</v>
      </c>
      <c r="N29" s="108">
        <f t="shared" si="3"/>
        <v>1.5895</v>
      </c>
      <c r="O29" s="108">
        <f t="shared" si="3"/>
        <v>1.502</v>
      </c>
      <c r="P29" s="108">
        <f t="shared" si="3"/>
        <v>1.515</v>
      </c>
      <c r="Q29" s="108">
        <f t="shared" si="3"/>
        <v>1.5265</v>
      </c>
      <c r="R29" s="108">
        <f t="shared" si="3"/>
        <v>1.4535</v>
      </c>
      <c r="S29" s="108">
        <f t="shared" si="3"/>
        <v>1.6225</v>
      </c>
      <c r="T29" s="108">
        <f t="shared" si="3"/>
        <v>1.466</v>
      </c>
      <c r="U29" s="108">
        <f t="shared" si="3"/>
        <v>1.488</v>
      </c>
      <c r="V29" s="108">
        <f t="shared" si="3"/>
        <v>1.537</v>
      </c>
      <c r="W29" s="108">
        <f t="shared" si="3"/>
        <v>1.5705</v>
      </c>
      <c r="X29" s="108">
        <f t="shared" si="3"/>
        <v>15.579</v>
      </c>
      <c r="Y29" s="108">
        <f t="shared" si="3"/>
        <v>15.833</v>
      </c>
      <c r="Z29" s="108">
        <f t="shared" si="3"/>
        <v>15.325</v>
      </c>
      <c r="AA29" s="108">
        <f t="shared" si="3"/>
        <v>15.9</v>
      </c>
      <c r="AB29" s="108">
        <f t="shared" si="3"/>
        <v>16.288</v>
      </c>
      <c r="AC29" s="109">
        <f t="shared" si="3"/>
        <v>37.65875</v>
      </c>
      <c r="AD29" s="108">
        <f t="shared" si="3"/>
        <v>39.4625</v>
      </c>
      <c r="AE29" s="96">
        <f t="shared" si="3"/>
        <v>77.12125</v>
      </c>
    </row>
    <row r="30" ht="15.15"/>
    <row r="31" ht="21.75" customHeight="1" spans="1:31">
      <c r="A31" s="110" t="s">
        <v>122</v>
      </c>
      <c r="B31" s="110"/>
      <c r="C31" s="110"/>
      <c r="D31" s="111">
        <f>(IFERROR(D29/D6,0)+IFERROR(I29/I6,0)+IFERROR(N29/N6,0)+IFERROR(S29/S6,0)+IFERROR(X29/X6,0))/5</f>
        <v>0.78649</v>
      </c>
      <c r="E31" s="111">
        <f>(IFERROR(E29/E6,0)+IFERROR(J29/J6,0)+IFERROR(O29/O6,0)+IFERROR(T29/T6,0)+IFERROR(Y29/Y6,0))/5</f>
        <v>0.753313333333333</v>
      </c>
      <c r="F31" s="111">
        <f>(IFERROR(F29/F6,0)+IFERROR(K29/K6,0)+IFERROR(P29/P6,0)+IFERROR(U29/U6,0)+IFERROR(Z29/Z6,0))/5</f>
        <v>0.763433333333333</v>
      </c>
      <c r="G31" s="111">
        <f>(IFERROR(G29/G6,0)+IFERROR(L29/L6,0)+IFERROR(Q29/Q6,0)+IFERROR(V29/V6,0)+IFERROR(AA29/AA6,0))/5</f>
        <v>0.7418</v>
      </c>
      <c r="H31" s="111">
        <f>(IFERROR(H29/H6,0)+IFERROR(M29/M6,0)+IFERROR(R29/R6,0)+IFERROR(W29/W6,0)+IFERROR(AB29/AB6,0))/5</f>
        <v>0.763813333333333</v>
      </c>
    </row>
    <row r="32" ht="19.5" customHeight="1" spans="1:31">
      <c r="A32" s="112" t="s">
        <v>123</v>
      </c>
      <c r="B32" s="112"/>
      <c r="C32" s="112"/>
      <c r="D32" s="113">
        <f>(IFERROR(D29/D6,0)+IFERROR(I29/I6,0)+IFERROR(N29/N6,0)+IFERROR(S29/S6,0))/4</f>
        <v>0.788375</v>
      </c>
      <c r="E32" s="113">
        <f>(IFERROR(E29/E6,0)+IFERROR(J29/J6,0)+IFERROR(O29/O6,0)+IFERROR(T29/T6,0))/4</f>
        <v>0.743729166666667</v>
      </c>
      <c r="F32" s="113">
        <f>(IFERROR(F29/F6,0)+IFERROR(K29/K6,0)+IFERROR(P29/P6,0)+IFERROR(U29/U6,0))/4</f>
        <v>0.762729166666667</v>
      </c>
      <c r="G32" s="113">
        <f>(IFERROR(G29/G6,0)+IFERROR(L29/L6,0)+IFERROR(Q29/Q6,0)+IFERROR(V29/V6,0))/4</f>
        <v>0.7285</v>
      </c>
      <c r="H32" s="113">
        <f>(IFERROR(H29/H6,0)+IFERROR(M29/M6,0)+IFERROR(R29/R6,0)+IFERROR(W29/W6,0))/4</f>
        <v>0.751166666666667</v>
      </c>
    </row>
    <row r="33" ht="19.5" customHeight="1" spans="1:8">
      <c r="A33" s="76" t="s">
        <v>124</v>
      </c>
      <c r="B33" s="76"/>
      <c r="C33" s="76"/>
      <c r="D33" s="114">
        <f>IFERROR(X29/X6,0)</f>
        <v>0.77895</v>
      </c>
      <c r="E33" s="114">
        <f>IFERROR(Y29/Y6,0)</f>
        <v>0.79165</v>
      </c>
      <c r="F33" s="114">
        <f>IFERROR(Z29/Z6,0)</f>
        <v>0.76625</v>
      </c>
      <c r="G33" s="114">
        <f>IFERROR(AA29/AA6,0)</f>
        <v>0.795</v>
      </c>
      <c r="H33" s="114">
        <f>IFERROR(AB29/AB6,0)</f>
        <v>0.8144</v>
      </c>
    </row>
    <row r="34" ht="19.5" customHeight="1" spans="1:8">
      <c r="A34" s="76" t="s">
        <v>125</v>
      </c>
      <c r="B34" s="76"/>
      <c r="C34" s="76"/>
      <c r="D34" s="77">
        <f>IF(D31&gt;=0.6,3,IF(D31&gt;=0.4,2,1))</f>
        <v>3</v>
      </c>
      <c r="E34" s="77">
        <f>IF(E31&gt;=0.6,3,IF(E31&gt;=0.4,2,1))</f>
        <v>3</v>
      </c>
      <c r="F34" s="77">
        <f>IF(F31&gt;=0.6,3,IF(F31&gt;=0.4,2,1))</f>
        <v>3</v>
      </c>
      <c r="G34" s="77">
        <f>IF(G31&gt;=0.6,3,IF(G31&gt;=0.4,2,1))</f>
        <v>3</v>
      </c>
      <c r="H34" s="77">
        <f>IF(H31&gt;=0.6,3,IF(H31&gt;=0.4,2,1))</f>
        <v>3</v>
      </c>
    </row>
  </sheetData>
  <mergeCells count="15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AE7"/>
    <mergeCell ref="A29:C29"/>
    <mergeCell ref="A31:C31"/>
    <mergeCell ref="A32:C32"/>
    <mergeCell ref="A33:C33"/>
    <mergeCell ref="A34:C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4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E1"/>
    </sheetView>
  </sheetViews>
  <sheetFormatPr defaultColWidth="8.67592592592593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1.5" customHeight="1" spans="1:31">
      <c r="A1" s="47" t="s">
        <v>127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ht="13.5" customHeight="1" spans="1:31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4.5" customHeight="1"/>
    <row r="4" ht="19.5" customHeight="1" spans="1:31">
      <c r="A4" s="3" t="s">
        <v>66</v>
      </c>
      <c r="B4" s="3"/>
      <c r="C4" s="3"/>
      <c r="D4" s="84" t="s">
        <v>67</v>
      </c>
      <c r="E4" s="84"/>
      <c r="F4" s="84"/>
      <c r="G4" s="84"/>
      <c r="H4" s="84"/>
      <c r="I4" s="76" t="s">
        <v>68</v>
      </c>
      <c r="J4" s="76"/>
      <c r="K4" s="76"/>
      <c r="L4" s="76"/>
      <c r="M4" s="76"/>
      <c r="N4" s="85" t="s">
        <v>69</v>
      </c>
      <c r="O4" s="85"/>
      <c r="P4" s="85"/>
      <c r="Q4" s="85"/>
      <c r="R4" s="85"/>
      <c r="S4" s="86" t="s">
        <v>70</v>
      </c>
      <c r="T4" s="86"/>
      <c r="U4" s="86"/>
      <c r="V4" s="86"/>
      <c r="W4" s="86"/>
      <c r="X4" s="73" t="s">
        <v>71</v>
      </c>
      <c r="Y4" s="73"/>
      <c r="Z4" s="73"/>
      <c r="AA4" s="73"/>
      <c r="AB4" s="73"/>
      <c r="AC4" s="6" t="s">
        <v>72</v>
      </c>
      <c r="AD4" s="4" t="s">
        <v>73</v>
      </c>
      <c r="AE4" s="87" t="s">
        <v>74</v>
      </c>
    </row>
    <row r="5" ht="18" customHeight="1" spans="1:31">
      <c r="A5" s="88" t="s">
        <v>75</v>
      </c>
      <c r="B5" s="88" t="s">
        <v>76</v>
      </c>
      <c r="C5" s="88" t="s">
        <v>77</v>
      </c>
      <c r="D5" s="83" t="s">
        <v>9</v>
      </c>
      <c r="E5" s="83" t="s">
        <v>10</v>
      </c>
      <c r="F5" s="83" t="s">
        <v>11</v>
      </c>
      <c r="G5" s="83" t="s">
        <v>12</v>
      </c>
      <c r="H5" s="83" t="s">
        <v>13</v>
      </c>
      <c r="I5" s="89" t="s">
        <v>9</v>
      </c>
      <c r="J5" s="89" t="s">
        <v>10</v>
      </c>
      <c r="K5" s="89" t="s">
        <v>11</v>
      </c>
      <c r="L5" s="89" t="s">
        <v>12</v>
      </c>
      <c r="M5" s="89" t="s">
        <v>13</v>
      </c>
      <c r="N5" s="31" t="s">
        <v>9</v>
      </c>
      <c r="O5" s="31" t="s">
        <v>10</v>
      </c>
      <c r="P5" s="31" t="s">
        <v>11</v>
      </c>
      <c r="Q5" s="31" t="s">
        <v>12</v>
      </c>
      <c r="R5" s="31" t="s">
        <v>13</v>
      </c>
      <c r="S5" s="90" t="s">
        <v>9</v>
      </c>
      <c r="T5" s="90" t="s">
        <v>10</v>
      </c>
      <c r="U5" s="90" t="s">
        <v>11</v>
      </c>
      <c r="V5" s="90" t="s">
        <v>12</v>
      </c>
      <c r="W5" s="90" t="s">
        <v>13</v>
      </c>
      <c r="X5" s="91" t="s">
        <v>9</v>
      </c>
      <c r="Y5" s="91" t="s">
        <v>10</v>
      </c>
      <c r="Z5" s="91" t="s">
        <v>11</v>
      </c>
      <c r="AA5" s="91" t="s">
        <v>12</v>
      </c>
      <c r="AB5" s="91" t="s">
        <v>13</v>
      </c>
      <c r="AC5" s="92" t="s">
        <v>78</v>
      </c>
      <c r="AD5" s="93" t="s">
        <v>78</v>
      </c>
      <c r="AE5" s="94" t="s">
        <v>78</v>
      </c>
    </row>
    <row r="6" ht="18" customHeight="1" spans="1:31">
      <c r="A6" s="95" t="s">
        <v>79</v>
      </c>
      <c r="B6" s="95"/>
      <c r="C6" s="95"/>
      <c r="D6" s="96">
        <v>6</v>
      </c>
      <c r="E6" s="96">
        <v>6</v>
      </c>
      <c r="F6" s="96">
        <v>6</v>
      </c>
      <c r="G6" s="96">
        <v>6</v>
      </c>
      <c r="H6" s="96">
        <v>6</v>
      </c>
      <c r="I6" s="96">
        <v>6</v>
      </c>
      <c r="J6" s="96">
        <v>6</v>
      </c>
      <c r="K6" s="96">
        <v>6</v>
      </c>
      <c r="L6" s="96">
        <v>6</v>
      </c>
      <c r="M6" s="96">
        <v>6</v>
      </c>
      <c r="N6" s="96">
        <v>2</v>
      </c>
      <c r="O6" s="96">
        <v>2</v>
      </c>
      <c r="P6" s="96">
        <v>2</v>
      </c>
      <c r="Q6" s="96">
        <v>2</v>
      </c>
      <c r="R6" s="96">
        <v>2</v>
      </c>
      <c r="S6" s="96">
        <v>2</v>
      </c>
      <c r="T6" s="96">
        <v>2</v>
      </c>
      <c r="U6" s="96">
        <v>2</v>
      </c>
      <c r="V6" s="96">
        <v>2</v>
      </c>
      <c r="W6" s="96">
        <v>2</v>
      </c>
      <c r="X6" s="96">
        <v>20</v>
      </c>
      <c r="Y6" s="96">
        <v>20</v>
      </c>
      <c r="Z6" s="96">
        <v>20</v>
      </c>
      <c r="AA6" s="96">
        <v>20</v>
      </c>
      <c r="AB6" s="96">
        <v>20</v>
      </c>
      <c r="AC6" s="97">
        <v>50</v>
      </c>
      <c r="AD6" s="98">
        <v>50</v>
      </c>
      <c r="AE6" s="99">
        <v>100</v>
      </c>
    </row>
    <row r="7" ht="12.75" customHeight="1" spans="1:31">
      <c r="A7" s="100" t="s">
        <v>80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</row>
    <row r="8" ht="16.5" customHeight="1" spans="1:31">
      <c r="A8" s="20">
        <v>1</v>
      </c>
      <c r="B8" s="20" t="s">
        <v>81</v>
      </c>
      <c r="C8" s="101" t="s">
        <v>82</v>
      </c>
      <c r="D8" s="102">
        <v>3.3</v>
      </c>
      <c r="E8" s="102">
        <v>5.06</v>
      </c>
      <c r="F8" s="102">
        <v>4.63</v>
      </c>
      <c r="G8" s="102">
        <v>5.93</v>
      </c>
      <c r="H8" s="102">
        <v>4.08</v>
      </c>
      <c r="I8" s="102">
        <v>4.19</v>
      </c>
      <c r="J8" s="102">
        <v>3.57</v>
      </c>
      <c r="K8" s="102">
        <v>3.37</v>
      </c>
      <c r="L8" s="102">
        <v>5.54</v>
      </c>
      <c r="M8" s="102">
        <v>4.36</v>
      </c>
      <c r="N8" s="102">
        <v>1.66</v>
      </c>
      <c r="O8" s="102">
        <v>1.64</v>
      </c>
      <c r="P8" s="102">
        <v>1.6</v>
      </c>
      <c r="Q8" s="102">
        <v>1.02</v>
      </c>
      <c r="R8" s="102">
        <v>1.79</v>
      </c>
      <c r="S8" s="102">
        <v>1.24</v>
      </c>
      <c r="T8" s="102">
        <v>1.13</v>
      </c>
      <c r="U8" s="102">
        <v>1.56</v>
      </c>
      <c r="V8" s="102">
        <v>1.07</v>
      </c>
      <c r="W8" s="102">
        <v>1.77</v>
      </c>
      <c r="X8" s="102">
        <v>12.07</v>
      </c>
      <c r="Y8" s="102">
        <v>12.16</v>
      </c>
      <c r="Z8" s="102">
        <v>18.7</v>
      </c>
      <c r="AA8" s="102">
        <v>13.29</v>
      </c>
      <c r="AB8" s="102">
        <v>11.48</v>
      </c>
      <c r="AC8" s="103">
        <f t="shared" ref="AC8:AC27" si="0">(SUM(D8:H8)+SUM(I8:M8))/2+SUM(N8:R8)+SUM(S8:W8)</f>
        <v>36.495</v>
      </c>
      <c r="AD8" s="104">
        <f t="shared" ref="AD8:AD27" si="1">SUM(X8:AB8)/100*50</f>
        <v>33.85</v>
      </c>
      <c r="AE8" s="105">
        <f t="shared" ref="AE8:AE27" si="2">AC8+AD8</f>
        <v>70.345</v>
      </c>
    </row>
    <row r="9" ht="16.5" customHeight="1" spans="1:31">
      <c r="A9" s="33">
        <v>2</v>
      </c>
      <c r="B9" s="33" t="s">
        <v>83</v>
      </c>
      <c r="C9" s="106" t="s">
        <v>84</v>
      </c>
      <c r="D9" s="107">
        <v>5.7</v>
      </c>
      <c r="E9" s="107">
        <v>3.01</v>
      </c>
      <c r="F9" s="107">
        <v>5.58</v>
      </c>
      <c r="G9" s="107">
        <v>3.43</v>
      </c>
      <c r="H9" s="107">
        <v>3.39</v>
      </c>
      <c r="I9" s="107">
        <v>3.75</v>
      </c>
      <c r="J9" s="107">
        <v>3.52</v>
      </c>
      <c r="K9" s="107">
        <v>4.98</v>
      </c>
      <c r="L9" s="107">
        <v>3.08</v>
      </c>
      <c r="M9" s="107">
        <v>3.04</v>
      </c>
      <c r="N9" s="107">
        <v>1.79</v>
      </c>
      <c r="O9" s="107">
        <v>1.24</v>
      </c>
      <c r="P9" s="107">
        <v>1.32</v>
      </c>
      <c r="Q9" s="107">
        <v>1.17</v>
      </c>
      <c r="R9" s="107">
        <v>1.05</v>
      </c>
      <c r="S9" s="107">
        <v>1.74</v>
      </c>
      <c r="T9" s="107">
        <v>1.53</v>
      </c>
      <c r="U9" s="107">
        <v>1.75</v>
      </c>
      <c r="V9" s="107">
        <v>1.48</v>
      </c>
      <c r="W9" s="107">
        <v>1.78</v>
      </c>
      <c r="X9" s="107">
        <v>15.13</v>
      </c>
      <c r="Y9" s="107">
        <v>11.09</v>
      </c>
      <c r="Z9" s="107">
        <v>15.04</v>
      </c>
      <c r="AA9" s="107">
        <v>19.45</v>
      </c>
      <c r="AB9" s="107">
        <v>10.43</v>
      </c>
      <c r="AC9" s="103">
        <f t="shared" si="0"/>
        <v>34.59</v>
      </c>
      <c r="AD9" s="104">
        <f t="shared" si="1"/>
        <v>35.57</v>
      </c>
      <c r="AE9" s="105">
        <f t="shared" si="2"/>
        <v>70.16</v>
      </c>
    </row>
    <row r="10" ht="16.5" customHeight="1" spans="1:31">
      <c r="A10" s="20">
        <v>3</v>
      </c>
      <c r="B10" s="20" t="s">
        <v>85</v>
      </c>
      <c r="C10" s="101" t="s">
        <v>86</v>
      </c>
      <c r="D10" s="102">
        <v>5.35</v>
      </c>
      <c r="E10" s="102">
        <v>5.6</v>
      </c>
      <c r="F10" s="102">
        <v>4.56</v>
      </c>
      <c r="G10" s="102">
        <v>4.37</v>
      </c>
      <c r="H10" s="102">
        <v>5.89</v>
      </c>
      <c r="I10" s="102">
        <v>3.18</v>
      </c>
      <c r="J10" s="102">
        <v>4.44</v>
      </c>
      <c r="K10" s="102">
        <v>4.2</v>
      </c>
      <c r="L10" s="102">
        <v>5.06</v>
      </c>
      <c r="M10" s="102">
        <v>4.47</v>
      </c>
      <c r="N10" s="102">
        <v>1.91</v>
      </c>
      <c r="O10" s="102">
        <v>1.07</v>
      </c>
      <c r="P10" s="102">
        <v>1.08</v>
      </c>
      <c r="Q10" s="102">
        <v>1.61</v>
      </c>
      <c r="R10" s="102">
        <v>1.07</v>
      </c>
      <c r="S10" s="102">
        <v>1.28</v>
      </c>
      <c r="T10" s="102">
        <v>1.63</v>
      </c>
      <c r="U10" s="102">
        <v>1.55</v>
      </c>
      <c r="V10" s="102">
        <v>1.33</v>
      </c>
      <c r="W10" s="102">
        <v>1.99</v>
      </c>
      <c r="X10" s="102">
        <v>15.31</v>
      </c>
      <c r="Y10" s="102">
        <v>14.54</v>
      </c>
      <c r="Z10" s="102">
        <v>16.05</v>
      </c>
      <c r="AA10" s="102">
        <v>10.99</v>
      </c>
      <c r="AB10" s="102">
        <v>17.02</v>
      </c>
      <c r="AC10" s="103">
        <f t="shared" si="0"/>
        <v>38.08</v>
      </c>
      <c r="AD10" s="104">
        <f t="shared" si="1"/>
        <v>36.955</v>
      </c>
      <c r="AE10" s="105">
        <f t="shared" si="2"/>
        <v>75.035</v>
      </c>
    </row>
    <row r="11" ht="16.5" customHeight="1" spans="1:31">
      <c r="A11" s="33">
        <v>4</v>
      </c>
      <c r="B11" s="33" t="s">
        <v>87</v>
      </c>
      <c r="C11" s="106" t="s">
        <v>88</v>
      </c>
      <c r="D11" s="107">
        <v>5.56</v>
      </c>
      <c r="E11" s="107">
        <v>4.95</v>
      </c>
      <c r="F11" s="107">
        <v>5.31</v>
      </c>
      <c r="G11" s="107">
        <v>5.16</v>
      </c>
      <c r="H11" s="107">
        <v>3.65</v>
      </c>
      <c r="I11" s="107">
        <v>4.35</v>
      </c>
      <c r="J11" s="107">
        <v>3.69</v>
      </c>
      <c r="K11" s="107">
        <v>4.02</v>
      </c>
      <c r="L11" s="107">
        <v>4.36</v>
      </c>
      <c r="M11" s="107">
        <v>4.25</v>
      </c>
      <c r="N11" s="107">
        <v>1.1</v>
      </c>
      <c r="O11" s="107">
        <v>1.43</v>
      </c>
      <c r="P11" s="107">
        <v>1.67</v>
      </c>
      <c r="Q11" s="107">
        <v>1.37</v>
      </c>
      <c r="R11" s="107">
        <v>1.15</v>
      </c>
      <c r="S11" s="107">
        <v>1.92</v>
      </c>
      <c r="T11" s="107">
        <v>1.07</v>
      </c>
      <c r="U11" s="107">
        <v>1.83</v>
      </c>
      <c r="V11" s="107">
        <v>1.09</v>
      </c>
      <c r="W11" s="107">
        <v>1.1</v>
      </c>
      <c r="X11" s="107">
        <v>17.39</v>
      </c>
      <c r="Y11" s="107">
        <v>18.12</v>
      </c>
      <c r="Z11" s="107">
        <v>15.56</v>
      </c>
      <c r="AA11" s="107">
        <v>15.86</v>
      </c>
      <c r="AB11" s="107">
        <v>15.62</v>
      </c>
      <c r="AC11" s="103">
        <f t="shared" si="0"/>
        <v>36.38</v>
      </c>
      <c r="AD11" s="104">
        <f t="shared" si="1"/>
        <v>41.275</v>
      </c>
      <c r="AE11" s="105">
        <f t="shared" si="2"/>
        <v>77.655</v>
      </c>
    </row>
    <row r="12" ht="16.5" customHeight="1" spans="1:31">
      <c r="A12" s="20">
        <v>5</v>
      </c>
      <c r="B12" s="20" t="s">
        <v>89</v>
      </c>
      <c r="C12" s="101" t="s">
        <v>90</v>
      </c>
      <c r="D12" s="102">
        <v>3.99</v>
      </c>
      <c r="E12" s="102">
        <v>3.37</v>
      </c>
      <c r="F12" s="102">
        <v>4.06</v>
      </c>
      <c r="G12" s="102">
        <v>5</v>
      </c>
      <c r="H12" s="102">
        <v>5.25</v>
      </c>
      <c r="I12" s="102">
        <v>5.6</v>
      </c>
      <c r="J12" s="102">
        <v>5.16</v>
      </c>
      <c r="K12" s="102">
        <v>5.91</v>
      </c>
      <c r="L12" s="102">
        <v>4.8</v>
      </c>
      <c r="M12" s="102">
        <v>4.05</v>
      </c>
      <c r="N12" s="102">
        <v>1.58</v>
      </c>
      <c r="O12" s="102">
        <v>1.21</v>
      </c>
      <c r="P12" s="102">
        <v>1.66</v>
      </c>
      <c r="Q12" s="102">
        <v>1.22</v>
      </c>
      <c r="R12" s="102">
        <v>1.11</v>
      </c>
      <c r="S12" s="102">
        <v>1.85</v>
      </c>
      <c r="T12" s="102">
        <v>1.37</v>
      </c>
      <c r="U12" s="102">
        <v>1.76</v>
      </c>
      <c r="V12" s="102">
        <v>1.57</v>
      </c>
      <c r="W12" s="102">
        <v>1.81</v>
      </c>
      <c r="X12" s="102">
        <v>18.45</v>
      </c>
      <c r="Y12" s="102">
        <v>19.75</v>
      </c>
      <c r="Z12" s="102">
        <v>18.18</v>
      </c>
      <c r="AA12" s="102">
        <v>16.14</v>
      </c>
      <c r="AB12" s="102">
        <v>16.43</v>
      </c>
      <c r="AC12" s="103">
        <f t="shared" si="0"/>
        <v>38.735</v>
      </c>
      <c r="AD12" s="104">
        <f t="shared" si="1"/>
        <v>44.475</v>
      </c>
      <c r="AE12" s="105">
        <f t="shared" si="2"/>
        <v>83.21</v>
      </c>
    </row>
    <row r="13" ht="16.5" customHeight="1" spans="1:31">
      <c r="A13" s="33">
        <v>6</v>
      </c>
      <c r="B13" s="33" t="s">
        <v>91</v>
      </c>
      <c r="C13" s="106" t="s">
        <v>92</v>
      </c>
      <c r="D13" s="107">
        <v>3.08</v>
      </c>
      <c r="E13" s="107">
        <v>5.79</v>
      </c>
      <c r="F13" s="107">
        <v>5.49</v>
      </c>
      <c r="G13" s="107">
        <v>3.8</v>
      </c>
      <c r="H13" s="107">
        <v>3.54</v>
      </c>
      <c r="I13" s="107">
        <v>5.11</v>
      </c>
      <c r="J13" s="107">
        <v>3.93</v>
      </c>
      <c r="K13" s="107">
        <v>4.02</v>
      </c>
      <c r="L13" s="107">
        <v>3.02</v>
      </c>
      <c r="M13" s="107">
        <v>5.61</v>
      </c>
      <c r="N13" s="107">
        <v>1.57</v>
      </c>
      <c r="O13" s="107">
        <v>1.4</v>
      </c>
      <c r="P13" s="107">
        <v>1.14</v>
      </c>
      <c r="Q13" s="107">
        <v>1.63</v>
      </c>
      <c r="R13" s="107">
        <v>1.03</v>
      </c>
      <c r="S13" s="107">
        <v>1.75</v>
      </c>
      <c r="T13" s="107">
        <v>1.22</v>
      </c>
      <c r="U13" s="107">
        <v>1.42</v>
      </c>
      <c r="V13" s="107">
        <v>1.34</v>
      </c>
      <c r="W13" s="107">
        <v>1.37</v>
      </c>
      <c r="X13" s="107">
        <v>17.22</v>
      </c>
      <c r="Y13" s="107">
        <v>17.77</v>
      </c>
      <c r="Z13" s="107">
        <v>15.68</v>
      </c>
      <c r="AA13" s="107">
        <v>10.85</v>
      </c>
      <c r="AB13" s="107">
        <v>10.53</v>
      </c>
      <c r="AC13" s="103">
        <f t="shared" si="0"/>
        <v>35.565</v>
      </c>
      <c r="AD13" s="104">
        <f t="shared" si="1"/>
        <v>36.025</v>
      </c>
      <c r="AE13" s="105">
        <f t="shared" si="2"/>
        <v>71.59</v>
      </c>
    </row>
    <row r="14" ht="16.5" customHeight="1" spans="1:31">
      <c r="A14" s="20">
        <v>7</v>
      </c>
      <c r="B14" s="20" t="s">
        <v>93</v>
      </c>
      <c r="C14" s="101" t="s">
        <v>94</v>
      </c>
      <c r="D14" s="102">
        <v>3.47</v>
      </c>
      <c r="E14" s="102">
        <v>4.85</v>
      </c>
      <c r="F14" s="102">
        <v>5.02</v>
      </c>
      <c r="G14" s="102">
        <v>3.82</v>
      </c>
      <c r="H14" s="102">
        <v>4.99</v>
      </c>
      <c r="I14" s="102">
        <v>4.46</v>
      </c>
      <c r="J14" s="102">
        <v>4.33</v>
      </c>
      <c r="K14" s="102">
        <v>3.82</v>
      </c>
      <c r="L14" s="102">
        <v>5.26</v>
      </c>
      <c r="M14" s="102">
        <v>3.34</v>
      </c>
      <c r="N14" s="102">
        <v>1.43</v>
      </c>
      <c r="O14" s="102">
        <v>1.28</v>
      </c>
      <c r="P14" s="102">
        <v>1.68</v>
      </c>
      <c r="Q14" s="102">
        <v>1.49</v>
      </c>
      <c r="R14" s="102">
        <v>1.67</v>
      </c>
      <c r="S14" s="102">
        <v>1.05</v>
      </c>
      <c r="T14" s="102">
        <v>1.4</v>
      </c>
      <c r="U14" s="102">
        <v>1.6</v>
      </c>
      <c r="V14" s="102">
        <v>1.01</v>
      </c>
      <c r="W14" s="102">
        <v>1.3</v>
      </c>
      <c r="X14" s="102">
        <v>12.11</v>
      </c>
      <c r="Y14" s="102">
        <v>11.37</v>
      </c>
      <c r="Z14" s="102">
        <v>12.56</v>
      </c>
      <c r="AA14" s="102">
        <v>13.28</v>
      </c>
      <c r="AB14" s="102">
        <v>10.08</v>
      </c>
      <c r="AC14" s="103">
        <f t="shared" si="0"/>
        <v>35.59</v>
      </c>
      <c r="AD14" s="104">
        <f t="shared" si="1"/>
        <v>29.7</v>
      </c>
      <c r="AE14" s="105">
        <f t="shared" si="2"/>
        <v>65.29</v>
      </c>
    </row>
    <row r="15" ht="16.5" customHeight="1" spans="1:31">
      <c r="A15" s="33">
        <v>8</v>
      </c>
      <c r="B15" s="33" t="s">
        <v>95</v>
      </c>
      <c r="C15" s="106" t="s">
        <v>96</v>
      </c>
      <c r="D15" s="107">
        <v>5.24</v>
      </c>
      <c r="E15" s="107">
        <v>3.53</v>
      </c>
      <c r="F15" s="107">
        <v>4.14</v>
      </c>
      <c r="G15" s="107">
        <v>5.11</v>
      </c>
      <c r="H15" s="107">
        <v>4.5</v>
      </c>
      <c r="I15" s="107">
        <v>5.5</v>
      </c>
      <c r="J15" s="107">
        <v>5.42</v>
      </c>
      <c r="K15" s="107">
        <v>3.22</v>
      </c>
      <c r="L15" s="107">
        <v>5.59</v>
      </c>
      <c r="M15" s="107">
        <v>3.13</v>
      </c>
      <c r="N15" s="107">
        <v>1.02</v>
      </c>
      <c r="O15" s="107">
        <v>1.92</v>
      </c>
      <c r="P15" s="107">
        <v>1.86</v>
      </c>
      <c r="Q15" s="107">
        <v>1.58</v>
      </c>
      <c r="R15" s="107">
        <v>1.57</v>
      </c>
      <c r="S15" s="107">
        <v>1.71</v>
      </c>
      <c r="T15" s="107">
        <v>1.42</v>
      </c>
      <c r="U15" s="107">
        <v>1.12</v>
      </c>
      <c r="V15" s="107">
        <v>1.02</v>
      </c>
      <c r="W15" s="107">
        <v>1.32</v>
      </c>
      <c r="X15" s="107">
        <v>18.01</v>
      </c>
      <c r="Y15" s="107">
        <v>16.18</v>
      </c>
      <c r="Z15" s="107">
        <v>18.32</v>
      </c>
      <c r="AA15" s="107">
        <v>19.2</v>
      </c>
      <c r="AB15" s="107">
        <v>10.88</v>
      </c>
      <c r="AC15" s="103">
        <f t="shared" si="0"/>
        <v>37.23</v>
      </c>
      <c r="AD15" s="104">
        <f t="shared" si="1"/>
        <v>41.295</v>
      </c>
      <c r="AE15" s="105">
        <f t="shared" si="2"/>
        <v>78.525</v>
      </c>
    </row>
    <row r="16" ht="16.5" customHeight="1" spans="1:31">
      <c r="A16" s="20">
        <v>9</v>
      </c>
      <c r="B16" s="20" t="s">
        <v>97</v>
      </c>
      <c r="C16" s="101" t="s">
        <v>98</v>
      </c>
      <c r="D16" s="102">
        <v>5.53</v>
      </c>
      <c r="E16" s="102">
        <v>3.73</v>
      </c>
      <c r="F16" s="102">
        <v>4.77</v>
      </c>
      <c r="G16" s="102">
        <v>4.57</v>
      </c>
      <c r="H16" s="102">
        <v>4.19</v>
      </c>
      <c r="I16" s="102">
        <v>3.93</v>
      </c>
      <c r="J16" s="102">
        <v>4.02</v>
      </c>
      <c r="K16" s="102">
        <v>4</v>
      </c>
      <c r="L16" s="102">
        <v>3.5</v>
      </c>
      <c r="M16" s="102">
        <v>4.53</v>
      </c>
      <c r="N16" s="102">
        <v>1.11</v>
      </c>
      <c r="O16" s="102">
        <v>1.51</v>
      </c>
      <c r="P16" s="102">
        <v>1.91</v>
      </c>
      <c r="Q16" s="102">
        <v>1.35</v>
      </c>
      <c r="R16" s="102">
        <v>1.73</v>
      </c>
      <c r="S16" s="102">
        <v>1.82</v>
      </c>
      <c r="T16" s="102">
        <v>1.82</v>
      </c>
      <c r="U16" s="102">
        <v>1.24</v>
      </c>
      <c r="V16" s="102">
        <v>1.15</v>
      </c>
      <c r="W16" s="102">
        <v>1.2</v>
      </c>
      <c r="X16" s="102">
        <v>16.02</v>
      </c>
      <c r="Y16" s="102">
        <v>17.6</v>
      </c>
      <c r="Z16" s="102">
        <v>16.56</v>
      </c>
      <c r="AA16" s="102">
        <v>11.77</v>
      </c>
      <c r="AB16" s="102">
        <v>17.73</v>
      </c>
      <c r="AC16" s="103">
        <f t="shared" si="0"/>
        <v>36.225</v>
      </c>
      <c r="AD16" s="104">
        <f t="shared" si="1"/>
        <v>39.84</v>
      </c>
      <c r="AE16" s="105">
        <f t="shared" si="2"/>
        <v>76.065</v>
      </c>
    </row>
    <row r="17" ht="16.5" customHeight="1" spans="1:31">
      <c r="A17" s="33">
        <v>10</v>
      </c>
      <c r="B17" s="33" t="s">
        <v>99</v>
      </c>
      <c r="C17" s="106" t="s">
        <v>100</v>
      </c>
      <c r="D17" s="107">
        <v>4.48</v>
      </c>
      <c r="E17" s="107">
        <v>5.26</v>
      </c>
      <c r="F17" s="107">
        <v>5.28</v>
      </c>
      <c r="G17" s="107">
        <v>4.35</v>
      </c>
      <c r="H17" s="107">
        <v>5.77</v>
      </c>
      <c r="I17" s="107">
        <v>4.69</v>
      </c>
      <c r="J17" s="107">
        <v>4.91</v>
      </c>
      <c r="K17" s="107">
        <v>4.87</v>
      </c>
      <c r="L17" s="107">
        <v>5.59</v>
      </c>
      <c r="M17" s="107">
        <v>4.88</v>
      </c>
      <c r="N17" s="107">
        <v>1.15</v>
      </c>
      <c r="O17" s="107">
        <v>1.07</v>
      </c>
      <c r="P17" s="107">
        <v>1.44</v>
      </c>
      <c r="Q17" s="107">
        <v>1.3</v>
      </c>
      <c r="R17" s="107">
        <v>1.27</v>
      </c>
      <c r="S17" s="107">
        <v>1.06</v>
      </c>
      <c r="T17" s="107">
        <v>1.51</v>
      </c>
      <c r="U17" s="107">
        <v>1.31</v>
      </c>
      <c r="V17" s="107">
        <v>1.45</v>
      </c>
      <c r="W17" s="107">
        <v>1.06</v>
      </c>
      <c r="X17" s="107">
        <v>18.32</v>
      </c>
      <c r="Y17" s="107">
        <v>10.77</v>
      </c>
      <c r="Z17" s="107">
        <v>18.64</v>
      </c>
      <c r="AA17" s="107">
        <v>18.55</v>
      </c>
      <c r="AB17" s="107">
        <v>16.15</v>
      </c>
      <c r="AC17" s="103">
        <f t="shared" si="0"/>
        <v>37.66</v>
      </c>
      <c r="AD17" s="104">
        <f t="shared" si="1"/>
        <v>41.215</v>
      </c>
      <c r="AE17" s="105">
        <f t="shared" si="2"/>
        <v>78.875</v>
      </c>
    </row>
    <row r="18" ht="16.5" customHeight="1" spans="1:31">
      <c r="A18" s="20">
        <v>11</v>
      </c>
      <c r="B18" s="20" t="s">
        <v>101</v>
      </c>
      <c r="C18" s="101" t="s">
        <v>102</v>
      </c>
      <c r="D18" s="102">
        <v>4.52</v>
      </c>
      <c r="E18" s="102">
        <v>4.39</v>
      </c>
      <c r="F18" s="102">
        <v>4.66</v>
      </c>
      <c r="G18" s="102">
        <v>5.38</v>
      </c>
      <c r="H18" s="102">
        <v>5.69</v>
      </c>
      <c r="I18" s="102">
        <v>4.35</v>
      </c>
      <c r="J18" s="102">
        <v>5.43</v>
      </c>
      <c r="K18" s="102">
        <v>4.96</v>
      </c>
      <c r="L18" s="102">
        <v>3.96</v>
      </c>
      <c r="M18" s="102">
        <v>4.43</v>
      </c>
      <c r="N18" s="102">
        <v>1.15</v>
      </c>
      <c r="O18" s="102">
        <v>1.06</v>
      </c>
      <c r="P18" s="102">
        <v>1.1</v>
      </c>
      <c r="Q18" s="102">
        <v>1.9</v>
      </c>
      <c r="R18" s="102">
        <v>1.34</v>
      </c>
      <c r="S18" s="102">
        <v>1.71</v>
      </c>
      <c r="T18" s="102">
        <v>1.5</v>
      </c>
      <c r="U18" s="102">
        <v>1.17</v>
      </c>
      <c r="V18" s="102">
        <v>1.25</v>
      </c>
      <c r="W18" s="102">
        <v>1.44</v>
      </c>
      <c r="X18" s="102">
        <v>14.39</v>
      </c>
      <c r="Y18" s="102">
        <v>15.23</v>
      </c>
      <c r="Z18" s="102">
        <v>11.59</v>
      </c>
      <c r="AA18" s="102">
        <v>13.73</v>
      </c>
      <c r="AB18" s="102">
        <v>12.83</v>
      </c>
      <c r="AC18" s="103">
        <f t="shared" si="0"/>
        <v>37.505</v>
      </c>
      <c r="AD18" s="104">
        <f t="shared" si="1"/>
        <v>33.885</v>
      </c>
      <c r="AE18" s="105">
        <f t="shared" si="2"/>
        <v>71.39</v>
      </c>
    </row>
    <row r="19" ht="16.5" customHeight="1" spans="1:31">
      <c r="A19" s="33">
        <v>12</v>
      </c>
      <c r="B19" s="33" t="s">
        <v>103</v>
      </c>
      <c r="C19" s="106" t="s">
        <v>104</v>
      </c>
      <c r="D19" s="107">
        <v>4.23</v>
      </c>
      <c r="E19" s="107">
        <v>4.02</v>
      </c>
      <c r="F19" s="107">
        <v>4.79</v>
      </c>
      <c r="G19" s="107">
        <v>5.37</v>
      </c>
      <c r="H19" s="107">
        <v>4.94</v>
      </c>
      <c r="I19" s="107">
        <v>3.2</v>
      </c>
      <c r="J19" s="107">
        <v>3.28</v>
      </c>
      <c r="K19" s="107">
        <v>5.04</v>
      </c>
      <c r="L19" s="107">
        <v>3.85</v>
      </c>
      <c r="M19" s="107">
        <v>5.17</v>
      </c>
      <c r="N19" s="107">
        <v>1.66</v>
      </c>
      <c r="O19" s="107">
        <v>1.91</v>
      </c>
      <c r="P19" s="107">
        <v>1.87</v>
      </c>
      <c r="Q19" s="107">
        <v>1.33</v>
      </c>
      <c r="R19" s="107">
        <v>1.58</v>
      </c>
      <c r="S19" s="107">
        <v>1.14</v>
      </c>
      <c r="T19" s="107">
        <v>1.35</v>
      </c>
      <c r="U19" s="107">
        <v>1.97</v>
      </c>
      <c r="V19" s="107">
        <v>1.7</v>
      </c>
      <c r="W19" s="107">
        <v>1.39</v>
      </c>
      <c r="X19" s="107">
        <v>15.95</v>
      </c>
      <c r="Y19" s="107">
        <v>19.38</v>
      </c>
      <c r="Z19" s="107">
        <v>13.1</v>
      </c>
      <c r="AA19" s="107">
        <v>13.77</v>
      </c>
      <c r="AB19" s="107">
        <v>17.92</v>
      </c>
      <c r="AC19" s="103">
        <f t="shared" si="0"/>
        <v>37.845</v>
      </c>
      <c r="AD19" s="104">
        <f t="shared" si="1"/>
        <v>40.06</v>
      </c>
      <c r="AE19" s="105">
        <f t="shared" si="2"/>
        <v>77.905</v>
      </c>
    </row>
    <row r="20" ht="16.5" customHeight="1" spans="1:31">
      <c r="A20" s="20">
        <v>13</v>
      </c>
      <c r="B20" s="20" t="s">
        <v>105</v>
      </c>
      <c r="C20" s="101" t="s">
        <v>106</v>
      </c>
      <c r="D20" s="102">
        <v>5.44</v>
      </c>
      <c r="E20" s="102">
        <v>5.01</v>
      </c>
      <c r="F20" s="102">
        <v>5.49</v>
      </c>
      <c r="G20" s="102">
        <v>5.22</v>
      </c>
      <c r="H20" s="102">
        <v>5.06</v>
      </c>
      <c r="I20" s="102">
        <v>4.58</v>
      </c>
      <c r="J20" s="102">
        <v>4.94</v>
      </c>
      <c r="K20" s="102">
        <v>4.27</v>
      </c>
      <c r="L20" s="102">
        <v>4.09</v>
      </c>
      <c r="M20" s="102">
        <v>4.09</v>
      </c>
      <c r="N20" s="102">
        <v>1.18</v>
      </c>
      <c r="O20" s="102">
        <v>1.21</v>
      </c>
      <c r="P20" s="102">
        <v>1.95</v>
      </c>
      <c r="Q20" s="102">
        <v>1.49</v>
      </c>
      <c r="R20" s="102">
        <v>1.23</v>
      </c>
      <c r="S20" s="102">
        <v>1.14</v>
      </c>
      <c r="T20" s="102">
        <v>1.08</v>
      </c>
      <c r="U20" s="102">
        <v>1.84</v>
      </c>
      <c r="V20" s="102">
        <v>1.1</v>
      </c>
      <c r="W20" s="102">
        <v>1.77</v>
      </c>
      <c r="X20" s="102">
        <v>18.35</v>
      </c>
      <c r="Y20" s="102">
        <v>18.84</v>
      </c>
      <c r="Z20" s="102">
        <v>10.38</v>
      </c>
      <c r="AA20" s="102">
        <v>13.37</v>
      </c>
      <c r="AB20" s="102">
        <v>17.66</v>
      </c>
      <c r="AC20" s="103">
        <f t="shared" si="0"/>
        <v>38.085</v>
      </c>
      <c r="AD20" s="104">
        <f t="shared" si="1"/>
        <v>39.3</v>
      </c>
      <c r="AE20" s="105">
        <f t="shared" si="2"/>
        <v>77.385</v>
      </c>
    </row>
    <row r="21" ht="16.5" customHeight="1" spans="1:31">
      <c r="A21" s="33">
        <v>14</v>
      </c>
      <c r="B21" s="33" t="s">
        <v>107</v>
      </c>
      <c r="C21" s="106" t="s">
        <v>108</v>
      </c>
      <c r="D21" s="107">
        <v>3.39</v>
      </c>
      <c r="E21" s="107">
        <v>4.13</v>
      </c>
      <c r="F21" s="107">
        <v>3.49</v>
      </c>
      <c r="G21" s="107">
        <v>5.49</v>
      </c>
      <c r="H21" s="107">
        <v>5.31</v>
      </c>
      <c r="I21" s="107">
        <v>5.43</v>
      </c>
      <c r="J21" s="107">
        <v>3.5</v>
      </c>
      <c r="K21" s="107">
        <v>4.31</v>
      </c>
      <c r="L21" s="107">
        <v>4.23</v>
      </c>
      <c r="M21" s="107">
        <v>5.03</v>
      </c>
      <c r="N21" s="107">
        <v>1.24</v>
      </c>
      <c r="O21" s="107">
        <v>1.44</v>
      </c>
      <c r="P21" s="107">
        <v>1.28</v>
      </c>
      <c r="Q21" s="107">
        <v>1.75</v>
      </c>
      <c r="R21" s="107">
        <v>1.45</v>
      </c>
      <c r="S21" s="107">
        <v>1.53</v>
      </c>
      <c r="T21" s="107">
        <v>1.31</v>
      </c>
      <c r="U21" s="107">
        <v>1.81</v>
      </c>
      <c r="V21" s="107">
        <v>1.47</v>
      </c>
      <c r="W21" s="107">
        <v>1.84</v>
      </c>
      <c r="X21" s="107">
        <v>13.68</v>
      </c>
      <c r="Y21" s="107">
        <v>19.47</v>
      </c>
      <c r="Z21" s="107">
        <v>19.84</v>
      </c>
      <c r="AA21" s="107">
        <v>14.62</v>
      </c>
      <c r="AB21" s="107">
        <v>12.82</v>
      </c>
      <c r="AC21" s="103">
        <f t="shared" si="0"/>
        <v>37.275</v>
      </c>
      <c r="AD21" s="104">
        <f t="shared" si="1"/>
        <v>40.215</v>
      </c>
      <c r="AE21" s="105">
        <f t="shared" si="2"/>
        <v>77.49</v>
      </c>
    </row>
    <row r="22" ht="16.5" customHeight="1" spans="1:31">
      <c r="A22" s="20">
        <v>15</v>
      </c>
      <c r="B22" s="20" t="s">
        <v>109</v>
      </c>
      <c r="C22" s="101" t="s">
        <v>110</v>
      </c>
      <c r="D22" s="102">
        <v>4.15</v>
      </c>
      <c r="E22" s="102">
        <v>4.58</v>
      </c>
      <c r="F22" s="102">
        <v>5.9</v>
      </c>
      <c r="G22" s="102">
        <v>5.45</v>
      </c>
      <c r="H22" s="102">
        <v>5.4</v>
      </c>
      <c r="I22" s="102">
        <v>3.42</v>
      </c>
      <c r="J22" s="102">
        <v>3.75</v>
      </c>
      <c r="K22" s="102">
        <v>4.92</v>
      </c>
      <c r="L22" s="102">
        <v>5.62</v>
      </c>
      <c r="M22" s="102">
        <v>4.66</v>
      </c>
      <c r="N22" s="102">
        <v>1.1</v>
      </c>
      <c r="O22" s="102">
        <v>1.85</v>
      </c>
      <c r="P22" s="102">
        <v>1.85</v>
      </c>
      <c r="Q22" s="102">
        <v>1.29</v>
      </c>
      <c r="R22" s="102">
        <v>1.76</v>
      </c>
      <c r="S22" s="102">
        <v>1.27</v>
      </c>
      <c r="T22" s="102">
        <v>1.91</v>
      </c>
      <c r="U22" s="102">
        <v>1.15</v>
      </c>
      <c r="V22" s="102">
        <v>1.44</v>
      </c>
      <c r="W22" s="102">
        <v>1.95</v>
      </c>
      <c r="X22" s="102">
        <v>12.22</v>
      </c>
      <c r="Y22" s="102">
        <v>14.51</v>
      </c>
      <c r="Z22" s="102">
        <v>13.5</v>
      </c>
      <c r="AA22" s="102">
        <v>10.27</v>
      </c>
      <c r="AB22" s="102">
        <v>10.53</v>
      </c>
      <c r="AC22" s="103">
        <f t="shared" si="0"/>
        <v>39.495</v>
      </c>
      <c r="AD22" s="104">
        <f t="shared" si="1"/>
        <v>30.515</v>
      </c>
      <c r="AE22" s="105">
        <f t="shared" si="2"/>
        <v>70.01</v>
      </c>
    </row>
    <row r="23" ht="16.5" customHeight="1" spans="1:31">
      <c r="A23" s="33">
        <v>16</v>
      </c>
      <c r="B23" s="33" t="s">
        <v>111</v>
      </c>
      <c r="C23" s="106" t="s">
        <v>112</v>
      </c>
      <c r="D23" s="107">
        <v>4.51</v>
      </c>
      <c r="E23" s="107">
        <v>3.71</v>
      </c>
      <c r="F23" s="107">
        <v>5.98</v>
      </c>
      <c r="G23" s="107">
        <v>4.12</v>
      </c>
      <c r="H23" s="107">
        <v>3.08</v>
      </c>
      <c r="I23" s="107">
        <v>5.79</v>
      </c>
      <c r="J23" s="107">
        <v>5.52</v>
      </c>
      <c r="K23" s="107">
        <v>4.95</v>
      </c>
      <c r="L23" s="107">
        <v>5.37</v>
      </c>
      <c r="M23" s="107">
        <v>3.41</v>
      </c>
      <c r="N23" s="107">
        <v>1.29</v>
      </c>
      <c r="O23" s="107">
        <v>1.83</v>
      </c>
      <c r="P23" s="107">
        <v>1.7</v>
      </c>
      <c r="Q23" s="107">
        <v>1.14</v>
      </c>
      <c r="R23" s="107">
        <v>1.71</v>
      </c>
      <c r="S23" s="107">
        <v>1.45</v>
      </c>
      <c r="T23" s="107">
        <v>1.01</v>
      </c>
      <c r="U23" s="107">
        <v>1.08</v>
      </c>
      <c r="V23" s="107">
        <v>1.26</v>
      </c>
      <c r="W23" s="107">
        <v>1.83</v>
      </c>
      <c r="X23" s="107">
        <v>15.49</v>
      </c>
      <c r="Y23" s="107">
        <v>17.27</v>
      </c>
      <c r="Z23" s="107">
        <v>15.28</v>
      </c>
      <c r="AA23" s="107">
        <v>11.11</v>
      </c>
      <c r="AB23" s="107">
        <v>12.88</v>
      </c>
      <c r="AC23" s="103">
        <f t="shared" si="0"/>
        <v>37.52</v>
      </c>
      <c r="AD23" s="104">
        <f t="shared" si="1"/>
        <v>36.015</v>
      </c>
      <c r="AE23" s="105">
        <f t="shared" si="2"/>
        <v>73.535</v>
      </c>
    </row>
    <row r="24" ht="16.5" customHeight="1" spans="1:31">
      <c r="A24" s="20">
        <v>17</v>
      </c>
      <c r="B24" s="20" t="s">
        <v>113</v>
      </c>
      <c r="C24" s="101" t="s">
        <v>114</v>
      </c>
      <c r="D24" s="102">
        <v>3.9</v>
      </c>
      <c r="E24" s="102">
        <v>3.14</v>
      </c>
      <c r="F24" s="102">
        <v>4.26</v>
      </c>
      <c r="G24" s="102">
        <v>5.38</v>
      </c>
      <c r="H24" s="102">
        <v>4.37</v>
      </c>
      <c r="I24" s="102">
        <v>3.33</v>
      </c>
      <c r="J24" s="102">
        <v>5.72</v>
      </c>
      <c r="K24" s="102">
        <v>4.79</v>
      </c>
      <c r="L24" s="102">
        <v>3.05</v>
      </c>
      <c r="M24" s="102">
        <v>4.55</v>
      </c>
      <c r="N24" s="102">
        <v>1.24</v>
      </c>
      <c r="O24" s="102">
        <v>1.14</v>
      </c>
      <c r="P24" s="102">
        <v>1.43</v>
      </c>
      <c r="Q24" s="102">
        <v>1.61</v>
      </c>
      <c r="R24" s="102">
        <v>1.24</v>
      </c>
      <c r="S24" s="102">
        <v>1.42</v>
      </c>
      <c r="T24" s="102">
        <v>1.66</v>
      </c>
      <c r="U24" s="102">
        <v>1.09</v>
      </c>
      <c r="V24" s="102">
        <v>1.97</v>
      </c>
      <c r="W24" s="102">
        <v>1.07</v>
      </c>
      <c r="X24" s="102">
        <v>15.26</v>
      </c>
      <c r="Y24" s="102">
        <v>15.07</v>
      </c>
      <c r="Z24" s="102">
        <v>19.88</v>
      </c>
      <c r="AA24" s="102">
        <v>15.54</v>
      </c>
      <c r="AB24" s="102">
        <v>13.9</v>
      </c>
      <c r="AC24" s="103">
        <f t="shared" si="0"/>
        <v>35.115</v>
      </c>
      <c r="AD24" s="104">
        <f t="shared" si="1"/>
        <v>39.825</v>
      </c>
      <c r="AE24" s="105">
        <f t="shared" si="2"/>
        <v>74.94</v>
      </c>
    </row>
    <row r="25" ht="16.5" customHeight="1" spans="1:31">
      <c r="A25" s="33">
        <v>18</v>
      </c>
      <c r="B25" s="33" t="s">
        <v>115</v>
      </c>
      <c r="C25" s="106" t="s">
        <v>116</v>
      </c>
      <c r="D25" s="107">
        <v>4.41</v>
      </c>
      <c r="E25" s="107">
        <v>4.91</v>
      </c>
      <c r="F25" s="107">
        <v>5.94</v>
      </c>
      <c r="G25" s="107">
        <v>3.76</v>
      </c>
      <c r="H25" s="107">
        <v>3.05</v>
      </c>
      <c r="I25" s="107">
        <v>5.37</v>
      </c>
      <c r="J25" s="107">
        <v>4.03</v>
      </c>
      <c r="K25" s="107">
        <v>5.2</v>
      </c>
      <c r="L25" s="107">
        <v>4.88</v>
      </c>
      <c r="M25" s="107">
        <v>5.31</v>
      </c>
      <c r="N25" s="107">
        <v>1.74</v>
      </c>
      <c r="O25" s="107">
        <v>1.33</v>
      </c>
      <c r="P25" s="107">
        <v>1.04</v>
      </c>
      <c r="Q25" s="107">
        <v>1.55</v>
      </c>
      <c r="R25" s="107">
        <v>1.81</v>
      </c>
      <c r="S25" s="107">
        <v>1.18</v>
      </c>
      <c r="T25" s="107">
        <v>1.78</v>
      </c>
      <c r="U25" s="107">
        <v>1.46</v>
      </c>
      <c r="V25" s="107">
        <v>1.7</v>
      </c>
      <c r="W25" s="107">
        <v>1.63</v>
      </c>
      <c r="X25" s="107">
        <v>18.11</v>
      </c>
      <c r="Y25" s="107">
        <v>10.63</v>
      </c>
      <c r="Z25" s="107">
        <v>17.76</v>
      </c>
      <c r="AA25" s="107">
        <v>14.58</v>
      </c>
      <c r="AB25" s="107">
        <v>12.93</v>
      </c>
      <c r="AC25" s="103">
        <f t="shared" si="0"/>
        <v>38.65</v>
      </c>
      <c r="AD25" s="104">
        <f t="shared" si="1"/>
        <v>37.005</v>
      </c>
      <c r="AE25" s="105">
        <f t="shared" si="2"/>
        <v>75.655</v>
      </c>
    </row>
    <row r="26" ht="16.5" customHeight="1" spans="1:31">
      <c r="A26" s="20">
        <v>19</v>
      </c>
      <c r="B26" s="20" t="s">
        <v>117</v>
      </c>
      <c r="C26" s="101" t="s">
        <v>118</v>
      </c>
      <c r="D26" s="102">
        <v>3.13</v>
      </c>
      <c r="E26" s="102">
        <v>3.6</v>
      </c>
      <c r="F26" s="102">
        <v>3.13</v>
      </c>
      <c r="G26" s="102">
        <v>5.8</v>
      </c>
      <c r="H26" s="102">
        <v>4.55</v>
      </c>
      <c r="I26" s="102">
        <v>5.97</v>
      </c>
      <c r="J26" s="102">
        <v>4.63</v>
      </c>
      <c r="K26" s="102">
        <v>3.76</v>
      </c>
      <c r="L26" s="102">
        <v>5.26</v>
      </c>
      <c r="M26" s="102">
        <v>3.57</v>
      </c>
      <c r="N26" s="102">
        <v>1.36</v>
      </c>
      <c r="O26" s="102">
        <v>1.78</v>
      </c>
      <c r="P26" s="102">
        <v>1.87</v>
      </c>
      <c r="Q26" s="102">
        <v>1.33</v>
      </c>
      <c r="R26" s="102">
        <v>1.12</v>
      </c>
      <c r="S26" s="102">
        <v>1.37</v>
      </c>
      <c r="T26" s="102">
        <v>1.89</v>
      </c>
      <c r="U26" s="102">
        <v>1.74</v>
      </c>
      <c r="V26" s="102">
        <v>1.89</v>
      </c>
      <c r="W26" s="102">
        <v>1.39</v>
      </c>
      <c r="X26" s="102">
        <v>19.74</v>
      </c>
      <c r="Y26" s="102">
        <v>14.96</v>
      </c>
      <c r="Z26" s="102">
        <v>14.98</v>
      </c>
      <c r="AA26" s="102">
        <v>19.24</v>
      </c>
      <c r="AB26" s="102">
        <v>15.19</v>
      </c>
      <c r="AC26" s="103">
        <f t="shared" si="0"/>
        <v>37.44</v>
      </c>
      <c r="AD26" s="104">
        <f t="shared" si="1"/>
        <v>42.055</v>
      </c>
      <c r="AE26" s="105">
        <f t="shared" si="2"/>
        <v>79.495</v>
      </c>
    </row>
    <row r="27" ht="16.5" customHeight="1" spans="1:31">
      <c r="A27" s="33">
        <v>20</v>
      </c>
      <c r="B27" s="33" t="s">
        <v>119</v>
      </c>
      <c r="C27" s="106" t="s">
        <v>120</v>
      </c>
      <c r="D27" s="107">
        <v>5.4</v>
      </c>
      <c r="E27" s="107">
        <v>5.18</v>
      </c>
      <c r="F27" s="107">
        <v>3.24</v>
      </c>
      <c r="G27" s="107">
        <v>4.81</v>
      </c>
      <c r="H27" s="107">
        <v>5.47</v>
      </c>
      <c r="I27" s="107">
        <v>4.64</v>
      </c>
      <c r="J27" s="107">
        <v>3.96</v>
      </c>
      <c r="K27" s="107">
        <v>3.24</v>
      </c>
      <c r="L27" s="107">
        <v>4.98</v>
      </c>
      <c r="M27" s="107">
        <v>3.92</v>
      </c>
      <c r="N27" s="107">
        <v>1.6</v>
      </c>
      <c r="O27" s="107">
        <v>1.43</v>
      </c>
      <c r="P27" s="107">
        <v>1.69</v>
      </c>
      <c r="Q27" s="107">
        <v>1.35</v>
      </c>
      <c r="R27" s="107">
        <v>1.04</v>
      </c>
      <c r="S27" s="107">
        <v>1.87</v>
      </c>
      <c r="T27" s="107">
        <v>1.35</v>
      </c>
      <c r="U27" s="107">
        <v>2</v>
      </c>
      <c r="V27" s="107">
        <v>1.27</v>
      </c>
      <c r="W27" s="107">
        <v>1.98</v>
      </c>
      <c r="X27" s="107">
        <v>19.48</v>
      </c>
      <c r="Y27" s="107">
        <v>10.75</v>
      </c>
      <c r="Z27" s="107">
        <v>16.38</v>
      </c>
      <c r="AA27" s="107">
        <v>13.63</v>
      </c>
      <c r="AB27" s="107">
        <v>18.01</v>
      </c>
      <c r="AC27" s="103">
        <f t="shared" si="0"/>
        <v>38</v>
      </c>
      <c r="AD27" s="104">
        <f t="shared" si="1"/>
        <v>39.125</v>
      </c>
      <c r="AE27" s="105">
        <f t="shared" si="2"/>
        <v>77.125</v>
      </c>
    </row>
    <row r="28" ht="15.15"/>
    <row r="29" ht="19.5" customHeight="1" spans="1:31">
      <c r="A29" s="73" t="s">
        <v>121</v>
      </c>
      <c r="B29" s="73"/>
      <c r="C29" s="73"/>
      <c r="D29" s="108">
        <f t="shared" ref="D29:AE29" si="3">AVERAGE(D8:D27)</f>
        <v>4.439</v>
      </c>
      <c r="E29" s="108">
        <f t="shared" si="3"/>
        <v>4.391</v>
      </c>
      <c r="F29" s="108">
        <f t="shared" si="3"/>
        <v>4.786</v>
      </c>
      <c r="G29" s="108">
        <f t="shared" si="3"/>
        <v>4.816</v>
      </c>
      <c r="H29" s="108">
        <f t="shared" si="3"/>
        <v>4.6085</v>
      </c>
      <c r="I29" s="108">
        <f t="shared" si="3"/>
        <v>4.542</v>
      </c>
      <c r="J29" s="108">
        <f t="shared" si="3"/>
        <v>4.3875</v>
      </c>
      <c r="K29" s="108">
        <f t="shared" si="3"/>
        <v>4.3925</v>
      </c>
      <c r="L29" s="108">
        <f t="shared" si="3"/>
        <v>4.5545</v>
      </c>
      <c r="M29" s="108">
        <f t="shared" si="3"/>
        <v>4.29</v>
      </c>
      <c r="N29" s="108">
        <f t="shared" si="3"/>
        <v>1.394</v>
      </c>
      <c r="O29" s="108">
        <f t="shared" si="3"/>
        <v>1.4375</v>
      </c>
      <c r="P29" s="108">
        <f t="shared" si="3"/>
        <v>1.557</v>
      </c>
      <c r="Q29" s="108">
        <f t="shared" si="3"/>
        <v>1.424</v>
      </c>
      <c r="R29" s="108">
        <f t="shared" si="3"/>
        <v>1.386</v>
      </c>
      <c r="S29" s="108">
        <f t="shared" si="3"/>
        <v>1.475</v>
      </c>
      <c r="T29" s="108">
        <f t="shared" si="3"/>
        <v>1.447</v>
      </c>
      <c r="U29" s="108">
        <f t="shared" si="3"/>
        <v>1.5225</v>
      </c>
      <c r="V29" s="108">
        <f t="shared" si="3"/>
        <v>1.378</v>
      </c>
      <c r="W29" s="108">
        <f t="shared" si="3"/>
        <v>1.5495</v>
      </c>
      <c r="X29" s="108">
        <f t="shared" si="3"/>
        <v>16.135</v>
      </c>
      <c r="Y29" s="108">
        <f t="shared" si="3"/>
        <v>15.273</v>
      </c>
      <c r="Z29" s="108">
        <f t="shared" si="3"/>
        <v>15.899</v>
      </c>
      <c r="AA29" s="108">
        <f t="shared" si="3"/>
        <v>14.462</v>
      </c>
      <c r="AB29" s="108">
        <f t="shared" si="3"/>
        <v>14.051</v>
      </c>
      <c r="AC29" s="109">
        <f t="shared" si="3"/>
        <v>37.174</v>
      </c>
      <c r="AD29" s="108">
        <f t="shared" si="3"/>
        <v>37.91</v>
      </c>
      <c r="AE29" s="96">
        <f t="shared" si="3"/>
        <v>75.084</v>
      </c>
    </row>
    <row r="30" ht="15.15"/>
    <row r="31" ht="21.75" customHeight="1" spans="1:31">
      <c r="A31" s="110" t="s">
        <v>122</v>
      </c>
      <c r="B31" s="110"/>
      <c r="C31" s="110"/>
      <c r="D31" s="111">
        <f>(IFERROR(D29/D6,0)+IFERROR(I29/I6,0)+IFERROR(N29/N6,0)+IFERROR(S29/S6,0)+IFERROR(X29/X6,0))/5</f>
        <v>0.747616666666667</v>
      </c>
      <c r="E31" s="111">
        <f>(IFERROR(E29/E6,0)+IFERROR(J29/J6,0)+IFERROR(O29/O6,0)+IFERROR(T29/T6,0)+IFERROR(Y29/Y6,0))/5</f>
        <v>0.733796666666667</v>
      </c>
      <c r="F31" s="111">
        <f>(IFERROR(F29/F6,0)+IFERROR(K29/K6,0)+IFERROR(P29/P6,0)+IFERROR(U29/U6,0)+IFERROR(Z29/Z6,0))/5</f>
        <v>0.77289</v>
      </c>
      <c r="G31" s="111">
        <f>(IFERROR(G29/G6,0)+IFERROR(L29/L6,0)+IFERROR(Q29/Q6,0)+IFERROR(V29/V6,0)+IFERROR(AA29/AA6,0))/5</f>
        <v>0.73717</v>
      </c>
      <c r="H31" s="111">
        <f>(IFERROR(H29/H6,0)+IFERROR(M29/M6,0)+IFERROR(R29/R6,0)+IFERROR(W29/W6,0)+IFERROR(AB29/AB6,0))/5</f>
        <v>0.730676666666667</v>
      </c>
    </row>
    <row r="32" ht="19.5" customHeight="1" spans="1:31">
      <c r="A32" s="112" t="s">
        <v>123</v>
      </c>
      <c r="B32" s="112"/>
      <c r="C32" s="112"/>
      <c r="D32" s="113">
        <f>(IFERROR(D29/D6,0)+IFERROR(I29/I6,0)+IFERROR(N29/N6,0)+IFERROR(S29/S6,0))/4</f>
        <v>0.732833333333333</v>
      </c>
      <c r="E32" s="113">
        <f>(IFERROR(E29/E6,0)+IFERROR(J29/J6,0)+IFERROR(O29/O6,0)+IFERROR(T29/T6,0))/4</f>
        <v>0.726333333333333</v>
      </c>
      <c r="F32" s="113">
        <f>(IFERROR(F29/F6,0)+IFERROR(K29/K6,0)+IFERROR(P29/P6,0)+IFERROR(U29/U6,0))/4</f>
        <v>0.767375</v>
      </c>
      <c r="G32" s="113">
        <f>(IFERROR(G29/G6,0)+IFERROR(L29/L6,0)+IFERROR(Q29/Q6,0)+IFERROR(V29/V6,0))/4</f>
        <v>0.7406875</v>
      </c>
      <c r="H32" s="113">
        <f>(IFERROR(H29/H6,0)+IFERROR(M29/M6,0)+IFERROR(R29/R6,0)+IFERROR(W29/W6,0))/4</f>
        <v>0.737708333333333</v>
      </c>
    </row>
    <row r="33" ht="19.5" customHeight="1" spans="1:8">
      <c r="A33" s="76" t="s">
        <v>124</v>
      </c>
      <c r="B33" s="76"/>
      <c r="C33" s="76"/>
      <c r="D33" s="114">
        <f>IFERROR(X29/X6,0)</f>
        <v>0.80675</v>
      </c>
      <c r="E33" s="114">
        <f>IFERROR(Y29/Y6,0)</f>
        <v>0.76365</v>
      </c>
      <c r="F33" s="114">
        <f>IFERROR(Z29/Z6,0)</f>
        <v>0.79495</v>
      </c>
      <c r="G33" s="114">
        <f>IFERROR(AA29/AA6,0)</f>
        <v>0.7231</v>
      </c>
      <c r="H33" s="114">
        <f>IFERROR(AB29/AB6,0)</f>
        <v>0.70255</v>
      </c>
    </row>
    <row r="34" ht="19.5" customHeight="1" spans="1:8">
      <c r="A34" s="76" t="s">
        <v>125</v>
      </c>
      <c r="B34" s="76"/>
      <c r="C34" s="76"/>
      <c r="D34" s="77">
        <f>IF(D31&gt;=0.6,3,IF(D31&gt;=0.4,2,1))</f>
        <v>3</v>
      </c>
      <c r="E34" s="77">
        <f>IF(E31&gt;=0.6,3,IF(E31&gt;=0.4,2,1))</f>
        <v>3</v>
      </c>
      <c r="F34" s="77">
        <f>IF(F31&gt;=0.6,3,IF(F31&gt;=0.4,2,1))</f>
        <v>3</v>
      </c>
      <c r="G34" s="77">
        <f>IF(G31&gt;=0.6,3,IF(G31&gt;=0.4,2,1))</f>
        <v>3</v>
      </c>
      <c r="H34" s="77">
        <f>IF(H31&gt;=0.6,3,IF(H31&gt;=0.4,2,1))</f>
        <v>3</v>
      </c>
    </row>
  </sheetData>
  <mergeCells count="15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AE7"/>
    <mergeCell ref="A29:C29"/>
    <mergeCell ref="A31:C31"/>
    <mergeCell ref="A32:C32"/>
    <mergeCell ref="A33:C33"/>
    <mergeCell ref="A34:C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4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E1"/>
    </sheetView>
  </sheetViews>
  <sheetFormatPr defaultColWidth="8.67592592592593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1.5" customHeight="1" spans="1:31">
      <c r="A1" s="47" t="s">
        <v>128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ht="13.5" customHeight="1" spans="1:31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4.5" customHeight="1"/>
    <row r="4" ht="19.5" customHeight="1" spans="1:31">
      <c r="A4" s="3" t="s">
        <v>66</v>
      </c>
      <c r="B4" s="3"/>
      <c r="C4" s="3"/>
      <c r="D4" s="84" t="s">
        <v>67</v>
      </c>
      <c r="E4" s="84"/>
      <c r="F4" s="84"/>
      <c r="G4" s="84"/>
      <c r="H4" s="84"/>
      <c r="I4" s="76" t="s">
        <v>68</v>
      </c>
      <c r="J4" s="76"/>
      <c r="K4" s="76"/>
      <c r="L4" s="76"/>
      <c r="M4" s="76"/>
      <c r="N4" s="85" t="s">
        <v>69</v>
      </c>
      <c r="O4" s="85"/>
      <c r="P4" s="85"/>
      <c r="Q4" s="85"/>
      <c r="R4" s="85"/>
      <c r="S4" s="86" t="s">
        <v>70</v>
      </c>
      <c r="T4" s="86"/>
      <c r="U4" s="86"/>
      <c r="V4" s="86"/>
      <c r="W4" s="86"/>
      <c r="X4" s="73" t="s">
        <v>71</v>
      </c>
      <c r="Y4" s="73"/>
      <c r="Z4" s="73"/>
      <c r="AA4" s="73"/>
      <c r="AB4" s="73"/>
      <c r="AC4" s="6" t="s">
        <v>72</v>
      </c>
      <c r="AD4" s="4" t="s">
        <v>73</v>
      </c>
      <c r="AE4" s="87" t="s">
        <v>74</v>
      </c>
    </row>
    <row r="5" ht="18" customHeight="1" spans="1:31">
      <c r="A5" s="88" t="s">
        <v>75</v>
      </c>
      <c r="B5" s="88" t="s">
        <v>76</v>
      </c>
      <c r="C5" s="88" t="s">
        <v>77</v>
      </c>
      <c r="D5" s="83" t="s">
        <v>9</v>
      </c>
      <c r="E5" s="83" t="s">
        <v>10</v>
      </c>
      <c r="F5" s="83" t="s">
        <v>11</v>
      </c>
      <c r="G5" s="83" t="s">
        <v>12</v>
      </c>
      <c r="H5" s="83" t="s">
        <v>13</v>
      </c>
      <c r="I5" s="89" t="s">
        <v>9</v>
      </c>
      <c r="J5" s="89" t="s">
        <v>10</v>
      </c>
      <c r="K5" s="89" t="s">
        <v>11</v>
      </c>
      <c r="L5" s="89" t="s">
        <v>12</v>
      </c>
      <c r="M5" s="89" t="s">
        <v>13</v>
      </c>
      <c r="N5" s="31" t="s">
        <v>9</v>
      </c>
      <c r="O5" s="31" t="s">
        <v>10</v>
      </c>
      <c r="P5" s="31" t="s">
        <v>11</v>
      </c>
      <c r="Q5" s="31" t="s">
        <v>12</v>
      </c>
      <c r="R5" s="31" t="s">
        <v>13</v>
      </c>
      <c r="S5" s="90" t="s">
        <v>9</v>
      </c>
      <c r="T5" s="90" t="s">
        <v>10</v>
      </c>
      <c r="U5" s="90" t="s">
        <v>11</v>
      </c>
      <c r="V5" s="90" t="s">
        <v>12</v>
      </c>
      <c r="W5" s="90" t="s">
        <v>13</v>
      </c>
      <c r="X5" s="91" t="s">
        <v>9</v>
      </c>
      <c r="Y5" s="91" t="s">
        <v>10</v>
      </c>
      <c r="Z5" s="91" t="s">
        <v>11</v>
      </c>
      <c r="AA5" s="91" t="s">
        <v>12</v>
      </c>
      <c r="AB5" s="91" t="s">
        <v>13</v>
      </c>
      <c r="AC5" s="92" t="s">
        <v>78</v>
      </c>
      <c r="AD5" s="93" t="s">
        <v>78</v>
      </c>
      <c r="AE5" s="94" t="s">
        <v>78</v>
      </c>
    </row>
    <row r="6" ht="18" customHeight="1" spans="1:31">
      <c r="A6" s="95" t="s">
        <v>79</v>
      </c>
      <c r="B6" s="95"/>
      <c r="C6" s="95"/>
      <c r="D6" s="96">
        <v>6</v>
      </c>
      <c r="E6" s="96">
        <v>6</v>
      </c>
      <c r="F6" s="96">
        <v>6</v>
      </c>
      <c r="G6" s="96">
        <v>6</v>
      </c>
      <c r="H6" s="96">
        <v>6</v>
      </c>
      <c r="I6" s="96">
        <v>6</v>
      </c>
      <c r="J6" s="96">
        <v>6</v>
      </c>
      <c r="K6" s="96">
        <v>6</v>
      </c>
      <c r="L6" s="96">
        <v>6</v>
      </c>
      <c r="M6" s="96">
        <v>6</v>
      </c>
      <c r="N6" s="96">
        <v>2</v>
      </c>
      <c r="O6" s="96">
        <v>2</v>
      </c>
      <c r="P6" s="96">
        <v>2</v>
      </c>
      <c r="Q6" s="96">
        <v>2</v>
      </c>
      <c r="R6" s="96">
        <v>2</v>
      </c>
      <c r="S6" s="96">
        <v>2</v>
      </c>
      <c r="T6" s="96">
        <v>2</v>
      </c>
      <c r="U6" s="96">
        <v>2</v>
      </c>
      <c r="V6" s="96">
        <v>2</v>
      </c>
      <c r="W6" s="96">
        <v>2</v>
      </c>
      <c r="X6" s="96">
        <v>20</v>
      </c>
      <c r="Y6" s="96">
        <v>20</v>
      </c>
      <c r="Z6" s="96">
        <v>20</v>
      </c>
      <c r="AA6" s="96">
        <v>20</v>
      </c>
      <c r="AB6" s="96">
        <v>20</v>
      </c>
      <c r="AC6" s="97">
        <v>50</v>
      </c>
      <c r="AD6" s="98">
        <v>50</v>
      </c>
      <c r="AE6" s="99">
        <v>100</v>
      </c>
    </row>
    <row r="7" ht="12.75" customHeight="1" spans="1:31">
      <c r="A7" s="100" t="s">
        <v>80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</row>
    <row r="8" ht="16.5" customHeight="1" spans="1:31">
      <c r="A8" s="20">
        <v>1</v>
      </c>
      <c r="B8" s="20" t="s">
        <v>81</v>
      </c>
      <c r="C8" s="101" t="s">
        <v>82</v>
      </c>
      <c r="D8" s="102">
        <v>5.04</v>
      </c>
      <c r="E8" s="102">
        <v>5.86</v>
      </c>
      <c r="F8" s="102">
        <v>3.43</v>
      </c>
      <c r="G8" s="102">
        <v>4.82</v>
      </c>
      <c r="H8" s="102">
        <v>5.34</v>
      </c>
      <c r="I8" s="102">
        <v>3.1</v>
      </c>
      <c r="J8" s="102">
        <v>3.2</v>
      </c>
      <c r="K8" s="102">
        <v>5.34</v>
      </c>
      <c r="L8" s="102">
        <v>4.1</v>
      </c>
      <c r="M8" s="102">
        <v>4.15</v>
      </c>
      <c r="N8" s="102">
        <v>1.57</v>
      </c>
      <c r="O8" s="102">
        <v>1.61</v>
      </c>
      <c r="P8" s="102">
        <v>1.68</v>
      </c>
      <c r="Q8" s="102">
        <v>1.95</v>
      </c>
      <c r="R8" s="102">
        <v>1.37</v>
      </c>
      <c r="S8" s="102">
        <v>1.76</v>
      </c>
      <c r="T8" s="102">
        <v>1.57</v>
      </c>
      <c r="U8" s="102">
        <v>1.53</v>
      </c>
      <c r="V8" s="102">
        <v>1.4</v>
      </c>
      <c r="W8" s="102">
        <v>1.65</v>
      </c>
      <c r="X8" s="102">
        <v>12.5</v>
      </c>
      <c r="Y8" s="102">
        <v>11.13</v>
      </c>
      <c r="Z8" s="102">
        <v>17.36</v>
      </c>
      <c r="AA8" s="102">
        <v>14.99</v>
      </c>
      <c r="AB8" s="102">
        <v>13.87</v>
      </c>
      <c r="AC8" s="103">
        <f t="shared" ref="AC8:AC27" si="0">(SUM(D8:H8)+SUM(I8:M8))/2+SUM(N8:R8)+SUM(S8:W8)</f>
        <v>38.28</v>
      </c>
      <c r="AD8" s="104">
        <f t="shared" ref="AD8:AD27" si="1">SUM(X8:AB8)/100*50</f>
        <v>34.925</v>
      </c>
      <c r="AE8" s="105">
        <f t="shared" ref="AE8:AE27" si="2">AC8+AD8</f>
        <v>73.205</v>
      </c>
    </row>
    <row r="9" ht="16.5" customHeight="1" spans="1:31">
      <c r="A9" s="33">
        <v>2</v>
      </c>
      <c r="B9" s="33" t="s">
        <v>83</v>
      </c>
      <c r="C9" s="106" t="s">
        <v>84</v>
      </c>
      <c r="D9" s="107">
        <v>4.69</v>
      </c>
      <c r="E9" s="107">
        <v>3.79</v>
      </c>
      <c r="F9" s="107">
        <v>3.78</v>
      </c>
      <c r="G9" s="107">
        <v>4.34</v>
      </c>
      <c r="H9" s="107">
        <v>5.99</v>
      </c>
      <c r="I9" s="107">
        <v>3.86</v>
      </c>
      <c r="J9" s="107">
        <v>5.75</v>
      </c>
      <c r="K9" s="107">
        <v>4.47</v>
      </c>
      <c r="L9" s="107">
        <v>3.37</v>
      </c>
      <c r="M9" s="107">
        <v>5.56</v>
      </c>
      <c r="N9" s="107">
        <v>1.45</v>
      </c>
      <c r="O9" s="107">
        <v>1.9</v>
      </c>
      <c r="P9" s="107">
        <v>1.45</v>
      </c>
      <c r="Q9" s="107">
        <v>1.09</v>
      </c>
      <c r="R9" s="107">
        <v>1.68</v>
      </c>
      <c r="S9" s="107">
        <v>1.85</v>
      </c>
      <c r="T9" s="107">
        <v>1.32</v>
      </c>
      <c r="U9" s="107">
        <v>1.35</v>
      </c>
      <c r="V9" s="107">
        <v>1.06</v>
      </c>
      <c r="W9" s="107">
        <v>1.54</v>
      </c>
      <c r="X9" s="107">
        <v>18.91</v>
      </c>
      <c r="Y9" s="107">
        <v>18.51</v>
      </c>
      <c r="Z9" s="107">
        <v>17.12</v>
      </c>
      <c r="AA9" s="107">
        <v>19.27</v>
      </c>
      <c r="AB9" s="107">
        <v>16.38</v>
      </c>
      <c r="AC9" s="103">
        <f t="shared" si="0"/>
        <v>37.49</v>
      </c>
      <c r="AD9" s="104">
        <f t="shared" si="1"/>
        <v>45.095</v>
      </c>
      <c r="AE9" s="105">
        <f t="shared" si="2"/>
        <v>82.585</v>
      </c>
    </row>
    <row r="10" ht="16.5" customHeight="1" spans="1:31">
      <c r="A10" s="20">
        <v>3</v>
      </c>
      <c r="B10" s="20" t="s">
        <v>85</v>
      </c>
      <c r="C10" s="101" t="s">
        <v>86</v>
      </c>
      <c r="D10" s="102">
        <v>5.38</v>
      </c>
      <c r="E10" s="102">
        <v>4.53</v>
      </c>
      <c r="F10" s="102">
        <v>3.36</v>
      </c>
      <c r="G10" s="102">
        <v>3.6</v>
      </c>
      <c r="H10" s="102">
        <v>3.42</v>
      </c>
      <c r="I10" s="102">
        <v>5.37</v>
      </c>
      <c r="J10" s="102">
        <v>3.08</v>
      </c>
      <c r="K10" s="102">
        <v>4.66</v>
      </c>
      <c r="L10" s="102">
        <v>4.11</v>
      </c>
      <c r="M10" s="102">
        <v>5.41</v>
      </c>
      <c r="N10" s="102">
        <v>1.55</v>
      </c>
      <c r="O10" s="102">
        <v>1.61</v>
      </c>
      <c r="P10" s="102">
        <v>1.09</v>
      </c>
      <c r="Q10" s="102">
        <v>1.31</v>
      </c>
      <c r="R10" s="102">
        <v>2</v>
      </c>
      <c r="S10" s="102">
        <v>1.72</v>
      </c>
      <c r="T10" s="102">
        <v>1.53</v>
      </c>
      <c r="U10" s="102">
        <v>1.77</v>
      </c>
      <c r="V10" s="102">
        <v>1.82</v>
      </c>
      <c r="W10" s="102">
        <v>1.07</v>
      </c>
      <c r="X10" s="102">
        <v>19.72</v>
      </c>
      <c r="Y10" s="102">
        <v>16.42</v>
      </c>
      <c r="Z10" s="102">
        <v>14.5</v>
      </c>
      <c r="AA10" s="102">
        <v>16.8</v>
      </c>
      <c r="AB10" s="102">
        <v>13.45</v>
      </c>
      <c r="AC10" s="103">
        <f t="shared" si="0"/>
        <v>36.93</v>
      </c>
      <c r="AD10" s="104">
        <f t="shared" si="1"/>
        <v>40.445</v>
      </c>
      <c r="AE10" s="105">
        <f t="shared" si="2"/>
        <v>77.375</v>
      </c>
    </row>
    <row r="11" ht="16.5" customHeight="1" spans="1:31">
      <c r="A11" s="33">
        <v>4</v>
      </c>
      <c r="B11" s="33" t="s">
        <v>87</v>
      </c>
      <c r="C11" s="106" t="s">
        <v>88</v>
      </c>
      <c r="D11" s="107">
        <v>5.63</v>
      </c>
      <c r="E11" s="107">
        <v>5.34</v>
      </c>
      <c r="F11" s="107">
        <v>4.92</v>
      </c>
      <c r="G11" s="107">
        <v>3.55</v>
      </c>
      <c r="H11" s="107">
        <v>5.9</v>
      </c>
      <c r="I11" s="107">
        <v>4.3</v>
      </c>
      <c r="J11" s="107">
        <v>5.73</v>
      </c>
      <c r="K11" s="107">
        <v>3.17</v>
      </c>
      <c r="L11" s="107">
        <v>3.37</v>
      </c>
      <c r="M11" s="107">
        <v>3.46</v>
      </c>
      <c r="N11" s="107">
        <v>1.16</v>
      </c>
      <c r="O11" s="107">
        <v>1.32</v>
      </c>
      <c r="P11" s="107">
        <v>1.71</v>
      </c>
      <c r="Q11" s="107">
        <v>1.35</v>
      </c>
      <c r="R11" s="107">
        <v>1.94</v>
      </c>
      <c r="S11" s="107">
        <v>1.89</v>
      </c>
      <c r="T11" s="107">
        <v>1.85</v>
      </c>
      <c r="U11" s="107">
        <v>1.25</v>
      </c>
      <c r="V11" s="107">
        <v>1.64</v>
      </c>
      <c r="W11" s="107">
        <v>1.55</v>
      </c>
      <c r="X11" s="107">
        <v>11.25</v>
      </c>
      <c r="Y11" s="107">
        <v>13.03</v>
      </c>
      <c r="Z11" s="107">
        <v>15.33</v>
      </c>
      <c r="AA11" s="107">
        <v>15.03</v>
      </c>
      <c r="AB11" s="107">
        <v>11.69</v>
      </c>
      <c r="AC11" s="103">
        <f t="shared" si="0"/>
        <v>38.345</v>
      </c>
      <c r="AD11" s="104">
        <f t="shared" si="1"/>
        <v>33.165</v>
      </c>
      <c r="AE11" s="105">
        <f t="shared" si="2"/>
        <v>71.51</v>
      </c>
    </row>
    <row r="12" ht="16.5" customHeight="1" spans="1:31">
      <c r="A12" s="20">
        <v>5</v>
      </c>
      <c r="B12" s="20" t="s">
        <v>89</v>
      </c>
      <c r="C12" s="101" t="s">
        <v>90</v>
      </c>
      <c r="D12" s="102">
        <v>5.82</v>
      </c>
      <c r="E12" s="102">
        <v>3.46</v>
      </c>
      <c r="F12" s="102">
        <v>4.98</v>
      </c>
      <c r="G12" s="102">
        <v>5.16</v>
      </c>
      <c r="H12" s="102">
        <v>4.82</v>
      </c>
      <c r="I12" s="102">
        <v>5.53</v>
      </c>
      <c r="J12" s="102">
        <v>4.69</v>
      </c>
      <c r="K12" s="102">
        <v>5.48</v>
      </c>
      <c r="L12" s="102">
        <v>3.09</v>
      </c>
      <c r="M12" s="102">
        <v>3.14</v>
      </c>
      <c r="N12" s="102">
        <v>1.64</v>
      </c>
      <c r="O12" s="102">
        <v>1.58</v>
      </c>
      <c r="P12" s="102">
        <v>1.65</v>
      </c>
      <c r="Q12" s="102">
        <v>1.77</v>
      </c>
      <c r="R12" s="102">
        <v>1.42</v>
      </c>
      <c r="S12" s="102">
        <v>1.64</v>
      </c>
      <c r="T12" s="102">
        <v>1.5</v>
      </c>
      <c r="U12" s="102">
        <v>1.63</v>
      </c>
      <c r="V12" s="102">
        <v>1.29</v>
      </c>
      <c r="W12" s="102">
        <v>1.96</v>
      </c>
      <c r="X12" s="102">
        <v>14.83</v>
      </c>
      <c r="Y12" s="102">
        <v>18.05</v>
      </c>
      <c r="Z12" s="102">
        <v>16.85</v>
      </c>
      <c r="AA12" s="102">
        <v>12.97</v>
      </c>
      <c r="AB12" s="102">
        <v>10.73</v>
      </c>
      <c r="AC12" s="103">
        <f t="shared" si="0"/>
        <v>39.165</v>
      </c>
      <c r="AD12" s="104">
        <f t="shared" si="1"/>
        <v>36.715</v>
      </c>
      <c r="AE12" s="105">
        <f t="shared" si="2"/>
        <v>75.88</v>
      </c>
    </row>
    <row r="13" ht="16.5" customHeight="1" spans="1:31">
      <c r="A13" s="33">
        <v>6</v>
      </c>
      <c r="B13" s="33" t="s">
        <v>91</v>
      </c>
      <c r="C13" s="106" t="s">
        <v>92</v>
      </c>
      <c r="D13" s="107">
        <v>3.18</v>
      </c>
      <c r="E13" s="107">
        <v>4.32</v>
      </c>
      <c r="F13" s="107">
        <v>4.45</v>
      </c>
      <c r="G13" s="107">
        <v>3.61</v>
      </c>
      <c r="H13" s="107">
        <v>4.82</v>
      </c>
      <c r="I13" s="107">
        <v>3.94</v>
      </c>
      <c r="J13" s="107">
        <v>5.16</v>
      </c>
      <c r="K13" s="107">
        <v>5.2</v>
      </c>
      <c r="L13" s="107">
        <v>5.58</v>
      </c>
      <c r="M13" s="107">
        <v>5.93</v>
      </c>
      <c r="N13" s="107">
        <v>1.13</v>
      </c>
      <c r="O13" s="107">
        <v>1.37</v>
      </c>
      <c r="P13" s="107">
        <v>1.56</v>
      </c>
      <c r="Q13" s="107">
        <v>1.32</v>
      </c>
      <c r="R13" s="107">
        <v>1.47</v>
      </c>
      <c r="S13" s="107">
        <v>1.27</v>
      </c>
      <c r="T13" s="107">
        <v>1.25</v>
      </c>
      <c r="U13" s="107">
        <v>1.1</v>
      </c>
      <c r="V13" s="107">
        <v>1.29</v>
      </c>
      <c r="W13" s="107">
        <v>1.38</v>
      </c>
      <c r="X13" s="107">
        <v>16.15</v>
      </c>
      <c r="Y13" s="107">
        <v>12.48</v>
      </c>
      <c r="Z13" s="107">
        <v>18.65</v>
      </c>
      <c r="AA13" s="107">
        <v>11.6</v>
      </c>
      <c r="AB13" s="107">
        <v>13.27</v>
      </c>
      <c r="AC13" s="103">
        <f t="shared" si="0"/>
        <v>36.235</v>
      </c>
      <c r="AD13" s="104">
        <f t="shared" si="1"/>
        <v>36.075</v>
      </c>
      <c r="AE13" s="105">
        <f t="shared" si="2"/>
        <v>72.31</v>
      </c>
    </row>
    <row r="14" ht="16.5" customHeight="1" spans="1:31">
      <c r="A14" s="20">
        <v>7</v>
      </c>
      <c r="B14" s="20" t="s">
        <v>93</v>
      </c>
      <c r="C14" s="101" t="s">
        <v>94</v>
      </c>
      <c r="D14" s="102">
        <v>4.73</v>
      </c>
      <c r="E14" s="102">
        <v>3.94</v>
      </c>
      <c r="F14" s="102">
        <v>5.29</v>
      </c>
      <c r="G14" s="102">
        <v>4.49</v>
      </c>
      <c r="H14" s="102">
        <v>4.54</v>
      </c>
      <c r="I14" s="102">
        <v>4.5</v>
      </c>
      <c r="J14" s="102">
        <v>3.93</v>
      </c>
      <c r="K14" s="102">
        <v>3.07</v>
      </c>
      <c r="L14" s="102">
        <v>5.84</v>
      </c>
      <c r="M14" s="102">
        <v>4.52</v>
      </c>
      <c r="N14" s="102">
        <v>1.97</v>
      </c>
      <c r="O14" s="102">
        <v>1.22</v>
      </c>
      <c r="P14" s="102">
        <v>1.35</v>
      </c>
      <c r="Q14" s="102">
        <v>1.05</v>
      </c>
      <c r="R14" s="102">
        <v>1.49</v>
      </c>
      <c r="S14" s="102">
        <v>1.88</v>
      </c>
      <c r="T14" s="102">
        <v>1.65</v>
      </c>
      <c r="U14" s="102">
        <v>1.47</v>
      </c>
      <c r="V14" s="102">
        <v>1.54</v>
      </c>
      <c r="W14" s="102">
        <v>1.85</v>
      </c>
      <c r="X14" s="102">
        <v>14.31</v>
      </c>
      <c r="Y14" s="102">
        <v>18.82</v>
      </c>
      <c r="Z14" s="102">
        <v>17.28</v>
      </c>
      <c r="AA14" s="102">
        <v>17.64</v>
      </c>
      <c r="AB14" s="102">
        <v>13.66</v>
      </c>
      <c r="AC14" s="103">
        <f t="shared" si="0"/>
        <v>37.895</v>
      </c>
      <c r="AD14" s="104">
        <f t="shared" si="1"/>
        <v>40.855</v>
      </c>
      <c r="AE14" s="105">
        <f t="shared" si="2"/>
        <v>78.75</v>
      </c>
    </row>
    <row r="15" ht="16.5" customHeight="1" spans="1:31">
      <c r="A15" s="33">
        <v>8</v>
      </c>
      <c r="B15" s="33" t="s">
        <v>95</v>
      </c>
      <c r="C15" s="106" t="s">
        <v>96</v>
      </c>
      <c r="D15" s="107">
        <v>4.2</v>
      </c>
      <c r="E15" s="107">
        <v>4.71</v>
      </c>
      <c r="F15" s="107">
        <v>3.58</v>
      </c>
      <c r="G15" s="107">
        <v>4.66</v>
      </c>
      <c r="H15" s="107">
        <v>3.22</v>
      </c>
      <c r="I15" s="107">
        <v>4.51</v>
      </c>
      <c r="J15" s="107">
        <v>5.29</v>
      </c>
      <c r="K15" s="107">
        <v>3.84</v>
      </c>
      <c r="L15" s="107">
        <v>5.97</v>
      </c>
      <c r="M15" s="107">
        <v>5.04</v>
      </c>
      <c r="N15" s="107">
        <v>1.12</v>
      </c>
      <c r="O15" s="107">
        <v>1.98</v>
      </c>
      <c r="P15" s="107">
        <v>1.39</v>
      </c>
      <c r="Q15" s="107">
        <v>1.79</v>
      </c>
      <c r="R15" s="107">
        <v>1.34</v>
      </c>
      <c r="S15" s="107">
        <v>1.94</v>
      </c>
      <c r="T15" s="107">
        <v>1.75</v>
      </c>
      <c r="U15" s="107">
        <v>1.2</v>
      </c>
      <c r="V15" s="107">
        <v>1.51</v>
      </c>
      <c r="W15" s="107">
        <v>1.5</v>
      </c>
      <c r="X15" s="107">
        <v>10.45</v>
      </c>
      <c r="Y15" s="107">
        <v>11.37</v>
      </c>
      <c r="Z15" s="107">
        <v>13.33</v>
      </c>
      <c r="AA15" s="107">
        <v>14.74</v>
      </c>
      <c r="AB15" s="107">
        <v>14.57</v>
      </c>
      <c r="AC15" s="103">
        <f t="shared" si="0"/>
        <v>38.03</v>
      </c>
      <c r="AD15" s="104">
        <f t="shared" si="1"/>
        <v>32.23</v>
      </c>
      <c r="AE15" s="105">
        <f t="shared" si="2"/>
        <v>70.26</v>
      </c>
    </row>
    <row r="16" ht="16.5" customHeight="1" spans="1:31">
      <c r="A16" s="20">
        <v>9</v>
      </c>
      <c r="B16" s="20" t="s">
        <v>97</v>
      </c>
      <c r="C16" s="101" t="s">
        <v>98</v>
      </c>
      <c r="D16" s="102">
        <v>4.82</v>
      </c>
      <c r="E16" s="102">
        <v>4.55</v>
      </c>
      <c r="F16" s="102">
        <v>3.98</v>
      </c>
      <c r="G16" s="102">
        <v>4.84</v>
      </c>
      <c r="H16" s="102">
        <v>3.49</v>
      </c>
      <c r="I16" s="102">
        <v>5.97</v>
      </c>
      <c r="J16" s="102">
        <v>5.22</v>
      </c>
      <c r="K16" s="102">
        <v>3.9</v>
      </c>
      <c r="L16" s="102">
        <v>4.01</v>
      </c>
      <c r="M16" s="102">
        <v>5.48</v>
      </c>
      <c r="N16" s="102">
        <v>1.53</v>
      </c>
      <c r="O16" s="102">
        <v>1.71</v>
      </c>
      <c r="P16" s="102">
        <v>1.3</v>
      </c>
      <c r="Q16" s="102">
        <v>1.82</v>
      </c>
      <c r="R16" s="102">
        <v>1.37</v>
      </c>
      <c r="S16" s="102">
        <v>1.67</v>
      </c>
      <c r="T16" s="102">
        <v>1.98</v>
      </c>
      <c r="U16" s="102">
        <v>1.58</v>
      </c>
      <c r="V16" s="102">
        <v>1.8</v>
      </c>
      <c r="W16" s="102">
        <v>1.73</v>
      </c>
      <c r="X16" s="102">
        <v>16.88</v>
      </c>
      <c r="Y16" s="102">
        <v>10.27</v>
      </c>
      <c r="Z16" s="102">
        <v>14.75</v>
      </c>
      <c r="AA16" s="102">
        <v>19.67</v>
      </c>
      <c r="AB16" s="102">
        <v>17.83</v>
      </c>
      <c r="AC16" s="103">
        <f t="shared" si="0"/>
        <v>39.62</v>
      </c>
      <c r="AD16" s="104">
        <f t="shared" si="1"/>
        <v>39.7</v>
      </c>
      <c r="AE16" s="105">
        <f t="shared" si="2"/>
        <v>79.32</v>
      </c>
    </row>
    <row r="17" ht="16.5" customHeight="1" spans="1:31">
      <c r="A17" s="33">
        <v>10</v>
      </c>
      <c r="B17" s="33" t="s">
        <v>99</v>
      </c>
      <c r="C17" s="106" t="s">
        <v>100</v>
      </c>
      <c r="D17" s="107">
        <v>5.33</v>
      </c>
      <c r="E17" s="107">
        <v>4.73</v>
      </c>
      <c r="F17" s="107">
        <v>5.16</v>
      </c>
      <c r="G17" s="107">
        <v>4.75</v>
      </c>
      <c r="H17" s="107">
        <v>3.51</v>
      </c>
      <c r="I17" s="107">
        <v>4.89</v>
      </c>
      <c r="J17" s="107">
        <v>4.86</v>
      </c>
      <c r="K17" s="107">
        <v>5.52</v>
      </c>
      <c r="L17" s="107">
        <v>3.44</v>
      </c>
      <c r="M17" s="107">
        <v>5.04</v>
      </c>
      <c r="N17" s="107">
        <v>1.03</v>
      </c>
      <c r="O17" s="107">
        <v>1.95</v>
      </c>
      <c r="P17" s="107">
        <v>1.11</v>
      </c>
      <c r="Q17" s="107">
        <v>1.02</v>
      </c>
      <c r="R17" s="107">
        <v>1.31</v>
      </c>
      <c r="S17" s="107">
        <v>1.15</v>
      </c>
      <c r="T17" s="107">
        <v>1.69</v>
      </c>
      <c r="U17" s="107">
        <v>1.41</v>
      </c>
      <c r="V17" s="107">
        <v>1.77</v>
      </c>
      <c r="W17" s="107">
        <v>1.92</v>
      </c>
      <c r="X17" s="107">
        <v>18.73</v>
      </c>
      <c r="Y17" s="107">
        <v>17.36</v>
      </c>
      <c r="Z17" s="107">
        <v>10.62</v>
      </c>
      <c r="AA17" s="107">
        <v>11.38</v>
      </c>
      <c r="AB17" s="107">
        <v>12.07</v>
      </c>
      <c r="AC17" s="103">
        <f t="shared" si="0"/>
        <v>37.975</v>
      </c>
      <c r="AD17" s="104">
        <f t="shared" si="1"/>
        <v>35.08</v>
      </c>
      <c r="AE17" s="105">
        <f t="shared" si="2"/>
        <v>73.055</v>
      </c>
    </row>
    <row r="18" ht="16.5" customHeight="1" spans="1:31">
      <c r="A18" s="20">
        <v>11</v>
      </c>
      <c r="B18" s="20" t="s">
        <v>101</v>
      </c>
      <c r="C18" s="101" t="s">
        <v>102</v>
      </c>
      <c r="D18" s="102">
        <v>3.98</v>
      </c>
      <c r="E18" s="102">
        <v>4.99</v>
      </c>
      <c r="F18" s="102">
        <v>4.58</v>
      </c>
      <c r="G18" s="102">
        <v>3.94</v>
      </c>
      <c r="H18" s="102">
        <v>3.52</v>
      </c>
      <c r="I18" s="102">
        <v>5.74</v>
      </c>
      <c r="J18" s="102">
        <v>4.03</v>
      </c>
      <c r="K18" s="102">
        <v>4.06</v>
      </c>
      <c r="L18" s="102">
        <v>5.32</v>
      </c>
      <c r="M18" s="102">
        <v>5.16</v>
      </c>
      <c r="N18" s="102">
        <v>1.64</v>
      </c>
      <c r="O18" s="102">
        <v>1.69</v>
      </c>
      <c r="P18" s="102">
        <v>1.61</v>
      </c>
      <c r="Q18" s="102">
        <v>1.19</v>
      </c>
      <c r="R18" s="102">
        <v>1.25</v>
      </c>
      <c r="S18" s="102">
        <v>1.56</v>
      </c>
      <c r="T18" s="102">
        <v>1.22</v>
      </c>
      <c r="U18" s="102">
        <v>1.97</v>
      </c>
      <c r="V18" s="102">
        <v>1.3</v>
      </c>
      <c r="W18" s="102">
        <v>1.29</v>
      </c>
      <c r="X18" s="102">
        <v>12.07</v>
      </c>
      <c r="Y18" s="102">
        <v>17.05</v>
      </c>
      <c r="Z18" s="102">
        <v>13.17</v>
      </c>
      <c r="AA18" s="102">
        <v>13.49</v>
      </c>
      <c r="AB18" s="102">
        <v>19.34</v>
      </c>
      <c r="AC18" s="103">
        <f t="shared" si="0"/>
        <v>37.38</v>
      </c>
      <c r="AD18" s="104">
        <f t="shared" si="1"/>
        <v>37.56</v>
      </c>
      <c r="AE18" s="105">
        <f t="shared" si="2"/>
        <v>74.94</v>
      </c>
    </row>
    <row r="19" ht="16.5" customHeight="1" spans="1:31">
      <c r="A19" s="33">
        <v>12</v>
      </c>
      <c r="B19" s="33" t="s">
        <v>103</v>
      </c>
      <c r="C19" s="106" t="s">
        <v>104</v>
      </c>
      <c r="D19" s="107">
        <v>5.39</v>
      </c>
      <c r="E19" s="107">
        <v>3.82</v>
      </c>
      <c r="F19" s="107">
        <v>3.37</v>
      </c>
      <c r="G19" s="107">
        <v>5.03</v>
      </c>
      <c r="H19" s="107">
        <v>4.14</v>
      </c>
      <c r="I19" s="107">
        <v>5.94</v>
      </c>
      <c r="J19" s="107">
        <v>5.46</v>
      </c>
      <c r="K19" s="107">
        <v>5.86</v>
      </c>
      <c r="L19" s="107">
        <v>5.41</v>
      </c>
      <c r="M19" s="107">
        <v>3.87</v>
      </c>
      <c r="N19" s="107">
        <v>1.29</v>
      </c>
      <c r="O19" s="107">
        <v>1.71</v>
      </c>
      <c r="P19" s="107">
        <v>1.35</v>
      </c>
      <c r="Q19" s="107">
        <v>1.44</v>
      </c>
      <c r="R19" s="107">
        <v>1.26</v>
      </c>
      <c r="S19" s="107">
        <v>1.48</v>
      </c>
      <c r="T19" s="107">
        <v>1.2</v>
      </c>
      <c r="U19" s="107">
        <v>1.54</v>
      </c>
      <c r="V19" s="107">
        <v>1.93</v>
      </c>
      <c r="W19" s="107">
        <v>1.7</v>
      </c>
      <c r="X19" s="107">
        <v>11.37</v>
      </c>
      <c r="Y19" s="107">
        <v>16.16</v>
      </c>
      <c r="Z19" s="107">
        <v>15.87</v>
      </c>
      <c r="AA19" s="107">
        <v>12.42</v>
      </c>
      <c r="AB19" s="107">
        <v>16.7</v>
      </c>
      <c r="AC19" s="103">
        <f t="shared" si="0"/>
        <v>39.045</v>
      </c>
      <c r="AD19" s="104">
        <f t="shared" si="1"/>
        <v>36.26</v>
      </c>
      <c r="AE19" s="105">
        <f t="shared" si="2"/>
        <v>75.305</v>
      </c>
    </row>
    <row r="20" ht="16.5" customHeight="1" spans="1:31">
      <c r="A20" s="20">
        <v>13</v>
      </c>
      <c r="B20" s="20" t="s">
        <v>105</v>
      </c>
      <c r="C20" s="101" t="s">
        <v>106</v>
      </c>
      <c r="D20" s="102">
        <v>4.59</v>
      </c>
      <c r="E20" s="102">
        <v>4.91</v>
      </c>
      <c r="F20" s="102">
        <v>3.16</v>
      </c>
      <c r="G20" s="102">
        <v>4.24</v>
      </c>
      <c r="H20" s="102">
        <v>5.15</v>
      </c>
      <c r="I20" s="102">
        <v>3.3</v>
      </c>
      <c r="J20" s="102">
        <v>5.31</v>
      </c>
      <c r="K20" s="102">
        <v>3.02</v>
      </c>
      <c r="L20" s="102">
        <v>4.65</v>
      </c>
      <c r="M20" s="102">
        <v>5.79</v>
      </c>
      <c r="N20" s="102">
        <v>1.41</v>
      </c>
      <c r="O20" s="102">
        <v>1.94</v>
      </c>
      <c r="P20" s="102">
        <v>1.88</v>
      </c>
      <c r="Q20" s="102">
        <v>1.48</v>
      </c>
      <c r="R20" s="102">
        <v>1.2</v>
      </c>
      <c r="S20" s="102">
        <v>1.96</v>
      </c>
      <c r="T20" s="102">
        <v>1.32</v>
      </c>
      <c r="U20" s="102">
        <v>1.65</v>
      </c>
      <c r="V20" s="102">
        <v>1.91</v>
      </c>
      <c r="W20" s="102">
        <v>1.09</v>
      </c>
      <c r="X20" s="102">
        <v>15.74</v>
      </c>
      <c r="Y20" s="102">
        <v>15.35</v>
      </c>
      <c r="Z20" s="102">
        <v>17.23</v>
      </c>
      <c r="AA20" s="102">
        <v>19.37</v>
      </c>
      <c r="AB20" s="102">
        <v>19.13</v>
      </c>
      <c r="AC20" s="103">
        <f t="shared" si="0"/>
        <v>37.9</v>
      </c>
      <c r="AD20" s="104">
        <f t="shared" si="1"/>
        <v>43.41</v>
      </c>
      <c r="AE20" s="105">
        <f t="shared" si="2"/>
        <v>81.31</v>
      </c>
    </row>
    <row r="21" ht="16.5" customHeight="1" spans="1:31">
      <c r="A21" s="33">
        <v>14</v>
      </c>
      <c r="B21" s="33" t="s">
        <v>107</v>
      </c>
      <c r="C21" s="106" t="s">
        <v>108</v>
      </c>
      <c r="D21" s="107">
        <v>3.53</v>
      </c>
      <c r="E21" s="107">
        <v>5.65</v>
      </c>
      <c r="F21" s="107">
        <v>3.53</v>
      </c>
      <c r="G21" s="107">
        <v>5.76</v>
      </c>
      <c r="H21" s="107">
        <v>5.99</v>
      </c>
      <c r="I21" s="107">
        <v>4.19</v>
      </c>
      <c r="J21" s="107">
        <v>4.49</v>
      </c>
      <c r="K21" s="107">
        <v>5.81</v>
      </c>
      <c r="L21" s="107">
        <v>5.89</v>
      </c>
      <c r="M21" s="107">
        <v>5.78</v>
      </c>
      <c r="N21" s="107">
        <v>1.88</v>
      </c>
      <c r="O21" s="107">
        <v>1.01</v>
      </c>
      <c r="P21" s="107">
        <v>1.57</v>
      </c>
      <c r="Q21" s="107">
        <v>1.11</v>
      </c>
      <c r="R21" s="107">
        <v>1.98</v>
      </c>
      <c r="S21" s="107">
        <v>1.28</v>
      </c>
      <c r="T21" s="107">
        <v>1.99</v>
      </c>
      <c r="U21" s="107">
        <v>1.54</v>
      </c>
      <c r="V21" s="107">
        <v>1.49</v>
      </c>
      <c r="W21" s="107">
        <v>1.94</v>
      </c>
      <c r="X21" s="107">
        <v>18.51</v>
      </c>
      <c r="Y21" s="107">
        <v>14.68</v>
      </c>
      <c r="Z21" s="107">
        <v>11.93</v>
      </c>
      <c r="AA21" s="107">
        <v>11.13</v>
      </c>
      <c r="AB21" s="107">
        <v>11.62</v>
      </c>
      <c r="AC21" s="103">
        <f t="shared" si="0"/>
        <v>41.1</v>
      </c>
      <c r="AD21" s="104">
        <f t="shared" si="1"/>
        <v>33.935</v>
      </c>
      <c r="AE21" s="105">
        <f t="shared" si="2"/>
        <v>75.035</v>
      </c>
    </row>
    <row r="22" ht="16.5" customHeight="1" spans="1:31">
      <c r="A22" s="20">
        <v>15</v>
      </c>
      <c r="B22" s="20" t="s">
        <v>109</v>
      </c>
      <c r="C22" s="101" t="s">
        <v>110</v>
      </c>
      <c r="D22" s="102">
        <v>4.38</v>
      </c>
      <c r="E22" s="102">
        <v>3.77</v>
      </c>
      <c r="F22" s="102">
        <v>3.56</v>
      </c>
      <c r="G22" s="102">
        <v>5.21</v>
      </c>
      <c r="H22" s="102">
        <v>5.37</v>
      </c>
      <c r="I22" s="102">
        <v>4.7</v>
      </c>
      <c r="J22" s="102">
        <v>5.27</v>
      </c>
      <c r="K22" s="102">
        <v>3.53</v>
      </c>
      <c r="L22" s="102">
        <v>5.57</v>
      </c>
      <c r="M22" s="102">
        <v>5.69</v>
      </c>
      <c r="N22" s="102">
        <v>1.83</v>
      </c>
      <c r="O22" s="102">
        <v>1.52</v>
      </c>
      <c r="P22" s="102">
        <v>1.09</v>
      </c>
      <c r="Q22" s="102">
        <v>1.67</v>
      </c>
      <c r="R22" s="102">
        <v>1.18</v>
      </c>
      <c r="S22" s="102">
        <v>1.14</v>
      </c>
      <c r="T22" s="102">
        <v>1.32</v>
      </c>
      <c r="U22" s="102">
        <v>1.25</v>
      </c>
      <c r="V22" s="102">
        <v>1.26</v>
      </c>
      <c r="W22" s="102">
        <v>1.24</v>
      </c>
      <c r="X22" s="102">
        <v>17.54</v>
      </c>
      <c r="Y22" s="102">
        <v>19.54</v>
      </c>
      <c r="Z22" s="102">
        <v>13.02</v>
      </c>
      <c r="AA22" s="102">
        <v>17.23</v>
      </c>
      <c r="AB22" s="102">
        <v>10.11</v>
      </c>
      <c r="AC22" s="103">
        <f t="shared" si="0"/>
        <v>37.025</v>
      </c>
      <c r="AD22" s="104">
        <f t="shared" si="1"/>
        <v>38.72</v>
      </c>
      <c r="AE22" s="105">
        <f t="shared" si="2"/>
        <v>75.745</v>
      </c>
    </row>
    <row r="23" ht="16.5" customHeight="1" spans="1:31">
      <c r="A23" s="33">
        <v>16</v>
      </c>
      <c r="B23" s="33" t="s">
        <v>111</v>
      </c>
      <c r="C23" s="106" t="s">
        <v>112</v>
      </c>
      <c r="D23" s="107">
        <v>4.96</v>
      </c>
      <c r="E23" s="107">
        <v>5.08</v>
      </c>
      <c r="F23" s="107">
        <v>3.19</v>
      </c>
      <c r="G23" s="107">
        <v>3.35</v>
      </c>
      <c r="H23" s="107">
        <v>3.92</v>
      </c>
      <c r="I23" s="107">
        <v>4.22</v>
      </c>
      <c r="J23" s="107">
        <v>4.51</v>
      </c>
      <c r="K23" s="107">
        <v>5.69</v>
      </c>
      <c r="L23" s="107">
        <v>5.11</v>
      </c>
      <c r="M23" s="107">
        <v>3.93</v>
      </c>
      <c r="N23" s="107">
        <v>1.12</v>
      </c>
      <c r="O23" s="107">
        <v>1.92</v>
      </c>
      <c r="P23" s="107">
        <v>1.3</v>
      </c>
      <c r="Q23" s="107">
        <v>1.61</v>
      </c>
      <c r="R23" s="107">
        <v>1.22</v>
      </c>
      <c r="S23" s="107">
        <v>1.13</v>
      </c>
      <c r="T23" s="107">
        <v>1.15</v>
      </c>
      <c r="U23" s="107">
        <v>1.75</v>
      </c>
      <c r="V23" s="107">
        <v>1.61</v>
      </c>
      <c r="W23" s="107">
        <v>1.42</v>
      </c>
      <c r="X23" s="107">
        <v>15.49</v>
      </c>
      <c r="Y23" s="107">
        <v>14.71</v>
      </c>
      <c r="Z23" s="107">
        <v>15.38</v>
      </c>
      <c r="AA23" s="107">
        <v>16.64</v>
      </c>
      <c r="AB23" s="107">
        <v>12.18</v>
      </c>
      <c r="AC23" s="103">
        <f t="shared" si="0"/>
        <v>36.21</v>
      </c>
      <c r="AD23" s="104">
        <f t="shared" si="1"/>
        <v>37.2</v>
      </c>
      <c r="AE23" s="105">
        <f t="shared" si="2"/>
        <v>73.41</v>
      </c>
    </row>
    <row r="24" ht="16.5" customHeight="1" spans="1:31">
      <c r="A24" s="20">
        <v>17</v>
      </c>
      <c r="B24" s="20" t="s">
        <v>113</v>
      </c>
      <c r="C24" s="101" t="s">
        <v>114</v>
      </c>
      <c r="D24" s="102">
        <v>3.74</v>
      </c>
      <c r="E24" s="102">
        <v>5.26</v>
      </c>
      <c r="F24" s="102">
        <v>5.62</v>
      </c>
      <c r="G24" s="102">
        <v>3.25</v>
      </c>
      <c r="H24" s="102">
        <v>4.34</v>
      </c>
      <c r="I24" s="102">
        <v>5.11</v>
      </c>
      <c r="J24" s="102">
        <v>3.23</v>
      </c>
      <c r="K24" s="102">
        <v>4.69</v>
      </c>
      <c r="L24" s="102">
        <v>3.19</v>
      </c>
      <c r="M24" s="102">
        <v>4.64</v>
      </c>
      <c r="N24" s="102">
        <v>1.51</v>
      </c>
      <c r="O24" s="102">
        <v>1.57</v>
      </c>
      <c r="P24" s="102">
        <v>1.15</v>
      </c>
      <c r="Q24" s="102">
        <v>1.33</v>
      </c>
      <c r="R24" s="102">
        <v>1.52</v>
      </c>
      <c r="S24" s="102">
        <v>1.12</v>
      </c>
      <c r="T24" s="102">
        <v>1.21</v>
      </c>
      <c r="U24" s="102">
        <v>1.58</v>
      </c>
      <c r="V24" s="102">
        <v>1.09</v>
      </c>
      <c r="W24" s="102">
        <v>1.51</v>
      </c>
      <c r="X24" s="102">
        <v>18.09</v>
      </c>
      <c r="Y24" s="102">
        <v>14.53</v>
      </c>
      <c r="Z24" s="102">
        <v>15.13</v>
      </c>
      <c r="AA24" s="102">
        <v>14.57</v>
      </c>
      <c r="AB24" s="102">
        <v>10.58</v>
      </c>
      <c r="AC24" s="103">
        <f t="shared" si="0"/>
        <v>35.125</v>
      </c>
      <c r="AD24" s="104">
        <f t="shared" si="1"/>
        <v>36.45</v>
      </c>
      <c r="AE24" s="105">
        <f t="shared" si="2"/>
        <v>71.575</v>
      </c>
    </row>
    <row r="25" ht="16.5" customHeight="1" spans="1:31">
      <c r="A25" s="33">
        <v>18</v>
      </c>
      <c r="B25" s="33" t="s">
        <v>115</v>
      </c>
      <c r="C25" s="106" t="s">
        <v>116</v>
      </c>
      <c r="D25" s="107">
        <v>4.39</v>
      </c>
      <c r="E25" s="107">
        <v>5.42</v>
      </c>
      <c r="F25" s="107">
        <v>5.17</v>
      </c>
      <c r="G25" s="107">
        <v>4.19</v>
      </c>
      <c r="H25" s="107">
        <v>5.45</v>
      </c>
      <c r="I25" s="107">
        <v>5.24</v>
      </c>
      <c r="J25" s="107">
        <v>4.73</v>
      </c>
      <c r="K25" s="107">
        <v>3.14</v>
      </c>
      <c r="L25" s="107">
        <v>4.03</v>
      </c>
      <c r="M25" s="107">
        <v>3.19</v>
      </c>
      <c r="N25" s="107">
        <v>1.99</v>
      </c>
      <c r="O25" s="107">
        <v>1.93</v>
      </c>
      <c r="P25" s="107">
        <v>1.07</v>
      </c>
      <c r="Q25" s="107">
        <v>1.93</v>
      </c>
      <c r="R25" s="107">
        <v>1.03</v>
      </c>
      <c r="S25" s="107">
        <v>1.41</v>
      </c>
      <c r="T25" s="107">
        <v>1.77</v>
      </c>
      <c r="U25" s="107">
        <v>1.77</v>
      </c>
      <c r="V25" s="107">
        <v>1.98</v>
      </c>
      <c r="W25" s="107">
        <v>1.65</v>
      </c>
      <c r="X25" s="107">
        <v>14.2</v>
      </c>
      <c r="Y25" s="107">
        <v>19.93</v>
      </c>
      <c r="Z25" s="107">
        <v>13.82</v>
      </c>
      <c r="AA25" s="107">
        <v>18.7</v>
      </c>
      <c r="AB25" s="107">
        <v>19.07</v>
      </c>
      <c r="AC25" s="103">
        <f t="shared" si="0"/>
        <v>39.005</v>
      </c>
      <c r="AD25" s="104">
        <f t="shared" si="1"/>
        <v>42.86</v>
      </c>
      <c r="AE25" s="105">
        <f t="shared" si="2"/>
        <v>81.865</v>
      </c>
    </row>
    <row r="26" ht="16.5" customHeight="1" spans="1:31">
      <c r="A26" s="20">
        <v>19</v>
      </c>
      <c r="B26" s="20" t="s">
        <v>117</v>
      </c>
      <c r="C26" s="101" t="s">
        <v>118</v>
      </c>
      <c r="D26" s="102">
        <v>4.13</v>
      </c>
      <c r="E26" s="102">
        <v>5.05</v>
      </c>
      <c r="F26" s="102">
        <v>4.99</v>
      </c>
      <c r="G26" s="102">
        <v>4.62</v>
      </c>
      <c r="H26" s="102">
        <v>4.96</v>
      </c>
      <c r="I26" s="102">
        <v>4.04</v>
      </c>
      <c r="J26" s="102">
        <v>3.54</v>
      </c>
      <c r="K26" s="102">
        <v>4.61</v>
      </c>
      <c r="L26" s="102">
        <v>4.59</v>
      </c>
      <c r="M26" s="102">
        <v>5.18</v>
      </c>
      <c r="N26" s="102">
        <v>1.22</v>
      </c>
      <c r="O26" s="102">
        <v>1</v>
      </c>
      <c r="P26" s="102">
        <v>1.02</v>
      </c>
      <c r="Q26" s="102">
        <v>1.3</v>
      </c>
      <c r="R26" s="102">
        <v>1.67</v>
      </c>
      <c r="S26" s="102">
        <v>1.54</v>
      </c>
      <c r="T26" s="102">
        <v>1.53</v>
      </c>
      <c r="U26" s="102">
        <v>1.82</v>
      </c>
      <c r="V26" s="102">
        <v>1.25</v>
      </c>
      <c r="W26" s="102">
        <v>1.35</v>
      </c>
      <c r="X26" s="102">
        <v>12.76</v>
      </c>
      <c r="Y26" s="102">
        <v>19.37</v>
      </c>
      <c r="Z26" s="102">
        <v>17.25</v>
      </c>
      <c r="AA26" s="102">
        <v>11.13</v>
      </c>
      <c r="AB26" s="102">
        <v>18.09</v>
      </c>
      <c r="AC26" s="103">
        <f t="shared" si="0"/>
        <v>36.555</v>
      </c>
      <c r="AD26" s="104">
        <f t="shared" si="1"/>
        <v>39.3</v>
      </c>
      <c r="AE26" s="105">
        <f t="shared" si="2"/>
        <v>75.855</v>
      </c>
    </row>
    <row r="27" ht="16.5" customHeight="1" spans="1:31">
      <c r="A27" s="33">
        <v>20</v>
      </c>
      <c r="B27" s="33" t="s">
        <v>119</v>
      </c>
      <c r="C27" s="106" t="s">
        <v>120</v>
      </c>
      <c r="D27" s="107">
        <v>4.26</v>
      </c>
      <c r="E27" s="107">
        <v>5.3</v>
      </c>
      <c r="F27" s="107">
        <v>5.65</v>
      </c>
      <c r="G27" s="107">
        <v>3.05</v>
      </c>
      <c r="H27" s="107">
        <v>3.62</v>
      </c>
      <c r="I27" s="107">
        <v>3.3</v>
      </c>
      <c r="J27" s="107">
        <v>3.1</v>
      </c>
      <c r="K27" s="107">
        <v>4.79</v>
      </c>
      <c r="L27" s="107">
        <v>5.11</v>
      </c>
      <c r="M27" s="107">
        <v>3.15</v>
      </c>
      <c r="N27" s="107">
        <v>1.74</v>
      </c>
      <c r="O27" s="107">
        <v>1.4</v>
      </c>
      <c r="P27" s="107">
        <v>1.23</v>
      </c>
      <c r="Q27" s="107">
        <v>1.22</v>
      </c>
      <c r="R27" s="107">
        <v>1.86</v>
      </c>
      <c r="S27" s="107">
        <v>1.06</v>
      </c>
      <c r="T27" s="107">
        <v>1.5</v>
      </c>
      <c r="U27" s="107">
        <v>1.29</v>
      </c>
      <c r="V27" s="107">
        <v>1.82</v>
      </c>
      <c r="W27" s="107">
        <v>1.73</v>
      </c>
      <c r="X27" s="107">
        <v>13.19</v>
      </c>
      <c r="Y27" s="107">
        <v>15.98</v>
      </c>
      <c r="Z27" s="107">
        <v>16.73</v>
      </c>
      <c r="AA27" s="107">
        <v>13.21</v>
      </c>
      <c r="AB27" s="107">
        <v>13.02</v>
      </c>
      <c r="AC27" s="103">
        <f t="shared" si="0"/>
        <v>35.515</v>
      </c>
      <c r="AD27" s="104">
        <f t="shared" si="1"/>
        <v>36.065</v>
      </c>
      <c r="AE27" s="105">
        <f t="shared" si="2"/>
        <v>71.58</v>
      </c>
    </row>
    <row r="28" ht="15.15"/>
    <row r="29" ht="19.5" customHeight="1" spans="1:31">
      <c r="A29" s="73" t="s">
        <v>121</v>
      </c>
      <c r="B29" s="73"/>
      <c r="C29" s="73"/>
      <c r="D29" s="108">
        <f t="shared" ref="D29:AE29" si="3">AVERAGE(D8:D27)</f>
        <v>4.6085</v>
      </c>
      <c r="E29" s="108">
        <f t="shared" si="3"/>
        <v>4.724</v>
      </c>
      <c r="F29" s="108">
        <f t="shared" si="3"/>
        <v>4.2875</v>
      </c>
      <c r="G29" s="108">
        <f t="shared" si="3"/>
        <v>4.323</v>
      </c>
      <c r="H29" s="108">
        <f t="shared" si="3"/>
        <v>4.5755</v>
      </c>
      <c r="I29" s="108">
        <f t="shared" si="3"/>
        <v>4.5875</v>
      </c>
      <c r="J29" s="108">
        <f t="shared" si="3"/>
        <v>4.529</v>
      </c>
      <c r="K29" s="108">
        <f t="shared" si="3"/>
        <v>4.4925</v>
      </c>
      <c r="L29" s="108">
        <f t="shared" si="3"/>
        <v>4.5875</v>
      </c>
      <c r="M29" s="108">
        <f t="shared" si="3"/>
        <v>4.7055</v>
      </c>
      <c r="N29" s="108">
        <f t="shared" si="3"/>
        <v>1.489</v>
      </c>
      <c r="O29" s="108">
        <f t="shared" si="3"/>
        <v>1.597</v>
      </c>
      <c r="P29" s="108">
        <f t="shared" si="3"/>
        <v>1.378</v>
      </c>
      <c r="Q29" s="108">
        <f t="shared" si="3"/>
        <v>1.4375</v>
      </c>
      <c r="R29" s="108">
        <f t="shared" si="3"/>
        <v>1.478</v>
      </c>
      <c r="S29" s="108">
        <f t="shared" si="3"/>
        <v>1.5225</v>
      </c>
      <c r="T29" s="108">
        <f t="shared" si="3"/>
        <v>1.515</v>
      </c>
      <c r="U29" s="108">
        <f t="shared" si="3"/>
        <v>1.5225</v>
      </c>
      <c r="V29" s="108">
        <f t="shared" si="3"/>
        <v>1.538</v>
      </c>
      <c r="W29" s="108">
        <f t="shared" si="3"/>
        <v>1.5535</v>
      </c>
      <c r="X29" s="108">
        <f t="shared" si="3"/>
        <v>15.1345</v>
      </c>
      <c r="Y29" s="108">
        <f t="shared" si="3"/>
        <v>15.737</v>
      </c>
      <c r="Z29" s="108">
        <f t="shared" si="3"/>
        <v>15.266</v>
      </c>
      <c r="AA29" s="108">
        <f t="shared" si="3"/>
        <v>15.099</v>
      </c>
      <c r="AB29" s="108">
        <f t="shared" si="3"/>
        <v>14.368</v>
      </c>
      <c r="AC29" s="109">
        <f t="shared" si="3"/>
        <v>37.74125</v>
      </c>
      <c r="AD29" s="108">
        <f t="shared" si="3"/>
        <v>37.80225</v>
      </c>
      <c r="AE29" s="96">
        <f t="shared" si="3"/>
        <v>75.5435</v>
      </c>
    </row>
    <row r="30" ht="15.15"/>
    <row r="31" ht="21.75" customHeight="1" spans="1:31">
      <c r="A31" s="110" t="s">
        <v>122</v>
      </c>
      <c r="B31" s="110"/>
      <c r="C31" s="110"/>
      <c r="D31" s="111">
        <f>(IFERROR(D29/D6,0)+IFERROR(I29/I6,0)+IFERROR(N29/N6,0)+IFERROR(S29/S6,0)+IFERROR(X29/X6,0))/5</f>
        <v>0.759028333333333</v>
      </c>
      <c r="E31" s="111">
        <f>(IFERROR(E29/E6,0)+IFERROR(J29/J6,0)+IFERROR(O29/O6,0)+IFERROR(T29/T6,0)+IFERROR(Y29/Y6,0))/5</f>
        <v>0.777003333333333</v>
      </c>
      <c r="F31" s="111">
        <f>(IFERROR(F29/F6,0)+IFERROR(K29/K6,0)+IFERROR(P29/P6,0)+IFERROR(U29/U6,0)+IFERROR(Z29/Z6,0))/5</f>
        <v>0.735376666666667</v>
      </c>
      <c r="G31" s="111">
        <f>(IFERROR(G29/G6,0)+IFERROR(L29/L6,0)+IFERROR(Q29/Q6,0)+IFERROR(V29/V6,0)+IFERROR(AA29/AA6,0))/5</f>
        <v>0.745556666666667</v>
      </c>
      <c r="H31" s="111">
        <f>(IFERROR(H29/H6,0)+IFERROR(M29/M6,0)+IFERROR(R29/R6,0)+IFERROR(W29/W6,0)+IFERROR(AB29/AB6,0))/5</f>
        <v>0.756196666666667</v>
      </c>
    </row>
    <row r="32" ht="19.5" customHeight="1" spans="1:31">
      <c r="A32" s="112" t="s">
        <v>123</v>
      </c>
      <c r="B32" s="112"/>
      <c r="C32" s="112"/>
      <c r="D32" s="113">
        <f>(IFERROR(D29/D6,0)+IFERROR(I29/I6,0)+IFERROR(N29/N6,0)+IFERROR(S29/S6,0))/4</f>
        <v>0.759604166666667</v>
      </c>
      <c r="E32" s="113">
        <f>(IFERROR(E29/E6,0)+IFERROR(J29/J6,0)+IFERROR(O29/O6,0)+IFERROR(T29/T6,0))/4</f>
        <v>0.774541666666667</v>
      </c>
      <c r="F32" s="113">
        <f>(IFERROR(F29/F6,0)+IFERROR(K29/K6,0)+IFERROR(P29/P6,0)+IFERROR(U29/U6,0))/4</f>
        <v>0.728395833333333</v>
      </c>
      <c r="G32" s="113">
        <f>(IFERROR(G29/G6,0)+IFERROR(L29/L6,0)+IFERROR(Q29/Q6,0)+IFERROR(V29/V6,0))/4</f>
        <v>0.743208333333333</v>
      </c>
      <c r="H32" s="113">
        <f>(IFERROR(H29/H6,0)+IFERROR(M29/M6,0)+IFERROR(R29/R6,0)+IFERROR(W29/W6,0))/4</f>
        <v>0.765645833333333</v>
      </c>
    </row>
    <row r="33" ht="19.5" customHeight="1" spans="1:8">
      <c r="A33" s="76" t="s">
        <v>124</v>
      </c>
      <c r="B33" s="76"/>
      <c r="C33" s="76"/>
      <c r="D33" s="114">
        <f>IFERROR(X29/X6,0)</f>
        <v>0.756725</v>
      </c>
      <c r="E33" s="114">
        <f>IFERROR(Y29/Y6,0)</f>
        <v>0.78685</v>
      </c>
      <c r="F33" s="114">
        <f>IFERROR(Z29/Z6,0)</f>
        <v>0.7633</v>
      </c>
      <c r="G33" s="114">
        <f>IFERROR(AA29/AA6,0)</f>
        <v>0.75495</v>
      </c>
      <c r="H33" s="114">
        <f>IFERROR(AB29/AB6,0)</f>
        <v>0.7184</v>
      </c>
    </row>
    <row r="34" ht="19.5" customHeight="1" spans="1:8">
      <c r="A34" s="76" t="s">
        <v>125</v>
      </c>
      <c r="B34" s="76"/>
      <c r="C34" s="76"/>
      <c r="D34" s="77">
        <f>IF(D31&gt;=0.6,3,IF(D31&gt;=0.4,2,1))</f>
        <v>3</v>
      </c>
      <c r="E34" s="77">
        <f>IF(E31&gt;=0.6,3,IF(E31&gt;=0.4,2,1))</f>
        <v>3</v>
      </c>
      <c r="F34" s="77">
        <f>IF(F31&gt;=0.6,3,IF(F31&gt;=0.4,2,1))</f>
        <v>3</v>
      </c>
      <c r="G34" s="77">
        <f>IF(G31&gt;=0.6,3,IF(G31&gt;=0.4,2,1))</f>
        <v>3</v>
      </c>
      <c r="H34" s="77">
        <f>IF(H31&gt;=0.6,3,IF(H31&gt;=0.4,2,1))</f>
        <v>3</v>
      </c>
    </row>
  </sheetData>
  <mergeCells count="15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AE7"/>
    <mergeCell ref="A29:C29"/>
    <mergeCell ref="A31:C31"/>
    <mergeCell ref="A32:C32"/>
    <mergeCell ref="A33:C33"/>
    <mergeCell ref="A34:C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4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J1"/>
    </sheetView>
  </sheetViews>
  <sheetFormatPr defaultColWidth="8.67592592592593" defaultRowHeight="14.4"/>
  <cols>
    <col min="1" max="1" width="6" customWidth="1"/>
    <col min="2" max="2" width="10" customWidth="1"/>
    <col min="3" max="3" width="22" customWidth="1"/>
    <col min="4" max="36" width="9" customWidth="1"/>
  </cols>
  <sheetData>
    <row r="1" ht="31.5" customHeight="1" spans="1:36">
      <c r="A1" s="47" t="s">
        <v>129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ht="13.5" customHeight="1" spans="1:36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.5" customHeight="1"/>
    <row r="4" ht="19.5" customHeight="1" spans="1:36">
      <c r="A4" s="3" t="s">
        <v>66</v>
      </c>
      <c r="B4" s="3"/>
      <c r="C4" s="3"/>
      <c r="D4" s="84" t="s">
        <v>67</v>
      </c>
      <c r="E4" s="84"/>
      <c r="F4" s="84"/>
      <c r="G4" s="84"/>
      <c r="H4" s="84"/>
      <c r="I4" s="84"/>
      <c r="J4" s="76" t="s">
        <v>68</v>
      </c>
      <c r="K4" s="76"/>
      <c r="L4" s="76"/>
      <c r="M4" s="76"/>
      <c r="N4" s="76"/>
      <c r="O4" s="76"/>
      <c r="P4" s="85" t="s">
        <v>69</v>
      </c>
      <c r="Q4" s="85"/>
      <c r="R4" s="85"/>
      <c r="S4" s="85"/>
      <c r="T4" s="85"/>
      <c r="U4" s="85"/>
      <c r="V4" s="86" t="s">
        <v>70</v>
      </c>
      <c r="W4" s="86"/>
      <c r="X4" s="86"/>
      <c r="Y4" s="86"/>
      <c r="Z4" s="86"/>
      <c r="AA4" s="86"/>
      <c r="AB4" s="73" t="s">
        <v>71</v>
      </c>
      <c r="AC4" s="73"/>
      <c r="AD4" s="73"/>
      <c r="AE4" s="73"/>
      <c r="AF4" s="73"/>
      <c r="AG4" s="73"/>
      <c r="AH4" s="6" t="s">
        <v>72</v>
      </c>
      <c r="AI4" s="4" t="s">
        <v>73</v>
      </c>
      <c r="AJ4" s="87" t="s">
        <v>74</v>
      </c>
    </row>
    <row r="5" ht="18" customHeight="1" spans="1:36">
      <c r="A5" s="88" t="s">
        <v>75</v>
      </c>
      <c r="B5" s="88" t="s">
        <v>76</v>
      </c>
      <c r="C5" s="88" t="s">
        <v>77</v>
      </c>
      <c r="D5" s="83" t="s">
        <v>9</v>
      </c>
      <c r="E5" s="83" t="s">
        <v>10</v>
      </c>
      <c r="F5" s="83" t="s">
        <v>11</v>
      </c>
      <c r="G5" s="83" t="s">
        <v>12</v>
      </c>
      <c r="H5" s="83" t="s">
        <v>13</v>
      </c>
      <c r="I5" s="83" t="s">
        <v>130</v>
      </c>
      <c r="J5" s="89" t="s">
        <v>9</v>
      </c>
      <c r="K5" s="89" t="s">
        <v>10</v>
      </c>
      <c r="L5" s="89" t="s">
        <v>11</v>
      </c>
      <c r="M5" s="89" t="s">
        <v>12</v>
      </c>
      <c r="N5" s="89" t="s">
        <v>13</v>
      </c>
      <c r="O5" s="89" t="s">
        <v>130</v>
      </c>
      <c r="P5" s="31" t="s">
        <v>9</v>
      </c>
      <c r="Q5" s="31" t="s">
        <v>10</v>
      </c>
      <c r="R5" s="31" t="s">
        <v>11</v>
      </c>
      <c r="S5" s="31" t="s">
        <v>12</v>
      </c>
      <c r="T5" s="31" t="s">
        <v>13</v>
      </c>
      <c r="U5" s="31" t="s">
        <v>130</v>
      </c>
      <c r="V5" s="90" t="s">
        <v>9</v>
      </c>
      <c r="W5" s="90" t="s">
        <v>10</v>
      </c>
      <c r="X5" s="90" t="s">
        <v>11</v>
      </c>
      <c r="Y5" s="90" t="s">
        <v>12</v>
      </c>
      <c r="Z5" s="90" t="s">
        <v>13</v>
      </c>
      <c r="AA5" s="90" t="s">
        <v>130</v>
      </c>
      <c r="AB5" s="91" t="s">
        <v>9</v>
      </c>
      <c r="AC5" s="91" t="s">
        <v>10</v>
      </c>
      <c r="AD5" s="91" t="s">
        <v>11</v>
      </c>
      <c r="AE5" s="91" t="s">
        <v>12</v>
      </c>
      <c r="AF5" s="91" t="s">
        <v>13</v>
      </c>
      <c r="AG5" s="91" t="s">
        <v>130</v>
      </c>
      <c r="AH5" s="92" t="s">
        <v>78</v>
      </c>
      <c r="AI5" s="93" t="s">
        <v>78</v>
      </c>
      <c r="AJ5" s="94" t="s">
        <v>78</v>
      </c>
    </row>
    <row r="6" ht="18" customHeight="1" spans="1:36">
      <c r="A6" s="95" t="s">
        <v>79</v>
      </c>
      <c r="B6" s="95"/>
      <c r="C6" s="95"/>
      <c r="D6" s="96">
        <v>5</v>
      </c>
      <c r="E6" s="96">
        <v>5</v>
      </c>
      <c r="F6" s="96">
        <v>5</v>
      </c>
      <c r="G6" s="96">
        <v>5</v>
      </c>
      <c r="H6" s="96">
        <v>5</v>
      </c>
      <c r="I6" s="96">
        <v>5</v>
      </c>
      <c r="J6" s="96">
        <v>5</v>
      </c>
      <c r="K6" s="96">
        <v>5</v>
      </c>
      <c r="L6" s="96">
        <v>5</v>
      </c>
      <c r="M6" s="96">
        <v>5</v>
      </c>
      <c r="N6" s="96">
        <v>5</v>
      </c>
      <c r="O6" s="96">
        <v>5</v>
      </c>
      <c r="P6" s="96">
        <v>1.67</v>
      </c>
      <c r="Q6" s="96">
        <v>1.67</v>
      </c>
      <c r="R6" s="96">
        <v>1.67</v>
      </c>
      <c r="S6" s="96">
        <v>1.67</v>
      </c>
      <c r="T6" s="96">
        <v>1.67</v>
      </c>
      <c r="U6" s="96">
        <v>1.67</v>
      </c>
      <c r="V6" s="96">
        <v>1.67</v>
      </c>
      <c r="W6" s="96">
        <v>1.67</v>
      </c>
      <c r="X6" s="96">
        <v>1.67</v>
      </c>
      <c r="Y6" s="96">
        <v>1.67</v>
      </c>
      <c r="Z6" s="96">
        <v>1.67</v>
      </c>
      <c r="AA6" s="96">
        <v>1.67</v>
      </c>
      <c r="AB6" s="96">
        <v>16.67</v>
      </c>
      <c r="AC6" s="96">
        <v>16.67</v>
      </c>
      <c r="AD6" s="96">
        <v>16.67</v>
      </c>
      <c r="AE6" s="96">
        <v>16.67</v>
      </c>
      <c r="AF6" s="96">
        <v>16.67</v>
      </c>
      <c r="AG6" s="96">
        <v>16.67</v>
      </c>
      <c r="AH6" s="97">
        <v>50</v>
      </c>
      <c r="AI6" s="98">
        <v>50</v>
      </c>
      <c r="AJ6" s="99">
        <v>100</v>
      </c>
    </row>
    <row r="7" ht="12.75" customHeight="1" spans="1:36">
      <c r="A7" s="100" t="s">
        <v>80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</row>
    <row r="8" ht="16.5" customHeight="1" spans="1:36">
      <c r="A8" s="20">
        <v>1</v>
      </c>
      <c r="B8" s="20" t="s">
        <v>81</v>
      </c>
      <c r="C8" s="101" t="s">
        <v>82</v>
      </c>
      <c r="D8" s="102">
        <v>2.86</v>
      </c>
      <c r="E8" s="102">
        <v>4.15</v>
      </c>
      <c r="F8" s="102">
        <v>3.05</v>
      </c>
      <c r="G8" s="102">
        <v>3.25</v>
      </c>
      <c r="H8" s="102">
        <v>2.65</v>
      </c>
      <c r="I8" s="102">
        <v>4.87</v>
      </c>
      <c r="J8" s="102">
        <v>4.7</v>
      </c>
      <c r="K8" s="102">
        <v>4.78</v>
      </c>
      <c r="L8" s="102">
        <v>4.06</v>
      </c>
      <c r="M8" s="102">
        <v>3.57</v>
      </c>
      <c r="N8" s="102">
        <v>3.74</v>
      </c>
      <c r="O8" s="102">
        <v>4.93</v>
      </c>
      <c r="P8" s="102">
        <v>1.62</v>
      </c>
      <c r="Q8" s="102">
        <v>1.39</v>
      </c>
      <c r="R8" s="102">
        <v>1.49</v>
      </c>
      <c r="S8" s="102">
        <v>1.1</v>
      </c>
      <c r="T8" s="102">
        <v>1.18</v>
      </c>
      <c r="U8" s="102">
        <v>0.96</v>
      </c>
      <c r="V8" s="102">
        <v>1.15</v>
      </c>
      <c r="W8" s="102">
        <v>1.46</v>
      </c>
      <c r="X8" s="102">
        <v>1.23</v>
      </c>
      <c r="Y8" s="102">
        <v>1.54</v>
      </c>
      <c r="Z8" s="102">
        <v>1.08</v>
      </c>
      <c r="AA8" s="102">
        <v>1.42</v>
      </c>
      <c r="AB8" s="102">
        <v>15.05</v>
      </c>
      <c r="AC8" s="102">
        <v>15.96</v>
      </c>
      <c r="AD8" s="102">
        <v>13.02</v>
      </c>
      <c r="AE8" s="102">
        <v>16.4</v>
      </c>
      <c r="AF8" s="102">
        <v>12.98</v>
      </c>
      <c r="AG8" s="102">
        <v>9.45</v>
      </c>
      <c r="AH8" s="103">
        <f t="shared" ref="AH8:AH27" si="0">(SUM(D8:I8)+SUM(J8:O8))/2+SUM(P8:U8)+SUM(V8:AA8)</f>
        <v>38.925</v>
      </c>
      <c r="AI8" s="104">
        <f t="shared" ref="AI8:AI27" si="1">SUM(AB8:AG8)/100*50</f>
        <v>41.43</v>
      </c>
      <c r="AJ8" s="105">
        <f t="shared" ref="AJ8:AJ27" si="2">AH8+AI8</f>
        <v>80.355</v>
      </c>
    </row>
    <row r="9" ht="16.5" customHeight="1" spans="1:36">
      <c r="A9" s="33">
        <v>2</v>
      </c>
      <c r="B9" s="33" t="s">
        <v>83</v>
      </c>
      <c r="C9" s="106" t="s">
        <v>84</v>
      </c>
      <c r="D9" s="107">
        <v>3.11</v>
      </c>
      <c r="E9" s="107">
        <v>3.01</v>
      </c>
      <c r="F9" s="107">
        <v>4.12</v>
      </c>
      <c r="G9" s="107">
        <v>4.81</v>
      </c>
      <c r="H9" s="107">
        <v>4.62</v>
      </c>
      <c r="I9" s="107">
        <v>2.73</v>
      </c>
      <c r="J9" s="107">
        <v>4.31</v>
      </c>
      <c r="K9" s="107">
        <v>2.98</v>
      </c>
      <c r="L9" s="107">
        <v>3.17</v>
      </c>
      <c r="M9" s="107">
        <v>4.18</v>
      </c>
      <c r="N9" s="107">
        <v>4.01</v>
      </c>
      <c r="O9" s="107">
        <v>4.68</v>
      </c>
      <c r="P9" s="107">
        <v>0.99</v>
      </c>
      <c r="Q9" s="107">
        <v>1.47</v>
      </c>
      <c r="R9" s="107">
        <v>1.44</v>
      </c>
      <c r="S9" s="107">
        <v>1.3</v>
      </c>
      <c r="T9" s="107">
        <v>1.23</v>
      </c>
      <c r="U9" s="107">
        <v>1.56</v>
      </c>
      <c r="V9" s="107">
        <v>1.11</v>
      </c>
      <c r="W9" s="107">
        <v>1.63</v>
      </c>
      <c r="X9" s="107">
        <v>0.85</v>
      </c>
      <c r="Y9" s="107">
        <v>1.61</v>
      </c>
      <c r="Z9" s="107">
        <v>1.64</v>
      </c>
      <c r="AA9" s="107">
        <v>0.93</v>
      </c>
      <c r="AB9" s="107">
        <v>16.66</v>
      </c>
      <c r="AC9" s="107">
        <v>12.32</v>
      </c>
      <c r="AD9" s="107">
        <v>10.35</v>
      </c>
      <c r="AE9" s="107">
        <v>13.37</v>
      </c>
      <c r="AF9" s="107">
        <v>10.04</v>
      </c>
      <c r="AG9" s="107">
        <v>15.96</v>
      </c>
      <c r="AH9" s="103">
        <f t="shared" si="0"/>
        <v>38.625</v>
      </c>
      <c r="AI9" s="104">
        <f t="shared" si="1"/>
        <v>39.35</v>
      </c>
      <c r="AJ9" s="105">
        <f t="shared" si="2"/>
        <v>77.975</v>
      </c>
    </row>
    <row r="10" ht="16.5" customHeight="1" spans="1:36">
      <c r="A10" s="20">
        <v>3</v>
      </c>
      <c r="B10" s="20" t="s">
        <v>85</v>
      </c>
      <c r="C10" s="101" t="s">
        <v>86</v>
      </c>
      <c r="D10" s="102">
        <v>3.88</v>
      </c>
      <c r="E10" s="102">
        <v>4.44</v>
      </c>
      <c r="F10" s="102">
        <v>3.45</v>
      </c>
      <c r="G10" s="102">
        <v>3.83</v>
      </c>
      <c r="H10" s="102">
        <v>3.4</v>
      </c>
      <c r="I10" s="102">
        <v>3.15</v>
      </c>
      <c r="J10" s="102">
        <v>3.78</v>
      </c>
      <c r="K10" s="102">
        <v>3.74</v>
      </c>
      <c r="L10" s="102">
        <v>2.75</v>
      </c>
      <c r="M10" s="102">
        <v>4.95</v>
      </c>
      <c r="N10" s="102">
        <v>3.67</v>
      </c>
      <c r="O10" s="102">
        <v>4.6</v>
      </c>
      <c r="P10" s="102">
        <v>1.6</v>
      </c>
      <c r="Q10" s="102">
        <v>1.14</v>
      </c>
      <c r="R10" s="102">
        <v>1.18</v>
      </c>
      <c r="S10" s="102">
        <v>1.3</v>
      </c>
      <c r="T10" s="102">
        <v>1.02</v>
      </c>
      <c r="U10" s="102">
        <v>0.95</v>
      </c>
      <c r="V10" s="102">
        <v>1.05</v>
      </c>
      <c r="W10" s="102">
        <v>1.61</v>
      </c>
      <c r="X10" s="102">
        <v>1.32</v>
      </c>
      <c r="Y10" s="102">
        <v>1.18</v>
      </c>
      <c r="Z10" s="102">
        <v>0.96</v>
      </c>
      <c r="AA10" s="102">
        <v>1.11</v>
      </c>
      <c r="AB10" s="102">
        <v>11.5</v>
      </c>
      <c r="AC10" s="102">
        <v>15.28</v>
      </c>
      <c r="AD10" s="102">
        <v>12.49</v>
      </c>
      <c r="AE10" s="102">
        <v>13.79</v>
      </c>
      <c r="AF10" s="102">
        <v>14.04</v>
      </c>
      <c r="AG10" s="102">
        <v>10.48</v>
      </c>
      <c r="AH10" s="103">
        <f t="shared" si="0"/>
        <v>37.24</v>
      </c>
      <c r="AI10" s="104">
        <f t="shared" si="1"/>
        <v>38.79</v>
      </c>
      <c r="AJ10" s="105">
        <f t="shared" si="2"/>
        <v>76.03</v>
      </c>
    </row>
    <row r="11" ht="16.5" customHeight="1" spans="1:36">
      <c r="A11" s="33">
        <v>4</v>
      </c>
      <c r="B11" s="33" t="s">
        <v>87</v>
      </c>
      <c r="C11" s="106" t="s">
        <v>88</v>
      </c>
      <c r="D11" s="107">
        <v>4.55</v>
      </c>
      <c r="E11" s="107">
        <v>4.92</v>
      </c>
      <c r="F11" s="107">
        <v>4.1</v>
      </c>
      <c r="G11" s="107">
        <v>3.73</v>
      </c>
      <c r="H11" s="107">
        <v>2.92</v>
      </c>
      <c r="I11" s="107">
        <v>4.49</v>
      </c>
      <c r="J11" s="107">
        <v>2.92</v>
      </c>
      <c r="K11" s="107">
        <v>4.3</v>
      </c>
      <c r="L11" s="107">
        <v>3.72</v>
      </c>
      <c r="M11" s="107">
        <v>4.79</v>
      </c>
      <c r="N11" s="107">
        <v>3.86</v>
      </c>
      <c r="O11" s="107">
        <v>4.1</v>
      </c>
      <c r="P11" s="107">
        <v>0.88</v>
      </c>
      <c r="Q11" s="107">
        <v>0.86</v>
      </c>
      <c r="R11" s="107">
        <v>1.54</v>
      </c>
      <c r="S11" s="107">
        <v>1.62</v>
      </c>
      <c r="T11" s="107">
        <v>1.39</v>
      </c>
      <c r="U11" s="107">
        <v>1.47</v>
      </c>
      <c r="V11" s="107">
        <v>1.18</v>
      </c>
      <c r="W11" s="107">
        <v>1.54</v>
      </c>
      <c r="X11" s="107">
        <v>1.03</v>
      </c>
      <c r="Y11" s="107">
        <v>1.42</v>
      </c>
      <c r="Z11" s="107">
        <v>0.84</v>
      </c>
      <c r="AA11" s="107">
        <v>1.25</v>
      </c>
      <c r="AB11" s="107">
        <v>11.44</v>
      </c>
      <c r="AC11" s="107">
        <v>13.48</v>
      </c>
      <c r="AD11" s="107">
        <v>13.89</v>
      </c>
      <c r="AE11" s="107">
        <v>13.47</v>
      </c>
      <c r="AF11" s="107">
        <v>12.36</v>
      </c>
      <c r="AG11" s="107">
        <v>12.4</v>
      </c>
      <c r="AH11" s="103">
        <f t="shared" si="0"/>
        <v>39.22</v>
      </c>
      <c r="AI11" s="104">
        <f t="shared" si="1"/>
        <v>38.52</v>
      </c>
      <c r="AJ11" s="105">
        <f t="shared" si="2"/>
        <v>77.74</v>
      </c>
    </row>
    <row r="12" ht="16.5" customHeight="1" spans="1:36">
      <c r="A12" s="20">
        <v>5</v>
      </c>
      <c r="B12" s="20" t="s">
        <v>89</v>
      </c>
      <c r="C12" s="101" t="s">
        <v>90</v>
      </c>
      <c r="D12" s="102">
        <v>2.52</v>
      </c>
      <c r="E12" s="102">
        <v>3.88</v>
      </c>
      <c r="F12" s="102">
        <v>2.53</v>
      </c>
      <c r="G12" s="102">
        <v>3.82</v>
      </c>
      <c r="H12" s="102">
        <v>3.19</v>
      </c>
      <c r="I12" s="102">
        <v>4.94</v>
      </c>
      <c r="J12" s="102">
        <v>2.54</v>
      </c>
      <c r="K12" s="102">
        <v>4.53</v>
      </c>
      <c r="L12" s="102">
        <v>4.19</v>
      </c>
      <c r="M12" s="102">
        <v>4.52</v>
      </c>
      <c r="N12" s="102">
        <v>4.77</v>
      </c>
      <c r="O12" s="102">
        <v>2.77</v>
      </c>
      <c r="P12" s="102">
        <v>0.91</v>
      </c>
      <c r="Q12" s="102">
        <v>0.96</v>
      </c>
      <c r="R12" s="102">
        <v>0.99</v>
      </c>
      <c r="S12" s="102">
        <v>1.27</v>
      </c>
      <c r="T12" s="102">
        <v>1.51</v>
      </c>
      <c r="U12" s="102">
        <v>1.06</v>
      </c>
      <c r="V12" s="102">
        <v>1.16</v>
      </c>
      <c r="W12" s="102">
        <v>1.14</v>
      </c>
      <c r="X12" s="102">
        <v>1.17</v>
      </c>
      <c r="Y12" s="102">
        <v>1.3</v>
      </c>
      <c r="Z12" s="102">
        <v>1.66</v>
      </c>
      <c r="AA12" s="102">
        <v>1.02</v>
      </c>
      <c r="AB12" s="102">
        <v>14.03</v>
      </c>
      <c r="AC12" s="102">
        <v>15.4</v>
      </c>
      <c r="AD12" s="102">
        <v>13.78</v>
      </c>
      <c r="AE12" s="102">
        <v>15.49</v>
      </c>
      <c r="AF12" s="102">
        <v>14.66</v>
      </c>
      <c r="AG12" s="102">
        <v>9.11</v>
      </c>
      <c r="AH12" s="103">
        <f t="shared" si="0"/>
        <v>36.25</v>
      </c>
      <c r="AI12" s="104">
        <f t="shared" si="1"/>
        <v>41.235</v>
      </c>
      <c r="AJ12" s="105">
        <f t="shared" si="2"/>
        <v>77.485</v>
      </c>
    </row>
    <row r="13" ht="16.5" customHeight="1" spans="1:36">
      <c r="A13" s="33">
        <v>6</v>
      </c>
      <c r="B13" s="33" t="s">
        <v>91</v>
      </c>
      <c r="C13" s="106" t="s">
        <v>92</v>
      </c>
      <c r="D13" s="107">
        <v>3.45</v>
      </c>
      <c r="E13" s="107">
        <v>3.88</v>
      </c>
      <c r="F13" s="107">
        <v>2.64</v>
      </c>
      <c r="G13" s="107">
        <v>2.52</v>
      </c>
      <c r="H13" s="107">
        <v>2.93</v>
      </c>
      <c r="I13" s="107">
        <v>3.75</v>
      </c>
      <c r="J13" s="107">
        <v>3.58</v>
      </c>
      <c r="K13" s="107">
        <v>4.46</v>
      </c>
      <c r="L13" s="107">
        <v>3.91</v>
      </c>
      <c r="M13" s="107">
        <v>4.64</v>
      </c>
      <c r="N13" s="107">
        <v>2.74</v>
      </c>
      <c r="O13" s="107">
        <v>3.82</v>
      </c>
      <c r="P13" s="107">
        <v>0.87</v>
      </c>
      <c r="Q13" s="107">
        <v>1.01</v>
      </c>
      <c r="R13" s="107">
        <v>1.56</v>
      </c>
      <c r="S13" s="107">
        <v>1.57</v>
      </c>
      <c r="T13" s="107">
        <v>1.23</v>
      </c>
      <c r="U13" s="107">
        <v>0.87</v>
      </c>
      <c r="V13" s="107">
        <v>0.9</v>
      </c>
      <c r="W13" s="107">
        <v>1.6</v>
      </c>
      <c r="X13" s="107">
        <v>1.58</v>
      </c>
      <c r="Y13" s="107">
        <v>1.3</v>
      </c>
      <c r="Z13" s="107">
        <v>0.86</v>
      </c>
      <c r="AA13" s="107">
        <v>1.61</v>
      </c>
      <c r="AB13" s="107">
        <v>10.95</v>
      </c>
      <c r="AC13" s="107">
        <v>16.35</v>
      </c>
      <c r="AD13" s="107">
        <v>13.23</v>
      </c>
      <c r="AE13" s="107">
        <v>14.6</v>
      </c>
      <c r="AF13" s="107">
        <v>14.27</v>
      </c>
      <c r="AG13" s="107">
        <v>11.65</v>
      </c>
      <c r="AH13" s="103">
        <f t="shared" si="0"/>
        <v>36.12</v>
      </c>
      <c r="AI13" s="104">
        <f t="shared" si="1"/>
        <v>40.525</v>
      </c>
      <c r="AJ13" s="105">
        <f t="shared" si="2"/>
        <v>76.645</v>
      </c>
    </row>
    <row r="14" ht="16.5" customHeight="1" spans="1:36">
      <c r="A14" s="20">
        <v>7</v>
      </c>
      <c r="B14" s="20" t="s">
        <v>93</v>
      </c>
      <c r="C14" s="101" t="s">
        <v>94</v>
      </c>
      <c r="D14" s="102">
        <v>2.69</v>
      </c>
      <c r="E14" s="102">
        <v>2.91</v>
      </c>
      <c r="F14" s="102">
        <v>3.1</v>
      </c>
      <c r="G14" s="102">
        <v>4.59</v>
      </c>
      <c r="H14" s="102">
        <v>3.47</v>
      </c>
      <c r="I14" s="102">
        <v>4.74</v>
      </c>
      <c r="J14" s="102">
        <v>3.33</v>
      </c>
      <c r="K14" s="102">
        <v>4.39</v>
      </c>
      <c r="L14" s="102">
        <v>2.85</v>
      </c>
      <c r="M14" s="102">
        <v>4.97</v>
      </c>
      <c r="N14" s="102">
        <v>4.31</v>
      </c>
      <c r="O14" s="102">
        <v>3.75</v>
      </c>
      <c r="P14" s="102">
        <v>1.65</v>
      </c>
      <c r="Q14" s="102">
        <v>0.88</v>
      </c>
      <c r="R14" s="102">
        <v>1.2</v>
      </c>
      <c r="S14" s="102">
        <v>1.53</v>
      </c>
      <c r="T14" s="102">
        <v>1.12</v>
      </c>
      <c r="U14" s="102">
        <v>1.47</v>
      </c>
      <c r="V14" s="102">
        <v>1.63</v>
      </c>
      <c r="W14" s="102">
        <v>1.16</v>
      </c>
      <c r="X14" s="102">
        <v>1.48</v>
      </c>
      <c r="Y14" s="102">
        <v>0.86</v>
      </c>
      <c r="Z14" s="102">
        <v>1.06</v>
      </c>
      <c r="AA14" s="102">
        <v>1.66</v>
      </c>
      <c r="AB14" s="102">
        <v>12.42</v>
      </c>
      <c r="AC14" s="102">
        <v>11.3</v>
      </c>
      <c r="AD14" s="102">
        <v>16.18</v>
      </c>
      <c r="AE14" s="102">
        <v>11.93</v>
      </c>
      <c r="AF14" s="102">
        <v>14</v>
      </c>
      <c r="AG14" s="102">
        <v>13.84</v>
      </c>
      <c r="AH14" s="103">
        <f t="shared" si="0"/>
        <v>38.25</v>
      </c>
      <c r="AI14" s="104">
        <f t="shared" si="1"/>
        <v>39.835</v>
      </c>
      <c r="AJ14" s="105">
        <f t="shared" si="2"/>
        <v>78.085</v>
      </c>
    </row>
    <row r="15" ht="16.5" customHeight="1" spans="1:36">
      <c r="A15" s="33">
        <v>8</v>
      </c>
      <c r="B15" s="33" t="s">
        <v>95</v>
      </c>
      <c r="C15" s="106" t="s">
        <v>96</v>
      </c>
      <c r="D15" s="107">
        <v>2.71</v>
      </c>
      <c r="E15" s="107">
        <v>4.05</v>
      </c>
      <c r="F15" s="107">
        <v>4.5</v>
      </c>
      <c r="G15" s="107">
        <v>4.28</v>
      </c>
      <c r="H15" s="107">
        <v>2.71</v>
      </c>
      <c r="I15" s="107">
        <v>2.89</v>
      </c>
      <c r="J15" s="107">
        <v>4.28</v>
      </c>
      <c r="K15" s="107">
        <v>4.08</v>
      </c>
      <c r="L15" s="107">
        <v>4.35</v>
      </c>
      <c r="M15" s="107">
        <v>3.29</v>
      </c>
      <c r="N15" s="107">
        <v>2.77</v>
      </c>
      <c r="O15" s="107">
        <v>2.51</v>
      </c>
      <c r="P15" s="107">
        <v>1.09</v>
      </c>
      <c r="Q15" s="107">
        <v>1.13</v>
      </c>
      <c r="R15" s="107">
        <v>1.06</v>
      </c>
      <c r="S15" s="107">
        <v>0.94</v>
      </c>
      <c r="T15" s="107">
        <v>0.99</v>
      </c>
      <c r="U15" s="107">
        <v>1.21</v>
      </c>
      <c r="V15" s="107">
        <v>1.3</v>
      </c>
      <c r="W15" s="107">
        <v>1.17</v>
      </c>
      <c r="X15" s="107">
        <v>0.86</v>
      </c>
      <c r="Y15" s="107">
        <v>1.13</v>
      </c>
      <c r="Z15" s="107">
        <v>0.91</v>
      </c>
      <c r="AA15" s="107">
        <v>1.33</v>
      </c>
      <c r="AB15" s="107">
        <v>11.04</v>
      </c>
      <c r="AC15" s="107">
        <v>11.54</v>
      </c>
      <c r="AD15" s="107">
        <v>10.77</v>
      </c>
      <c r="AE15" s="107">
        <v>11.56</v>
      </c>
      <c r="AF15" s="107">
        <v>9.04</v>
      </c>
      <c r="AG15" s="107">
        <v>15.84</v>
      </c>
      <c r="AH15" s="103">
        <f t="shared" si="0"/>
        <v>34.33</v>
      </c>
      <c r="AI15" s="104">
        <f t="shared" si="1"/>
        <v>34.895</v>
      </c>
      <c r="AJ15" s="105">
        <f t="shared" si="2"/>
        <v>69.225</v>
      </c>
    </row>
    <row r="16" ht="16.5" customHeight="1" spans="1:36">
      <c r="A16" s="20">
        <v>9</v>
      </c>
      <c r="B16" s="20" t="s">
        <v>97</v>
      </c>
      <c r="C16" s="101" t="s">
        <v>98</v>
      </c>
      <c r="D16" s="102">
        <v>4.76</v>
      </c>
      <c r="E16" s="102">
        <v>4.95</v>
      </c>
      <c r="F16" s="102">
        <v>3.93</v>
      </c>
      <c r="G16" s="102">
        <v>2.92</v>
      </c>
      <c r="H16" s="102">
        <v>3.45</v>
      </c>
      <c r="I16" s="102">
        <v>2.85</v>
      </c>
      <c r="J16" s="102">
        <v>3.25</v>
      </c>
      <c r="K16" s="102">
        <v>3.73</v>
      </c>
      <c r="L16" s="102">
        <v>2.66</v>
      </c>
      <c r="M16" s="102">
        <v>3.59</v>
      </c>
      <c r="N16" s="102">
        <v>3.55</v>
      </c>
      <c r="O16" s="102">
        <v>3.71</v>
      </c>
      <c r="P16" s="102">
        <v>0.9</v>
      </c>
      <c r="Q16" s="102">
        <v>1.04</v>
      </c>
      <c r="R16" s="102">
        <v>1.04</v>
      </c>
      <c r="S16" s="102">
        <v>1.35</v>
      </c>
      <c r="T16" s="102">
        <v>1.33</v>
      </c>
      <c r="U16" s="102">
        <v>1</v>
      </c>
      <c r="V16" s="102">
        <v>0.92</v>
      </c>
      <c r="W16" s="102">
        <v>1.09</v>
      </c>
      <c r="X16" s="102">
        <v>1.62</v>
      </c>
      <c r="Y16" s="102">
        <v>1.11</v>
      </c>
      <c r="Z16" s="102">
        <v>1.35</v>
      </c>
      <c r="AA16" s="102">
        <v>1.5</v>
      </c>
      <c r="AB16" s="102">
        <v>11.08</v>
      </c>
      <c r="AC16" s="102">
        <v>11.12</v>
      </c>
      <c r="AD16" s="102">
        <v>15.13</v>
      </c>
      <c r="AE16" s="102">
        <v>15.5</v>
      </c>
      <c r="AF16" s="102">
        <v>16.45</v>
      </c>
      <c r="AG16" s="102">
        <v>9.47</v>
      </c>
      <c r="AH16" s="103">
        <f t="shared" si="0"/>
        <v>35.925</v>
      </c>
      <c r="AI16" s="104">
        <f t="shared" si="1"/>
        <v>39.375</v>
      </c>
      <c r="AJ16" s="105">
        <f t="shared" si="2"/>
        <v>75.3</v>
      </c>
    </row>
    <row r="17" ht="16.5" customHeight="1" spans="1:36">
      <c r="A17" s="33">
        <v>10</v>
      </c>
      <c r="B17" s="33" t="s">
        <v>99</v>
      </c>
      <c r="C17" s="106" t="s">
        <v>100</v>
      </c>
      <c r="D17" s="107">
        <v>3.3</v>
      </c>
      <c r="E17" s="107">
        <v>4.87</v>
      </c>
      <c r="F17" s="107">
        <v>3</v>
      </c>
      <c r="G17" s="107">
        <v>3.29</v>
      </c>
      <c r="H17" s="107">
        <v>4.91</v>
      </c>
      <c r="I17" s="107">
        <v>4.92</v>
      </c>
      <c r="J17" s="107">
        <v>3.23</v>
      </c>
      <c r="K17" s="107">
        <v>4.24</v>
      </c>
      <c r="L17" s="107">
        <v>3.73</v>
      </c>
      <c r="M17" s="107">
        <v>3.94</v>
      </c>
      <c r="N17" s="107">
        <v>3.11</v>
      </c>
      <c r="O17" s="107">
        <v>3.44</v>
      </c>
      <c r="P17" s="107">
        <v>1.51</v>
      </c>
      <c r="Q17" s="107">
        <v>1.16</v>
      </c>
      <c r="R17" s="107">
        <v>0.93</v>
      </c>
      <c r="S17" s="107">
        <v>1.3</v>
      </c>
      <c r="T17" s="107">
        <v>1.33</v>
      </c>
      <c r="U17" s="107">
        <v>1.29</v>
      </c>
      <c r="V17" s="107">
        <v>1.4</v>
      </c>
      <c r="W17" s="107">
        <v>1.29</v>
      </c>
      <c r="X17" s="107">
        <v>1.63</v>
      </c>
      <c r="Y17" s="107">
        <v>1.22</v>
      </c>
      <c r="Z17" s="107">
        <v>1.42</v>
      </c>
      <c r="AA17" s="107">
        <v>1.2</v>
      </c>
      <c r="AB17" s="107">
        <v>10.76</v>
      </c>
      <c r="AC17" s="107">
        <v>14.11</v>
      </c>
      <c r="AD17" s="107">
        <v>15.16</v>
      </c>
      <c r="AE17" s="107">
        <v>14.96</v>
      </c>
      <c r="AF17" s="107">
        <v>11.74</v>
      </c>
      <c r="AG17" s="107">
        <v>12.49</v>
      </c>
      <c r="AH17" s="103">
        <f t="shared" si="0"/>
        <v>38.67</v>
      </c>
      <c r="AI17" s="104">
        <f t="shared" si="1"/>
        <v>39.61</v>
      </c>
      <c r="AJ17" s="105">
        <f t="shared" si="2"/>
        <v>78.28</v>
      </c>
    </row>
    <row r="18" ht="16.5" customHeight="1" spans="1:36">
      <c r="A18" s="20">
        <v>11</v>
      </c>
      <c r="B18" s="20" t="s">
        <v>101</v>
      </c>
      <c r="C18" s="101" t="s">
        <v>102</v>
      </c>
      <c r="D18" s="102">
        <v>4.08</v>
      </c>
      <c r="E18" s="102">
        <v>3.11</v>
      </c>
      <c r="F18" s="102">
        <v>4.15</v>
      </c>
      <c r="G18" s="102">
        <v>4.29</v>
      </c>
      <c r="H18" s="102">
        <v>4.47</v>
      </c>
      <c r="I18" s="102">
        <v>2.68</v>
      </c>
      <c r="J18" s="102">
        <v>4.98</v>
      </c>
      <c r="K18" s="102">
        <v>3.7</v>
      </c>
      <c r="L18" s="102">
        <v>3.5</v>
      </c>
      <c r="M18" s="102">
        <v>3.77</v>
      </c>
      <c r="N18" s="102">
        <v>4.8</v>
      </c>
      <c r="O18" s="102">
        <v>4.23</v>
      </c>
      <c r="P18" s="102">
        <v>1.29</v>
      </c>
      <c r="Q18" s="102">
        <v>1.49</v>
      </c>
      <c r="R18" s="102">
        <v>1.13</v>
      </c>
      <c r="S18" s="102">
        <v>1.58</v>
      </c>
      <c r="T18" s="102">
        <v>1.28</v>
      </c>
      <c r="U18" s="102">
        <v>1.37</v>
      </c>
      <c r="V18" s="102">
        <v>0.9</v>
      </c>
      <c r="W18" s="102">
        <v>1.47</v>
      </c>
      <c r="X18" s="102">
        <v>1.38</v>
      </c>
      <c r="Y18" s="102">
        <v>1.13</v>
      </c>
      <c r="Z18" s="102">
        <v>1.37</v>
      </c>
      <c r="AA18" s="102">
        <v>0.87</v>
      </c>
      <c r="AB18" s="102">
        <v>16.53</v>
      </c>
      <c r="AC18" s="102">
        <v>13.98</v>
      </c>
      <c r="AD18" s="102">
        <v>11.66</v>
      </c>
      <c r="AE18" s="102">
        <v>14.61</v>
      </c>
      <c r="AF18" s="102">
        <v>16.38</v>
      </c>
      <c r="AG18" s="102">
        <v>11.92</v>
      </c>
      <c r="AH18" s="103">
        <f t="shared" si="0"/>
        <v>39.14</v>
      </c>
      <c r="AI18" s="104">
        <f t="shared" si="1"/>
        <v>42.54</v>
      </c>
      <c r="AJ18" s="105">
        <f t="shared" si="2"/>
        <v>81.68</v>
      </c>
    </row>
    <row r="19" ht="16.5" customHeight="1" spans="1:36">
      <c r="A19" s="33">
        <v>12</v>
      </c>
      <c r="B19" s="33" t="s">
        <v>103</v>
      </c>
      <c r="C19" s="106" t="s">
        <v>104</v>
      </c>
      <c r="D19" s="107">
        <v>2.53</v>
      </c>
      <c r="E19" s="107">
        <v>3.15</v>
      </c>
      <c r="F19" s="107">
        <v>3.78</v>
      </c>
      <c r="G19" s="107">
        <v>3.8</v>
      </c>
      <c r="H19" s="107">
        <v>3.95</v>
      </c>
      <c r="I19" s="107">
        <v>3.94</v>
      </c>
      <c r="J19" s="107">
        <v>3.61</v>
      </c>
      <c r="K19" s="107">
        <v>3.48</v>
      </c>
      <c r="L19" s="107">
        <v>4.43</v>
      </c>
      <c r="M19" s="107">
        <v>3.97</v>
      </c>
      <c r="N19" s="107">
        <v>3.75</v>
      </c>
      <c r="O19" s="107">
        <v>3.36</v>
      </c>
      <c r="P19" s="107">
        <v>0.85</v>
      </c>
      <c r="Q19" s="107">
        <v>0.92</v>
      </c>
      <c r="R19" s="107">
        <v>1.18</v>
      </c>
      <c r="S19" s="107">
        <v>1.63</v>
      </c>
      <c r="T19" s="107">
        <v>0.93</v>
      </c>
      <c r="U19" s="107">
        <v>1.62</v>
      </c>
      <c r="V19" s="107">
        <v>0.95</v>
      </c>
      <c r="W19" s="107">
        <v>1.09</v>
      </c>
      <c r="X19" s="107">
        <v>1.21</v>
      </c>
      <c r="Y19" s="107">
        <v>1.01</v>
      </c>
      <c r="Z19" s="107">
        <v>1.24</v>
      </c>
      <c r="AA19" s="107">
        <v>1.23</v>
      </c>
      <c r="AB19" s="107">
        <v>11.98</v>
      </c>
      <c r="AC19" s="107">
        <v>14.14</v>
      </c>
      <c r="AD19" s="107">
        <v>10.99</v>
      </c>
      <c r="AE19" s="107">
        <v>10.84</v>
      </c>
      <c r="AF19" s="107">
        <v>15.08</v>
      </c>
      <c r="AG19" s="107">
        <v>9.29</v>
      </c>
      <c r="AH19" s="103">
        <f t="shared" si="0"/>
        <v>35.735</v>
      </c>
      <c r="AI19" s="104">
        <f t="shared" si="1"/>
        <v>36.16</v>
      </c>
      <c r="AJ19" s="105">
        <f t="shared" si="2"/>
        <v>71.895</v>
      </c>
    </row>
    <row r="20" ht="16.5" customHeight="1" spans="1:36">
      <c r="A20" s="20">
        <v>13</v>
      </c>
      <c r="B20" s="20" t="s">
        <v>105</v>
      </c>
      <c r="C20" s="101" t="s">
        <v>106</v>
      </c>
      <c r="D20" s="102">
        <v>4.62</v>
      </c>
      <c r="E20" s="102">
        <v>4.12</v>
      </c>
      <c r="F20" s="102">
        <v>4.19</v>
      </c>
      <c r="G20" s="102">
        <v>2.91</v>
      </c>
      <c r="H20" s="102">
        <v>4.96</v>
      </c>
      <c r="I20" s="102">
        <v>3.11</v>
      </c>
      <c r="J20" s="102">
        <v>2.94</v>
      </c>
      <c r="K20" s="102">
        <v>2.9</v>
      </c>
      <c r="L20" s="102">
        <v>3.9</v>
      </c>
      <c r="M20" s="102">
        <v>4.9</v>
      </c>
      <c r="N20" s="102">
        <v>3.08</v>
      </c>
      <c r="O20" s="102">
        <v>3.51</v>
      </c>
      <c r="P20" s="102">
        <v>0.99</v>
      </c>
      <c r="Q20" s="102">
        <v>1.37</v>
      </c>
      <c r="R20" s="102">
        <v>1.19</v>
      </c>
      <c r="S20" s="102">
        <v>0.86</v>
      </c>
      <c r="T20" s="102">
        <v>1.35</v>
      </c>
      <c r="U20" s="102">
        <v>1</v>
      </c>
      <c r="V20" s="102">
        <v>1.33</v>
      </c>
      <c r="W20" s="102">
        <v>1.16</v>
      </c>
      <c r="X20" s="102">
        <v>1.42</v>
      </c>
      <c r="Y20" s="102">
        <v>1</v>
      </c>
      <c r="Z20" s="102">
        <v>1.46</v>
      </c>
      <c r="AA20" s="102">
        <v>1.51</v>
      </c>
      <c r="AB20" s="102">
        <v>8.85</v>
      </c>
      <c r="AC20" s="102">
        <v>9.18</v>
      </c>
      <c r="AD20" s="102">
        <v>15.6</v>
      </c>
      <c r="AE20" s="102">
        <v>9.89</v>
      </c>
      <c r="AF20" s="102">
        <v>11.05</v>
      </c>
      <c r="AG20" s="102">
        <v>12.15</v>
      </c>
      <c r="AH20" s="103">
        <f t="shared" si="0"/>
        <v>37.21</v>
      </c>
      <c r="AI20" s="104">
        <f t="shared" si="1"/>
        <v>33.36</v>
      </c>
      <c r="AJ20" s="105">
        <f t="shared" si="2"/>
        <v>70.57</v>
      </c>
    </row>
    <row r="21" ht="16.5" customHeight="1" spans="1:36">
      <c r="A21" s="33">
        <v>14</v>
      </c>
      <c r="B21" s="33" t="s">
        <v>107</v>
      </c>
      <c r="C21" s="106" t="s">
        <v>108</v>
      </c>
      <c r="D21" s="107">
        <v>3.16</v>
      </c>
      <c r="E21" s="107">
        <v>4.66</v>
      </c>
      <c r="F21" s="107">
        <v>3.82</v>
      </c>
      <c r="G21" s="107">
        <v>4.1</v>
      </c>
      <c r="H21" s="107">
        <v>3.99</v>
      </c>
      <c r="I21" s="107">
        <v>4.03</v>
      </c>
      <c r="J21" s="107">
        <v>3.97</v>
      </c>
      <c r="K21" s="107">
        <v>3.37</v>
      </c>
      <c r="L21" s="107">
        <v>4.61</v>
      </c>
      <c r="M21" s="107">
        <v>4.04</v>
      </c>
      <c r="N21" s="107">
        <v>4.53</v>
      </c>
      <c r="O21" s="107">
        <v>4.26</v>
      </c>
      <c r="P21" s="107">
        <v>1.08</v>
      </c>
      <c r="Q21" s="107">
        <v>1.35</v>
      </c>
      <c r="R21" s="107">
        <v>0.9</v>
      </c>
      <c r="S21" s="107">
        <v>0.94</v>
      </c>
      <c r="T21" s="107">
        <v>0.93</v>
      </c>
      <c r="U21" s="107">
        <v>1.09</v>
      </c>
      <c r="V21" s="107">
        <v>0.99</v>
      </c>
      <c r="W21" s="107">
        <v>1.41</v>
      </c>
      <c r="X21" s="107">
        <v>1.26</v>
      </c>
      <c r="Y21" s="107">
        <v>1.18</v>
      </c>
      <c r="Z21" s="107">
        <v>0.95</v>
      </c>
      <c r="AA21" s="107">
        <v>1.15</v>
      </c>
      <c r="AB21" s="107">
        <v>9.88</v>
      </c>
      <c r="AC21" s="107">
        <v>13.63</v>
      </c>
      <c r="AD21" s="107">
        <v>14.11</v>
      </c>
      <c r="AE21" s="107">
        <v>13.71</v>
      </c>
      <c r="AF21" s="107">
        <v>16.67</v>
      </c>
      <c r="AG21" s="107">
        <v>12.96</v>
      </c>
      <c r="AH21" s="103">
        <f t="shared" si="0"/>
        <v>37.5</v>
      </c>
      <c r="AI21" s="104">
        <f t="shared" si="1"/>
        <v>40.48</v>
      </c>
      <c r="AJ21" s="105">
        <f t="shared" si="2"/>
        <v>77.98</v>
      </c>
    </row>
    <row r="22" ht="16.5" customHeight="1" spans="1:36">
      <c r="A22" s="20">
        <v>15</v>
      </c>
      <c r="B22" s="20" t="s">
        <v>109</v>
      </c>
      <c r="C22" s="101" t="s">
        <v>110</v>
      </c>
      <c r="D22" s="102">
        <v>3.72</v>
      </c>
      <c r="E22" s="102">
        <v>2.85</v>
      </c>
      <c r="F22" s="102">
        <v>3.29</v>
      </c>
      <c r="G22" s="102">
        <v>3.63</v>
      </c>
      <c r="H22" s="102">
        <v>2.63</v>
      </c>
      <c r="I22" s="102">
        <v>3.4</v>
      </c>
      <c r="J22" s="102">
        <v>2.52</v>
      </c>
      <c r="K22" s="102">
        <v>2.84</v>
      </c>
      <c r="L22" s="102">
        <v>4.54</v>
      </c>
      <c r="M22" s="102">
        <v>4.91</v>
      </c>
      <c r="N22" s="102">
        <v>3.76</v>
      </c>
      <c r="O22" s="102">
        <v>3.74</v>
      </c>
      <c r="P22" s="102">
        <v>1.4</v>
      </c>
      <c r="Q22" s="102">
        <v>1.18</v>
      </c>
      <c r="R22" s="102">
        <v>1.53</v>
      </c>
      <c r="S22" s="102">
        <v>1.24</v>
      </c>
      <c r="T22" s="102">
        <v>0.9</v>
      </c>
      <c r="U22" s="102">
        <v>0.86</v>
      </c>
      <c r="V22" s="102">
        <v>1.47</v>
      </c>
      <c r="W22" s="102">
        <v>1.08</v>
      </c>
      <c r="X22" s="102">
        <v>1.06</v>
      </c>
      <c r="Y22" s="102">
        <v>1.28</v>
      </c>
      <c r="Z22" s="102">
        <v>0.97</v>
      </c>
      <c r="AA22" s="102">
        <v>1.21</v>
      </c>
      <c r="AB22" s="102">
        <v>14.52</v>
      </c>
      <c r="AC22" s="102">
        <v>14.72</v>
      </c>
      <c r="AD22" s="102">
        <v>12.91</v>
      </c>
      <c r="AE22" s="102">
        <v>9.28</v>
      </c>
      <c r="AF22" s="102">
        <v>9.29</v>
      </c>
      <c r="AG22" s="102">
        <v>14.79</v>
      </c>
      <c r="AH22" s="103">
        <f t="shared" si="0"/>
        <v>35.095</v>
      </c>
      <c r="AI22" s="104">
        <f t="shared" si="1"/>
        <v>37.755</v>
      </c>
      <c r="AJ22" s="105">
        <f t="shared" si="2"/>
        <v>72.85</v>
      </c>
    </row>
    <row r="23" ht="16.5" customHeight="1" spans="1:36">
      <c r="A23" s="33">
        <v>16</v>
      </c>
      <c r="B23" s="33" t="s">
        <v>111</v>
      </c>
      <c r="C23" s="106" t="s">
        <v>112</v>
      </c>
      <c r="D23" s="107">
        <v>4.56</v>
      </c>
      <c r="E23" s="107">
        <v>3.42</v>
      </c>
      <c r="F23" s="107">
        <v>4.56</v>
      </c>
      <c r="G23" s="107">
        <v>2.6</v>
      </c>
      <c r="H23" s="107">
        <v>4.3</v>
      </c>
      <c r="I23" s="107">
        <v>3.87</v>
      </c>
      <c r="J23" s="107">
        <v>4.97</v>
      </c>
      <c r="K23" s="107">
        <v>2.76</v>
      </c>
      <c r="L23" s="107">
        <v>4.58</v>
      </c>
      <c r="M23" s="107">
        <v>4.38</v>
      </c>
      <c r="N23" s="107">
        <v>3.24</v>
      </c>
      <c r="O23" s="107">
        <v>5</v>
      </c>
      <c r="P23" s="107">
        <v>1.21</v>
      </c>
      <c r="Q23" s="107">
        <v>1.12</v>
      </c>
      <c r="R23" s="107">
        <v>1.51</v>
      </c>
      <c r="S23" s="107">
        <v>1.2</v>
      </c>
      <c r="T23" s="107">
        <v>1.66</v>
      </c>
      <c r="U23" s="107">
        <v>1.48</v>
      </c>
      <c r="V23" s="107">
        <v>1.03</v>
      </c>
      <c r="W23" s="107">
        <v>1.51</v>
      </c>
      <c r="X23" s="107">
        <v>1.32</v>
      </c>
      <c r="Y23" s="107">
        <v>1.13</v>
      </c>
      <c r="Z23" s="107">
        <v>1.43</v>
      </c>
      <c r="AA23" s="107">
        <v>1.36</v>
      </c>
      <c r="AB23" s="107">
        <v>9.72</v>
      </c>
      <c r="AC23" s="107">
        <v>9.49</v>
      </c>
      <c r="AD23" s="107">
        <v>10.06</v>
      </c>
      <c r="AE23" s="107">
        <v>10.06</v>
      </c>
      <c r="AF23" s="107">
        <v>8.83</v>
      </c>
      <c r="AG23" s="107">
        <v>11.26</v>
      </c>
      <c r="AH23" s="103">
        <f t="shared" si="0"/>
        <v>40.08</v>
      </c>
      <c r="AI23" s="104">
        <f t="shared" si="1"/>
        <v>29.71</v>
      </c>
      <c r="AJ23" s="105">
        <f t="shared" si="2"/>
        <v>69.79</v>
      </c>
    </row>
    <row r="24" ht="16.5" customHeight="1" spans="1:36">
      <c r="A24" s="20">
        <v>17</v>
      </c>
      <c r="B24" s="20" t="s">
        <v>113</v>
      </c>
      <c r="C24" s="101" t="s">
        <v>114</v>
      </c>
      <c r="D24" s="102">
        <v>3.2</v>
      </c>
      <c r="E24" s="102">
        <v>3.85</v>
      </c>
      <c r="F24" s="102">
        <v>3.31</v>
      </c>
      <c r="G24" s="102">
        <v>4.26</v>
      </c>
      <c r="H24" s="102">
        <v>3.22</v>
      </c>
      <c r="I24" s="102">
        <v>3.17</v>
      </c>
      <c r="J24" s="102">
        <v>4.65</v>
      </c>
      <c r="K24" s="102">
        <v>4.96</v>
      </c>
      <c r="L24" s="102">
        <v>4.2</v>
      </c>
      <c r="M24" s="102">
        <v>2.74</v>
      </c>
      <c r="N24" s="102">
        <v>4.91</v>
      </c>
      <c r="O24" s="102">
        <v>4.46</v>
      </c>
      <c r="P24" s="102">
        <v>1.6</v>
      </c>
      <c r="Q24" s="102">
        <v>1.66</v>
      </c>
      <c r="R24" s="102">
        <v>1.56</v>
      </c>
      <c r="S24" s="102">
        <v>0.94</v>
      </c>
      <c r="T24" s="102">
        <v>1.56</v>
      </c>
      <c r="U24" s="102">
        <v>1.04</v>
      </c>
      <c r="V24" s="102">
        <v>1.43</v>
      </c>
      <c r="W24" s="102">
        <v>1.52</v>
      </c>
      <c r="X24" s="102">
        <v>1.47</v>
      </c>
      <c r="Y24" s="102">
        <v>1.4</v>
      </c>
      <c r="Z24" s="102">
        <v>1.24</v>
      </c>
      <c r="AA24" s="102">
        <v>1.31</v>
      </c>
      <c r="AB24" s="102">
        <v>10.57</v>
      </c>
      <c r="AC24" s="102">
        <v>11.79</v>
      </c>
      <c r="AD24" s="102">
        <v>12.1</v>
      </c>
      <c r="AE24" s="102">
        <v>13.61</v>
      </c>
      <c r="AF24" s="102">
        <v>15.67</v>
      </c>
      <c r="AG24" s="102">
        <v>9.11</v>
      </c>
      <c r="AH24" s="103">
        <f t="shared" si="0"/>
        <v>40.195</v>
      </c>
      <c r="AI24" s="104">
        <f t="shared" si="1"/>
        <v>36.425</v>
      </c>
      <c r="AJ24" s="105">
        <f t="shared" si="2"/>
        <v>76.62</v>
      </c>
    </row>
    <row r="25" ht="16.5" customHeight="1" spans="1:36">
      <c r="A25" s="33">
        <v>18</v>
      </c>
      <c r="B25" s="33" t="s">
        <v>115</v>
      </c>
      <c r="C25" s="106" t="s">
        <v>116</v>
      </c>
      <c r="D25" s="107">
        <v>3.79</v>
      </c>
      <c r="E25" s="107">
        <v>3.2</v>
      </c>
      <c r="F25" s="107">
        <v>4.84</v>
      </c>
      <c r="G25" s="107">
        <v>3.42</v>
      </c>
      <c r="H25" s="107">
        <v>4.88</v>
      </c>
      <c r="I25" s="107">
        <v>3.32</v>
      </c>
      <c r="J25" s="107">
        <v>2.51</v>
      </c>
      <c r="K25" s="107">
        <v>4.44</v>
      </c>
      <c r="L25" s="107">
        <v>4.33</v>
      </c>
      <c r="M25" s="107">
        <v>4.33</v>
      </c>
      <c r="N25" s="107">
        <v>3.65</v>
      </c>
      <c r="O25" s="107">
        <v>4.16</v>
      </c>
      <c r="P25" s="107">
        <v>1.13</v>
      </c>
      <c r="Q25" s="107">
        <v>0.89</v>
      </c>
      <c r="R25" s="107">
        <v>1.28</v>
      </c>
      <c r="S25" s="107">
        <v>1.01</v>
      </c>
      <c r="T25" s="107">
        <v>1.19</v>
      </c>
      <c r="U25" s="107">
        <v>1.01</v>
      </c>
      <c r="V25" s="107">
        <v>1.06</v>
      </c>
      <c r="W25" s="107">
        <v>1.52</v>
      </c>
      <c r="X25" s="107">
        <v>1.11</v>
      </c>
      <c r="Y25" s="107">
        <v>1.31</v>
      </c>
      <c r="Z25" s="107">
        <v>1.31</v>
      </c>
      <c r="AA25" s="107">
        <v>1.24</v>
      </c>
      <c r="AB25" s="107">
        <v>11.2</v>
      </c>
      <c r="AC25" s="107">
        <v>14.02</v>
      </c>
      <c r="AD25" s="107">
        <v>8.74</v>
      </c>
      <c r="AE25" s="107">
        <v>9.16</v>
      </c>
      <c r="AF25" s="107">
        <v>14.87</v>
      </c>
      <c r="AG25" s="107">
        <v>12.16</v>
      </c>
      <c r="AH25" s="103">
        <f t="shared" si="0"/>
        <v>37.495</v>
      </c>
      <c r="AI25" s="104">
        <f t="shared" si="1"/>
        <v>35.075</v>
      </c>
      <c r="AJ25" s="105">
        <f t="shared" si="2"/>
        <v>72.57</v>
      </c>
    </row>
    <row r="26" ht="16.5" customHeight="1" spans="1:36">
      <c r="A26" s="20">
        <v>19</v>
      </c>
      <c r="B26" s="20" t="s">
        <v>117</v>
      </c>
      <c r="C26" s="101" t="s">
        <v>118</v>
      </c>
      <c r="D26" s="102">
        <v>2.81</v>
      </c>
      <c r="E26" s="102">
        <v>4.64</v>
      </c>
      <c r="F26" s="102">
        <v>3.6</v>
      </c>
      <c r="G26" s="102">
        <v>2.5</v>
      </c>
      <c r="H26" s="102">
        <v>4.9</v>
      </c>
      <c r="I26" s="102">
        <v>3.01</v>
      </c>
      <c r="J26" s="102">
        <v>4.22</v>
      </c>
      <c r="K26" s="102">
        <v>2.83</v>
      </c>
      <c r="L26" s="102">
        <v>4.12</v>
      </c>
      <c r="M26" s="102">
        <v>2.9</v>
      </c>
      <c r="N26" s="102">
        <v>4.83</v>
      </c>
      <c r="O26" s="102">
        <v>3.19</v>
      </c>
      <c r="P26" s="102">
        <v>1.38</v>
      </c>
      <c r="Q26" s="102">
        <v>1.04</v>
      </c>
      <c r="R26" s="102">
        <v>1.14</v>
      </c>
      <c r="S26" s="102">
        <v>1.59</v>
      </c>
      <c r="T26" s="102">
        <v>0.97</v>
      </c>
      <c r="U26" s="102">
        <v>1.16</v>
      </c>
      <c r="V26" s="102">
        <v>1.09</v>
      </c>
      <c r="W26" s="102">
        <v>1.42</v>
      </c>
      <c r="X26" s="102">
        <v>1.03</v>
      </c>
      <c r="Y26" s="102">
        <v>1.38</v>
      </c>
      <c r="Z26" s="102">
        <v>1.42</v>
      </c>
      <c r="AA26" s="102">
        <v>0.83</v>
      </c>
      <c r="AB26" s="102">
        <v>12.31</v>
      </c>
      <c r="AC26" s="102">
        <v>9.44</v>
      </c>
      <c r="AD26" s="102">
        <v>10.22</v>
      </c>
      <c r="AE26" s="102">
        <v>14</v>
      </c>
      <c r="AF26" s="102">
        <v>8.41</v>
      </c>
      <c r="AG26" s="102">
        <v>14.13</v>
      </c>
      <c r="AH26" s="103">
        <f t="shared" si="0"/>
        <v>36.225</v>
      </c>
      <c r="AI26" s="104">
        <f t="shared" si="1"/>
        <v>34.255</v>
      </c>
      <c r="AJ26" s="105">
        <f t="shared" si="2"/>
        <v>70.48</v>
      </c>
    </row>
    <row r="27" ht="16.5" customHeight="1" spans="1:36">
      <c r="A27" s="33">
        <v>20</v>
      </c>
      <c r="B27" s="33" t="s">
        <v>119</v>
      </c>
      <c r="C27" s="106" t="s">
        <v>120</v>
      </c>
      <c r="D27" s="107">
        <v>4.54</v>
      </c>
      <c r="E27" s="107">
        <v>4.97</v>
      </c>
      <c r="F27" s="107">
        <v>3.56</v>
      </c>
      <c r="G27" s="107">
        <v>2.83</v>
      </c>
      <c r="H27" s="107">
        <v>2.68</v>
      </c>
      <c r="I27" s="107">
        <v>3.46</v>
      </c>
      <c r="J27" s="107">
        <v>4.33</v>
      </c>
      <c r="K27" s="107">
        <v>2.76</v>
      </c>
      <c r="L27" s="107">
        <v>3.28</v>
      </c>
      <c r="M27" s="107">
        <v>4.7</v>
      </c>
      <c r="N27" s="107">
        <v>2.84</v>
      </c>
      <c r="O27" s="107">
        <v>4.43</v>
      </c>
      <c r="P27" s="107">
        <v>1.46</v>
      </c>
      <c r="Q27" s="107">
        <v>0.94</v>
      </c>
      <c r="R27" s="107">
        <v>1.66</v>
      </c>
      <c r="S27" s="107">
        <v>0.95</v>
      </c>
      <c r="T27" s="107">
        <v>1.28</v>
      </c>
      <c r="U27" s="107">
        <v>0.84</v>
      </c>
      <c r="V27" s="107">
        <v>1.38</v>
      </c>
      <c r="W27" s="107">
        <v>1.2</v>
      </c>
      <c r="X27" s="107">
        <v>1.44</v>
      </c>
      <c r="Y27" s="107">
        <v>1.36</v>
      </c>
      <c r="Z27" s="107">
        <v>0.96</v>
      </c>
      <c r="AA27" s="107">
        <v>1.18</v>
      </c>
      <c r="AB27" s="107">
        <v>14.05</v>
      </c>
      <c r="AC27" s="107">
        <v>15.5</v>
      </c>
      <c r="AD27" s="107">
        <v>9.06</v>
      </c>
      <c r="AE27" s="107">
        <v>9.17</v>
      </c>
      <c r="AF27" s="107">
        <v>14.6</v>
      </c>
      <c r="AG27" s="107">
        <v>13.25</v>
      </c>
      <c r="AH27" s="103">
        <f t="shared" si="0"/>
        <v>36.84</v>
      </c>
      <c r="AI27" s="104">
        <f t="shared" si="1"/>
        <v>37.815</v>
      </c>
      <c r="AJ27" s="105">
        <f t="shared" si="2"/>
        <v>74.655</v>
      </c>
    </row>
    <row r="28" ht="15.15"/>
    <row r="29" ht="19.5" customHeight="1" spans="1:36">
      <c r="A29" s="73" t="s">
        <v>121</v>
      </c>
      <c r="B29" s="73"/>
      <c r="C29" s="73"/>
      <c r="D29" s="108">
        <f t="shared" ref="D29:AJ29" si="3">AVERAGE(D8:D27)</f>
        <v>3.542</v>
      </c>
      <c r="E29" s="108">
        <f t="shared" si="3"/>
        <v>3.9515</v>
      </c>
      <c r="F29" s="108">
        <f t="shared" si="3"/>
        <v>3.676</v>
      </c>
      <c r="G29" s="108">
        <f t="shared" si="3"/>
        <v>3.569</v>
      </c>
      <c r="H29" s="108">
        <f t="shared" si="3"/>
        <v>3.7115</v>
      </c>
      <c r="I29" s="108">
        <f t="shared" si="3"/>
        <v>3.666</v>
      </c>
      <c r="J29" s="108">
        <f t="shared" si="3"/>
        <v>3.731</v>
      </c>
      <c r="K29" s="108">
        <f t="shared" si="3"/>
        <v>3.7635</v>
      </c>
      <c r="L29" s="108">
        <f t="shared" si="3"/>
        <v>3.844</v>
      </c>
      <c r="M29" s="108">
        <f t="shared" si="3"/>
        <v>4.154</v>
      </c>
      <c r="N29" s="108">
        <f t="shared" si="3"/>
        <v>3.796</v>
      </c>
      <c r="O29" s="108">
        <f t="shared" si="3"/>
        <v>3.9325</v>
      </c>
      <c r="P29" s="108">
        <f t="shared" si="3"/>
        <v>1.2205</v>
      </c>
      <c r="Q29" s="108">
        <f t="shared" si="3"/>
        <v>1.15</v>
      </c>
      <c r="R29" s="108">
        <f t="shared" si="3"/>
        <v>1.2755</v>
      </c>
      <c r="S29" s="108">
        <f t="shared" si="3"/>
        <v>1.261</v>
      </c>
      <c r="T29" s="108">
        <f t="shared" si="3"/>
        <v>1.219</v>
      </c>
      <c r="U29" s="108">
        <f t="shared" si="3"/>
        <v>1.1655</v>
      </c>
      <c r="V29" s="108">
        <f t="shared" si="3"/>
        <v>1.1715</v>
      </c>
      <c r="W29" s="108">
        <f t="shared" si="3"/>
        <v>1.3535</v>
      </c>
      <c r="X29" s="108">
        <f t="shared" si="3"/>
        <v>1.2735</v>
      </c>
      <c r="Y29" s="108">
        <f t="shared" si="3"/>
        <v>1.2425</v>
      </c>
      <c r="Z29" s="108">
        <f t="shared" si="3"/>
        <v>1.2065</v>
      </c>
      <c r="AA29" s="108">
        <f t="shared" si="3"/>
        <v>1.246</v>
      </c>
      <c r="AB29" s="108">
        <f t="shared" si="3"/>
        <v>12.227</v>
      </c>
      <c r="AC29" s="108">
        <f t="shared" si="3"/>
        <v>13.1375</v>
      </c>
      <c r="AD29" s="108">
        <f t="shared" si="3"/>
        <v>12.4725</v>
      </c>
      <c r="AE29" s="108">
        <f t="shared" si="3"/>
        <v>12.77</v>
      </c>
      <c r="AF29" s="108">
        <f t="shared" si="3"/>
        <v>13.0215</v>
      </c>
      <c r="AG29" s="108">
        <f t="shared" si="3"/>
        <v>12.0855</v>
      </c>
      <c r="AH29" s="109">
        <f t="shared" si="3"/>
        <v>37.4535</v>
      </c>
      <c r="AI29" s="108">
        <f t="shared" si="3"/>
        <v>37.857</v>
      </c>
      <c r="AJ29" s="96">
        <f t="shared" si="3"/>
        <v>75.3105</v>
      </c>
    </row>
    <row r="30" ht="15.15"/>
    <row r="31" ht="21.75" customHeight="1" spans="1:36">
      <c r="A31" s="110" t="s">
        <v>122</v>
      </c>
      <c r="B31" s="110"/>
      <c r="C31" s="110"/>
      <c r="D31" s="111">
        <f t="shared" ref="D31:I31" si="4">(IFERROR(D29/D6,0)+IFERROR(J29/J6,0)+IFERROR(P29/P6,0)+IFERROR(V29/V6,0)+IFERROR(AB29/AB6,0))/5</f>
        <v>0.72408172693605</v>
      </c>
      <c r="E31" s="111">
        <f t="shared" si="4"/>
        <v>0.766038835586176</v>
      </c>
      <c r="F31" s="111">
        <f t="shared" si="4"/>
        <v>0.755709533063447</v>
      </c>
      <c r="G31" s="111">
        <f t="shared" si="4"/>
        <v>0.761949717409811</v>
      </c>
      <c r="H31" s="111">
        <f t="shared" si="4"/>
        <v>0.747005796565238</v>
      </c>
      <c r="I31" s="111">
        <f t="shared" si="4"/>
        <v>0.737739395809461</v>
      </c>
    </row>
    <row r="32" ht="19.5" customHeight="1" spans="1:36">
      <c r="A32" s="112" t="s">
        <v>123</v>
      </c>
      <c r="B32" s="112"/>
      <c r="C32" s="112"/>
      <c r="D32" s="113">
        <f t="shared" ref="D32:I32" si="5">(IFERROR(D29/D6,0)+IFERROR(J29/J6,0)+IFERROR(P29/P6,0)+IFERROR(V29/V6,0))/4</f>
        <v>0.721733832335329</v>
      </c>
      <c r="E32" s="113">
        <f t="shared" si="5"/>
        <v>0.760525449101796</v>
      </c>
      <c r="F32" s="113">
        <f t="shared" si="5"/>
        <v>0.757586826347305</v>
      </c>
      <c r="G32" s="113">
        <f t="shared" si="5"/>
        <v>0.760925449101796</v>
      </c>
      <c r="H32" s="113">
        <f t="shared" si="5"/>
        <v>0.73847380239521</v>
      </c>
      <c r="I32" s="113">
        <f t="shared" si="5"/>
        <v>0.740927994011976</v>
      </c>
    </row>
    <row r="33" ht="19.5" customHeight="1" spans="1:9">
      <c r="A33" s="76" t="s">
        <v>124</v>
      </c>
      <c r="B33" s="76"/>
      <c r="C33" s="76"/>
      <c r="D33" s="114">
        <f t="shared" ref="D33:I33" si="6">IFERROR(AB29/AB6,0)</f>
        <v>0.733473305338932</v>
      </c>
      <c r="E33" s="114">
        <f t="shared" si="6"/>
        <v>0.788092381523695</v>
      </c>
      <c r="F33" s="114">
        <f t="shared" si="6"/>
        <v>0.748200359928014</v>
      </c>
      <c r="G33" s="114">
        <f t="shared" si="6"/>
        <v>0.766046790641872</v>
      </c>
      <c r="H33" s="114">
        <f t="shared" si="6"/>
        <v>0.781133773245351</v>
      </c>
      <c r="I33" s="114">
        <f t="shared" si="6"/>
        <v>0.7249850029994</v>
      </c>
    </row>
    <row r="34" ht="19.5" customHeight="1" spans="1:9">
      <c r="A34" s="76" t="s">
        <v>125</v>
      </c>
      <c r="B34" s="76"/>
      <c r="C34" s="76"/>
      <c r="D34" s="77">
        <f t="shared" ref="D34:I34" si="7">IF(D31&gt;=0.6,3,IF(D31&gt;=0.4,2,1))</f>
        <v>3</v>
      </c>
      <c r="E34" s="77">
        <f t="shared" si="7"/>
        <v>3</v>
      </c>
      <c r="F34" s="77">
        <f t="shared" si="7"/>
        <v>3</v>
      </c>
      <c r="G34" s="77">
        <f t="shared" si="7"/>
        <v>3</v>
      </c>
      <c r="H34" s="77">
        <f t="shared" si="7"/>
        <v>3</v>
      </c>
      <c r="I34" s="77">
        <f t="shared" si="7"/>
        <v>3</v>
      </c>
    </row>
  </sheetData>
  <mergeCells count="15">
    <mergeCell ref="A1:AJ1"/>
    <mergeCell ref="A2:AJ2"/>
    <mergeCell ref="A4:C4"/>
    <mergeCell ref="D4:I4"/>
    <mergeCell ref="J4:O4"/>
    <mergeCell ref="P4:U4"/>
    <mergeCell ref="V4:AA4"/>
    <mergeCell ref="AB4:AG4"/>
    <mergeCell ref="A6:C6"/>
    <mergeCell ref="A7:AJ7"/>
    <mergeCell ref="A29:C29"/>
    <mergeCell ref="A31:C31"/>
    <mergeCell ref="A32:C32"/>
    <mergeCell ref="A33:C33"/>
    <mergeCell ref="A34:C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showGridLines="0" workbookViewId="0">
      <pane xSplit="4" ySplit="5" topLeftCell="E6" activePane="bottomRight" state="frozen"/>
      <selection/>
      <selection pane="topRight"/>
      <selection pane="bottomLeft"/>
      <selection pane="bottomRight" activeCell="A1" sqref="A1:S1"/>
    </sheetView>
  </sheetViews>
  <sheetFormatPr defaultColWidth="8.67592592592593" defaultRowHeight="14.4"/>
  <cols>
    <col min="1" max="1" width="28" customWidth="1"/>
    <col min="2" max="2" width="8" customWidth="1"/>
    <col min="3" max="3" width="7" customWidth="1"/>
    <col min="4" max="4" width="10" customWidth="1"/>
    <col min="5" max="19" width="8" customWidth="1"/>
  </cols>
  <sheetData>
    <row r="1" ht="36" customHeight="1" spans="1:19">
      <c r="A1" s="47" t="s">
        <v>131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ht="13.5" customHeight="1" spans="1:19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4.5" customHeight="1"/>
    <row r="4" ht="25.5" customHeight="1" spans="1:19">
      <c r="A4" s="55" t="s">
        <v>6</v>
      </c>
      <c r="B4" s="55" t="s">
        <v>7</v>
      </c>
      <c r="C4" s="55" t="s">
        <v>133</v>
      </c>
      <c r="D4" s="55" t="s">
        <v>134</v>
      </c>
      <c r="E4" s="56" t="s">
        <v>135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7" t="s">
        <v>136</v>
      </c>
      <c r="R4" s="57"/>
      <c r="S4" s="57"/>
    </row>
    <row r="5" ht="19.5" customHeight="1" spans="1:19">
      <c r="A5" s="55"/>
      <c r="B5" s="55"/>
      <c r="C5" s="55"/>
      <c r="D5" s="55"/>
      <c r="E5" s="59" t="s">
        <v>25</v>
      </c>
      <c r="F5" s="59" t="s">
        <v>29</v>
      </c>
      <c r="G5" s="59" t="s">
        <v>33</v>
      </c>
      <c r="H5" s="59" t="s">
        <v>37</v>
      </c>
      <c r="I5" s="59" t="s">
        <v>41</v>
      </c>
      <c r="J5" s="59" t="s">
        <v>43</v>
      </c>
      <c r="K5" s="59" t="s">
        <v>45</v>
      </c>
      <c r="L5" s="59" t="s">
        <v>47</v>
      </c>
      <c r="M5" s="59" t="s">
        <v>49</v>
      </c>
      <c r="N5" s="59" t="s">
        <v>51</v>
      </c>
      <c r="O5" s="59" t="s">
        <v>53</v>
      </c>
      <c r="P5" s="59" t="s">
        <v>55</v>
      </c>
      <c r="Q5" s="60" t="s">
        <v>57</v>
      </c>
      <c r="R5" s="60" t="s">
        <v>59</v>
      </c>
      <c r="S5" s="60" t="s">
        <v>61</v>
      </c>
    </row>
    <row r="6" ht="18" customHeight="1" spans="1:19">
      <c r="A6" s="78" t="s">
        <v>23</v>
      </c>
      <c r="B6" s="79" t="s">
        <v>24</v>
      </c>
      <c r="C6" s="59" t="s">
        <v>9</v>
      </c>
      <c r="D6" s="80">
        <f>CS301!D31</f>
        <v>0.765863333333333</v>
      </c>
      <c r="E6" s="81">
        <v>3</v>
      </c>
      <c r="F6" s="81">
        <v>3</v>
      </c>
      <c r="G6" s="81">
        <v>2</v>
      </c>
      <c r="H6" s="81">
        <v>1</v>
      </c>
      <c r="I6" s="82">
        <v>0</v>
      </c>
      <c r="J6" s="82">
        <v>0</v>
      </c>
      <c r="K6" s="82">
        <v>0</v>
      </c>
      <c r="L6" s="82">
        <v>0</v>
      </c>
      <c r="M6" s="81">
        <v>1</v>
      </c>
      <c r="N6" s="82">
        <v>0</v>
      </c>
      <c r="O6" s="82">
        <v>0</v>
      </c>
      <c r="P6" s="81">
        <v>2</v>
      </c>
      <c r="Q6" s="83">
        <v>3</v>
      </c>
      <c r="R6" s="83">
        <v>2</v>
      </c>
      <c r="S6" s="83">
        <v>1</v>
      </c>
    </row>
    <row r="7" ht="18" customHeight="1" spans="1:19">
      <c r="A7" s="78"/>
      <c r="B7" s="78"/>
      <c r="C7" s="59" t="s">
        <v>10</v>
      </c>
      <c r="D7" s="80">
        <f>CS301!E31</f>
        <v>0.736866666666667</v>
      </c>
      <c r="E7" s="81">
        <v>3</v>
      </c>
      <c r="F7" s="81">
        <v>3</v>
      </c>
      <c r="G7" s="81">
        <v>3</v>
      </c>
      <c r="H7" s="81">
        <v>2</v>
      </c>
      <c r="I7" s="81">
        <v>1</v>
      </c>
      <c r="J7" s="82">
        <v>0</v>
      </c>
      <c r="K7" s="82">
        <v>0</v>
      </c>
      <c r="L7" s="82">
        <v>0</v>
      </c>
      <c r="M7" s="81">
        <v>1</v>
      </c>
      <c r="N7" s="82">
        <v>0</v>
      </c>
      <c r="O7" s="82">
        <v>0</v>
      </c>
      <c r="P7" s="81">
        <v>2</v>
      </c>
      <c r="Q7" s="83">
        <v>3</v>
      </c>
      <c r="R7" s="83">
        <v>2</v>
      </c>
      <c r="S7" s="83">
        <v>1</v>
      </c>
    </row>
    <row r="8" ht="18" customHeight="1" spans="1:19">
      <c r="A8" s="78"/>
      <c r="B8" s="78"/>
      <c r="C8" s="59" t="s">
        <v>11</v>
      </c>
      <c r="D8" s="80">
        <f>CS301!F31</f>
        <v>0.747861666666667</v>
      </c>
      <c r="E8" s="81">
        <v>2</v>
      </c>
      <c r="F8" s="81">
        <v>3</v>
      </c>
      <c r="G8" s="81">
        <v>3</v>
      </c>
      <c r="H8" s="81">
        <v>2</v>
      </c>
      <c r="I8" s="81">
        <v>2</v>
      </c>
      <c r="J8" s="82">
        <v>0</v>
      </c>
      <c r="K8" s="82">
        <v>0</v>
      </c>
      <c r="L8" s="82">
        <v>0</v>
      </c>
      <c r="M8" s="82">
        <v>0</v>
      </c>
      <c r="N8" s="81">
        <v>1</v>
      </c>
      <c r="O8" s="82">
        <v>0</v>
      </c>
      <c r="P8" s="81">
        <v>1</v>
      </c>
      <c r="Q8" s="83">
        <v>3</v>
      </c>
      <c r="R8" s="83">
        <v>3</v>
      </c>
      <c r="S8" s="83">
        <v>2</v>
      </c>
    </row>
    <row r="9" ht="18" customHeight="1" spans="1:19">
      <c r="A9" s="78"/>
      <c r="B9" s="78"/>
      <c r="C9" s="59" t="s">
        <v>12</v>
      </c>
      <c r="D9" s="80">
        <f>CS301!G31</f>
        <v>0.757025</v>
      </c>
      <c r="E9" s="81">
        <v>3</v>
      </c>
      <c r="F9" s="81">
        <v>3</v>
      </c>
      <c r="G9" s="81">
        <v>2</v>
      </c>
      <c r="H9" s="81">
        <v>3</v>
      </c>
      <c r="I9" s="81">
        <v>1</v>
      </c>
      <c r="J9" s="82">
        <v>0</v>
      </c>
      <c r="K9" s="82">
        <v>0</v>
      </c>
      <c r="L9" s="82">
        <v>0</v>
      </c>
      <c r="M9" s="82">
        <v>0</v>
      </c>
      <c r="N9" s="82">
        <v>0</v>
      </c>
      <c r="O9" s="82">
        <v>0</v>
      </c>
      <c r="P9" s="81">
        <v>2</v>
      </c>
      <c r="Q9" s="83">
        <v>3</v>
      </c>
      <c r="R9" s="83">
        <v>2</v>
      </c>
      <c r="S9" s="83">
        <v>1</v>
      </c>
    </row>
    <row r="10" ht="18" customHeight="1" spans="1:19">
      <c r="A10" s="78"/>
      <c r="B10" s="78"/>
      <c r="C10" s="59" t="s">
        <v>13</v>
      </c>
      <c r="D10" s="80">
        <f>CS301!H31</f>
        <v>0.746276666666667</v>
      </c>
      <c r="E10" s="81">
        <v>2</v>
      </c>
      <c r="F10" s="81">
        <v>2</v>
      </c>
      <c r="G10" s="81">
        <v>3</v>
      </c>
      <c r="H10" s="81">
        <v>2</v>
      </c>
      <c r="I10" s="81">
        <v>3</v>
      </c>
      <c r="J10" s="82">
        <v>0</v>
      </c>
      <c r="K10" s="82">
        <v>0</v>
      </c>
      <c r="L10" s="82">
        <v>0</v>
      </c>
      <c r="M10" s="81">
        <v>1</v>
      </c>
      <c r="N10" s="82">
        <v>0</v>
      </c>
      <c r="O10" s="82">
        <v>0</v>
      </c>
      <c r="P10" s="81">
        <v>2</v>
      </c>
      <c r="Q10" s="83">
        <v>2</v>
      </c>
      <c r="R10" s="83">
        <v>3</v>
      </c>
      <c r="S10" s="83">
        <v>2</v>
      </c>
    </row>
    <row r="11" ht="18" customHeight="1" spans="1:19">
      <c r="A11" s="78" t="s">
        <v>27</v>
      </c>
      <c r="B11" s="79" t="s">
        <v>28</v>
      </c>
      <c r="C11" s="59" t="s">
        <v>9</v>
      </c>
      <c r="D11" s="80">
        <f>CS302!D31</f>
        <v>0.78649</v>
      </c>
      <c r="E11" s="81">
        <v>3</v>
      </c>
      <c r="F11" s="81">
        <v>2</v>
      </c>
      <c r="G11" s="81">
        <v>2</v>
      </c>
      <c r="H11" s="81">
        <v>1</v>
      </c>
      <c r="I11" s="81">
        <v>2</v>
      </c>
      <c r="J11" s="82">
        <v>0</v>
      </c>
      <c r="K11" s="82">
        <v>0</v>
      </c>
      <c r="L11" s="82">
        <v>0</v>
      </c>
      <c r="M11" s="82">
        <v>0</v>
      </c>
      <c r="N11" s="81">
        <v>1</v>
      </c>
      <c r="O11" s="82">
        <v>0</v>
      </c>
      <c r="P11" s="81">
        <v>1</v>
      </c>
      <c r="Q11" s="83">
        <v>3</v>
      </c>
      <c r="R11" s="83">
        <v>2</v>
      </c>
      <c r="S11" s="83">
        <v>2</v>
      </c>
    </row>
    <row r="12" ht="18" customHeight="1" spans="1:19">
      <c r="A12" s="78"/>
      <c r="B12" s="78"/>
      <c r="C12" s="59" t="s">
        <v>10</v>
      </c>
      <c r="D12" s="80">
        <f>CS302!E31</f>
        <v>0.753313333333333</v>
      </c>
      <c r="E12" s="81">
        <v>3</v>
      </c>
      <c r="F12" s="81">
        <v>3</v>
      </c>
      <c r="G12" s="81">
        <v>2</v>
      </c>
      <c r="H12" s="81">
        <v>2</v>
      </c>
      <c r="I12" s="81">
        <v>2</v>
      </c>
      <c r="J12" s="82">
        <v>0</v>
      </c>
      <c r="K12" s="82">
        <v>0</v>
      </c>
      <c r="L12" s="82">
        <v>0</v>
      </c>
      <c r="M12" s="81">
        <v>1</v>
      </c>
      <c r="N12" s="82">
        <v>0</v>
      </c>
      <c r="O12" s="82">
        <v>0</v>
      </c>
      <c r="P12" s="81">
        <v>1</v>
      </c>
      <c r="Q12" s="83">
        <v>3</v>
      </c>
      <c r="R12" s="83">
        <v>2</v>
      </c>
      <c r="S12" s="83">
        <v>1</v>
      </c>
    </row>
    <row r="13" ht="18" customHeight="1" spans="1:19">
      <c r="A13" s="78"/>
      <c r="B13" s="78"/>
      <c r="C13" s="59" t="s">
        <v>11</v>
      </c>
      <c r="D13" s="80">
        <f>CS302!F31</f>
        <v>0.763433333333333</v>
      </c>
      <c r="E13" s="81">
        <v>2</v>
      </c>
      <c r="F13" s="81">
        <v>3</v>
      </c>
      <c r="G13" s="81">
        <v>3</v>
      </c>
      <c r="H13" s="81">
        <v>2</v>
      </c>
      <c r="I13" s="81">
        <v>2</v>
      </c>
      <c r="J13" s="82">
        <v>0</v>
      </c>
      <c r="K13" s="82">
        <v>0</v>
      </c>
      <c r="L13" s="82">
        <v>0</v>
      </c>
      <c r="M13" s="82">
        <v>0</v>
      </c>
      <c r="N13" s="81">
        <v>1</v>
      </c>
      <c r="O13" s="82">
        <v>0</v>
      </c>
      <c r="P13" s="81">
        <v>2</v>
      </c>
      <c r="Q13" s="83">
        <v>2</v>
      </c>
      <c r="R13" s="83">
        <v>3</v>
      </c>
      <c r="S13" s="83">
        <v>2</v>
      </c>
    </row>
    <row r="14" ht="18" customHeight="1" spans="1:19">
      <c r="A14" s="78"/>
      <c r="B14" s="78"/>
      <c r="C14" s="59" t="s">
        <v>12</v>
      </c>
      <c r="D14" s="80">
        <f>CS302!G31</f>
        <v>0.7418</v>
      </c>
      <c r="E14" s="81">
        <v>2</v>
      </c>
      <c r="F14" s="81">
        <v>2</v>
      </c>
      <c r="G14" s="81">
        <v>2</v>
      </c>
      <c r="H14" s="81">
        <v>3</v>
      </c>
      <c r="I14" s="81">
        <v>1</v>
      </c>
      <c r="J14" s="82">
        <v>0</v>
      </c>
      <c r="K14" s="82">
        <v>0</v>
      </c>
      <c r="L14" s="82">
        <v>0</v>
      </c>
      <c r="M14" s="81">
        <v>1</v>
      </c>
      <c r="N14" s="82">
        <v>0</v>
      </c>
      <c r="O14" s="81">
        <v>1</v>
      </c>
      <c r="P14" s="81">
        <v>1</v>
      </c>
      <c r="Q14" s="83">
        <v>3</v>
      </c>
      <c r="R14" s="83">
        <v>2</v>
      </c>
      <c r="S14" s="83">
        <v>1</v>
      </c>
    </row>
    <row r="15" ht="18" customHeight="1" spans="1:19">
      <c r="A15" s="78"/>
      <c r="B15" s="78"/>
      <c r="C15" s="59" t="s">
        <v>13</v>
      </c>
      <c r="D15" s="80">
        <f>CS302!H31</f>
        <v>0.763813333333333</v>
      </c>
      <c r="E15" s="81">
        <v>3</v>
      </c>
      <c r="F15" s="81">
        <v>3</v>
      </c>
      <c r="G15" s="81">
        <v>2</v>
      </c>
      <c r="H15" s="81">
        <v>2</v>
      </c>
      <c r="I15" s="81">
        <v>3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1">
        <v>2</v>
      </c>
      <c r="Q15" s="83">
        <v>2</v>
      </c>
      <c r="R15" s="83">
        <v>3</v>
      </c>
      <c r="S15" s="83">
        <v>2</v>
      </c>
    </row>
    <row r="16" ht="18" customHeight="1" spans="1:19">
      <c r="A16" s="78" t="s">
        <v>31</v>
      </c>
      <c r="B16" s="79" t="s">
        <v>32</v>
      </c>
      <c r="C16" s="59" t="s">
        <v>9</v>
      </c>
      <c r="D16" s="80">
        <f>CS303!D31</f>
        <v>0.747616666666667</v>
      </c>
      <c r="E16" s="81">
        <v>3</v>
      </c>
      <c r="F16" s="81">
        <v>2</v>
      </c>
      <c r="G16" s="81">
        <v>1</v>
      </c>
      <c r="H16" s="81">
        <v>1</v>
      </c>
      <c r="I16" s="81">
        <v>3</v>
      </c>
      <c r="J16" s="81">
        <v>1</v>
      </c>
      <c r="K16" s="82">
        <v>0</v>
      </c>
      <c r="L16" s="82">
        <v>0</v>
      </c>
      <c r="M16" s="82">
        <v>0</v>
      </c>
      <c r="N16" s="81">
        <v>1</v>
      </c>
      <c r="O16" s="82">
        <v>0</v>
      </c>
      <c r="P16" s="81">
        <v>2</v>
      </c>
      <c r="Q16" s="83">
        <v>2</v>
      </c>
      <c r="R16" s="83">
        <v>3</v>
      </c>
      <c r="S16" s="83">
        <v>2</v>
      </c>
    </row>
    <row r="17" ht="18" customHeight="1" spans="1:19">
      <c r="A17" s="78"/>
      <c r="B17" s="78"/>
      <c r="C17" s="59" t="s">
        <v>10</v>
      </c>
      <c r="D17" s="80">
        <f>CS303!E31</f>
        <v>0.733796666666667</v>
      </c>
      <c r="E17" s="81">
        <v>3</v>
      </c>
      <c r="F17" s="81">
        <v>3</v>
      </c>
      <c r="G17" s="81">
        <v>2</v>
      </c>
      <c r="H17" s="81">
        <v>2</v>
      </c>
      <c r="I17" s="81">
        <v>3</v>
      </c>
      <c r="J17" s="81">
        <v>1</v>
      </c>
      <c r="K17" s="82">
        <v>0</v>
      </c>
      <c r="L17" s="82">
        <v>0</v>
      </c>
      <c r="M17" s="81">
        <v>1</v>
      </c>
      <c r="N17" s="82">
        <v>0</v>
      </c>
      <c r="O17" s="82">
        <v>0</v>
      </c>
      <c r="P17" s="81">
        <v>2</v>
      </c>
      <c r="Q17" s="83">
        <v>3</v>
      </c>
      <c r="R17" s="83">
        <v>3</v>
      </c>
      <c r="S17" s="83">
        <v>2</v>
      </c>
    </row>
    <row r="18" ht="18" customHeight="1" spans="1:19">
      <c r="A18" s="78"/>
      <c r="B18" s="78"/>
      <c r="C18" s="59" t="s">
        <v>11</v>
      </c>
      <c r="D18" s="80">
        <f>CS303!F31</f>
        <v>0.77289</v>
      </c>
      <c r="E18" s="81">
        <v>2</v>
      </c>
      <c r="F18" s="81">
        <v>3</v>
      </c>
      <c r="G18" s="81">
        <v>3</v>
      </c>
      <c r="H18" s="81">
        <v>2</v>
      </c>
      <c r="I18" s="81">
        <v>2</v>
      </c>
      <c r="J18" s="81">
        <v>1</v>
      </c>
      <c r="K18" s="81">
        <v>1</v>
      </c>
      <c r="L18" s="82">
        <v>0</v>
      </c>
      <c r="M18" s="82">
        <v>0</v>
      </c>
      <c r="N18" s="81">
        <v>1</v>
      </c>
      <c r="O18" s="82">
        <v>0</v>
      </c>
      <c r="P18" s="81">
        <v>1</v>
      </c>
      <c r="Q18" s="83">
        <v>2</v>
      </c>
      <c r="R18" s="83">
        <v>2</v>
      </c>
      <c r="S18" s="83">
        <v>2</v>
      </c>
    </row>
    <row r="19" ht="18" customHeight="1" spans="1:19">
      <c r="A19" s="78"/>
      <c r="B19" s="78"/>
      <c r="C19" s="59" t="s">
        <v>12</v>
      </c>
      <c r="D19" s="80">
        <f>CS303!G31</f>
        <v>0.73717</v>
      </c>
      <c r="E19" s="81">
        <v>3</v>
      </c>
      <c r="F19" s="81">
        <v>2</v>
      </c>
      <c r="G19" s="81">
        <v>2</v>
      </c>
      <c r="H19" s="81">
        <v>3</v>
      </c>
      <c r="I19" s="81">
        <v>2</v>
      </c>
      <c r="J19" s="82">
        <v>0</v>
      </c>
      <c r="K19" s="82">
        <v>0</v>
      </c>
      <c r="L19" s="82">
        <v>0</v>
      </c>
      <c r="M19" s="81">
        <v>1</v>
      </c>
      <c r="N19" s="82">
        <v>0</v>
      </c>
      <c r="O19" s="82">
        <v>0</v>
      </c>
      <c r="P19" s="81">
        <v>2</v>
      </c>
      <c r="Q19" s="83">
        <v>3</v>
      </c>
      <c r="R19" s="83">
        <v>2</v>
      </c>
      <c r="S19" s="83">
        <v>1</v>
      </c>
    </row>
    <row r="20" ht="18" customHeight="1" spans="1:19">
      <c r="A20" s="78"/>
      <c r="B20" s="78"/>
      <c r="C20" s="59" t="s">
        <v>13</v>
      </c>
      <c r="D20" s="80">
        <f>CS303!H31</f>
        <v>0.730676666666667</v>
      </c>
      <c r="E20" s="81">
        <v>2</v>
      </c>
      <c r="F20" s="81">
        <v>3</v>
      </c>
      <c r="G20" s="81">
        <v>2</v>
      </c>
      <c r="H20" s="81">
        <v>2</v>
      </c>
      <c r="I20" s="81">
        <v>3</v>
      </c>
      <c r="J20" s="82">
        <v>0</v>
      </c>
      <c r="K20" s="82">
        <v>0</v>
      </c>
      <c r="L20" s="82">
        <v>0</v>
      </c>
      <c r="M20" s="82">
        <v>0</v>
      </c>
      <c r="N20" s="81">
        <v>1</v>
      </c>
      <c r="O20" s="82">
        <v>0</v>
      </c>
      <c r="P20" s="81">
        <v>2</v>
      </c>
      <c r="Q20" s="83">
        <v>2</v>
      </c>
      <c r="R20" s="83">
        <v>3</v>
      </c>
      <c r="S20" s="83">
        <v>2</v>
      </c>
    </row>
    <row r="21" ht="18" customHeight="1" spans="1:19">
      <c r="A21" s="78" t="s">
        <v>35</v>
      </c>
      <c r="B21" s="79" t="s">
        <v>36</v>
      </c>
      <c r="C21" s="59" t="s">
        <v>9</v>
      </c>
      <c r="D21" s="80">
        <f>CS304!D31</f>
        <v>0.759028333333333</v>
      </c>
      <c r="E21" s="81">
        <v>3</v>
      </c>
      <c r="F21" s="81">
        <v>3</v>
      </c>
      <c r="G21" s="81">
        <v>1</v>
      </c>
      <c r="H21" s="81">
        <v>2</v>
      </c>
      <c r="I21" s="81">
        <v>2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1">
        <v>2</v>
      </c>
      <c r="Q21" s="83">
        <v>3</v>
      </c>
      <c r="R21" s="83">
        <v>2</v>
      </c>
      <c r="S21" s="83">
        <v>2</v>
      </c>
    </row>
    <row r="22" ht="18" customHeight="1" spans="1:19">
      <c r="A22" s="78"/>
      <c r="B22" s="78"/>
      <c r="C22" s="59" t="s">
        <v>10</v>
      </c>
      <c r="D22" s="80">
        <f>CS304!E31</f>
        <v>0.777003333333333</v>
      </c>
      <c r="E22" s="81">
        <v>3</v>
      </c>
      <c r="F22" s="81">
        <v>3</v>
      </c>
      <c r="G22" s="81">
        <v>2</v>
      </c>
      <c r="H22" s="81">
        <v>2</v>
      </c>
      <c r="I22" s="81">
        <v>2</v>
      </c>
      <c r="J22" s="82">
        <v>0</v>
      </c>
      <c r="K22" s="82">
        <v>0</v>
      </c>
      <c r="L22" s="82">
        <v>0</v>
      </c>
      <c r="M22" s="81">
        <v>1</v>
      </c>
      <c r="N22" s="82">
        <v>0</v>
      </c>
      <c r="O22" s="82">
        <v>0</v>
      </c>
      <c r="P22" s="81">
        <v>2</v>
      </c>
      <c r="Q22" s="83">
        <v>3</v>
      </c>
      <c r="R22" s="83">
        <v>3</v>
      </c>
      <c r="S22" s="83">
        <v>1</v>
      </c>
    </row>
    <row r="23" ht="18" customHeight="1" spans="1:19">
      <c r="A23" s="78"/>
      <c r="B23" s="78"/>
      <c r="C23" s="59" t="s">
        <v>11</v>
      </c>
      <c r="D23" s="80">
        <f>CS304!F31</f>
        <v>0.735376666666667</v>
      </c>
      <c r="E23" s="81">
        <v>2</v>
      </c>
      <c r="F23" s="81">
        <v>3</v>
      </c>
      <c r="G23" s="81">
        <v>3</v>
      </c>
      <c r="H23" s="81">
        <v>3</v>
      </c>
      <c r="I23" s="81">
        <v>2</v>
      </c>
      <c r="J23" s="82">
        <v>0</v>
      </c>
      <c r="K23" s="82">
        <v>0</v>
      </c>
      <c r="L23" s="82">
        <v>0</v>
      </c>
      <c r="M23" s="82">
        <v>0</v>
      </c>
      <c r="N23" s="81">
        <v>1</v>
      </c>
      <c r="O23" s="82">
        <v>0</v>
      </c>
      <c r="P23" s="81">
        <v>1</v>
      </c>
      <c r="Q23" s="83">
        <v>2</v>
      </c>
      <c r="R23" s="83">
        <v>2</v>
      </c>
      <c r="S23" s="83">
        <v>2</v>
      </c>
    </row>
    <row r="24" ht="18" customHeight="1" spans="1:19">
      <c r="A24" s="78"/>
      <c r="B24" s="78"/>
      <c r="C24" s="59" t="s">
        <v>12</v>
      </c>
      <c r="D24" s="80">
        <f>CS304!G31</f>
        <v>0.745556666666667</v>
      </c>
      <c r="E24" s="81">
        <v>2</v>
      </c>
      <c r="F24" s="81">
        <v>2</v>
      </c>
      <c r="G24" s="81">
        <v>2</v>
      </c>
      <c r="H24" s="81">
        <v>3</v>
      </c>
      <c r="I24" s="81">
        <v>1</v>
      </c>
      <c r="J24" s="82">
        <v>0</v>
      </c>
      <c r="K24" s="82">
        <v>0</v>
      </c>
      <c r="L24" s="82">
        <v>0</v>
      </c>
      <c r="M24" s="81">
        <v>1</v>
      </c>
      <c r="N24" s="82">
        <v>0</v>
      </c>
      <c r="O24" s="82">
        <v>0</v>
      </c>
      <c r="P24" s="81">
        <v>2</v>
      </c>
      <c r="Q24" s="83">
        <v>2</v>
      </c>
      <c r="R24" s="83">
        <v>2</v>
      </c>
      <c r="S24" s="83">
        <v>2</v>
      </c>
    </row>
    <row r="25" ht="18" customHeight="1" spans="1:19">
      <c r="A25" s="78"/>
      <c r="B25" s="78"/>
      <c r="C25" s="59" t="s">
        <v>13</v>
      </c>
      <c r="D25" s="80">
        <f>CS304!H31</f>
        <v>0.756196666666667</v>
      </c>
      <c r="E25" s="81">
        <v>3</v>
      </c>
      <c r="F25" s="81">
        <v>3</v>
      </c>
      <c r="G25" s="81">
        <v>2</v>
      </c>
      <c r="H25" s="81">
        <v>2</v>
      </c>
      <c r="I25" s="81">
        <v>3</v>
      </c>
      <c r="J25" s="82">
        <v>0</v>
      </c>
      <c r="K25" s="82">
        <v>0</v>
      </c>
      <c r="L25" s="82">
        <v>0</v>
      </c>
      <c r="M25" s="82">
        <v>0</v>
      </c>
      <c r="N25" s="82">
        <v>0</v>
      </c>
      <c r="O25" s="82">
        <v>0</v>
      </c>
      <c r="P25" s="81">
        <v>2</v>
      </c>
      <c r="Q25" s="83">
        <v>3</v>
      </c>
      <c r="R25" s="83">
        <v>3</v>
      </c>
      <c r="S25" s="83">
        <v>2</v>
      </c>
    </row>
    <row r="26" ht="18" customHeight="1" spans="1:19">
      <c r="A26" s="78" t="s">
        <v>39</v>
      </c>
      <c r="B26" s="79" t="s">
        <v>40</v>
      </c>
      <c r="C26" s="59" t="s">
        <v>9</v>
      </c>
      <c r="D26" s="80">
        <f>CS305!D31</f>
        <v>0.72408172693605</v>
      </c>
      <c r="E26" s="81">
        <v>3</v>
      </c>
      <c r="F26" s="81">
        <v>3</v>
      </c>
      <c r="G26" s="81">
        <v>2</v>
      </c>
      <c r="H26" s="81">
        <v>2</v>
      </c>
      <c r="I26" s="81">
        <v>3</v>
      </c>
      <c r="J26" s="82">
        <v>0</v>
      </c>
      <c r="K26" s="82">
        <v>0</v>
      </c>
      <c r="L26" s="82">
        <v>0</v>
      </c>
      <c r="M26" s="82">
        <v>0</v>
      </c>
      <c r="N26" s="81">
        <v>1</v>
      </c>
      <c r="O26" s="82">
        <v>0</v>
      </c>
      <c r="P26" s="81">
        <v>3</v>
      </c>
      <c r="Q26" s="83">
        <v>3</v>
      </c>
      <c r="R26" s="83">
        <v>3</v>
      </c>
      <c r="S26" s="83">
        <v>2</v>
      </c>
    </row>
    <row r="27" ht="18" customHeight="1" spans="1:19">
      <c r="A27" s="78"/>
      <c r="B27" s="78"/>
      <c r="C27" s="59" t="s">
        <v>10</v>
      </c>
      <c r="D27" s="80">
        <f>CS305!E31</f>
        <v>0.766038835586176</v>
      </c>
      <c r="E27" s="81">
        <v>2</v>
      </c>
      <c r="F27" s="81">
        <v>3</v>
      </c>
      <c r="G27" s="81">
        <v>3</v>
      </c>
      <c r="H27" s="81">
        <v>2</v>
      </c>
      <c r="I27" s="81">
        <v>3</v>
      </c>
      <c r="J27" s="82">
        <v>0</v>
      </c>
      <c r="K27" s="82">
        <v>0</v>
      </c>
      <c r="L27" s="82">
        <v>0</v>
      </c>
      <c r="M27" s="81">
        <v>1</v>
      </c>
      <c r="N27" s="82">
        <v>0</v>
      </c>
      <c r="O27" s="82">
        <v>0</v>
      </c>
      <c r="P27" s="81">
        <v>2</v>
      </c>
      <c r="Q27" s="83">
        <v>2</v>
      </c>
      <c r="R27" s="83">
        <v>3</v>
      </c>
      <c r="S27" s="83">
        <v>2</v>
      </c>
    </row>
    <row r="28" ht="18" customHeight="1" spans="1:19">
      <c r="A28" s="78"/>
      <c r="B28" s="78"/>
      <c r="C28" s="59" t="s">
        <v>11</v>
      </c>
      <c r="D28" s="80">
        <f>CS305!F31</f>
        <v>0.755709533063447</v>
      </c>
      <c r="E28" s="81">
        <v>3</v>
      </c>
      <c r="F28" s="81">
        <v>3</v>
      </c>
      <c r="G28" s="81">
        <v>3</v>
      </c>
      <c r="H28" s="81">
        <v>3</v>
      </c>
      <c r="I28" s="81">
        <v>2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1">
        <v>3</v>
      </c>
      <c r="Q28" s="83">
        <v>3</v>
      </c>
      <c r="R28" s="83">
        <v>3</v>
      </c>
      <c r="S28" s="83">
        <v>3</v>
      </c>
    </row>
    <row r="29" ht="18" customHeight="1" spans="1:19">
      <c r="A29" s="78"/>
      <c r="B29" s="78"/>
      <c r="C29" s="59" t="s">
        <v>12</v>
      </c>
      <c r="D29" s="80">
        <f>CS305!G31</f>
        <v>0.761949717409811</v>
      </c>
      <c r="E29" s="81">
        <v>2</v>
      </c>
      <c r="F29" s="81">
        <v>3</v>
      </c>
      <c r="G29" s="81">
        <v>2</v>
      </c>
      <c r="H29" s="81">
        <v>3</v>
      </c>
      <c r="I29" s="81">
        <v>3</v>
      </c>
      <c r="J29" s="82">
        <v>0</v>
      </c>
      <c r="K29" s="82">
        <v>0</v>
      </c>
      <c r="L29" s="82">
        <v>0</v>
      </c>
      <c r="M29" s="81">
        <v>1</v>
      </c>
      <c r="N29" s="82">
        <v>0</v>
      </c>
      <c r="O29" s="82">
        <v>0</v>
      </c>
      <c r="P29" s="81">
        <v>2</v>
      </c>
      <c r="Q29" s="83">
        <v>2</v>
      </c>
      <c r="R29" s="83">
        <v>3</v>
      </c>
      <c r="S29" s="83">
        <v>2</v>
      </c>
    </row>
    <row r="30" ht="18" customHeight="1" spans="1:19">
      <c r="A30" s="78"/>
      <c r="B30" s="78"/>
      <c r="C30" s="59" t="s">
        <v>13</v>
      </c>
      <c r="D30" s="80">
        <f>CS305!H31</f>
        <v>0.747005796565238</v>
      </c>
      <c r="E30" s="81">
        <v>3</v>
      </c>
      <c r="F30" s="81">
        <v>2</v>
      </c>
      <c r="G30" s="81">
        <v>3</v>
      </c>
      <c r="H30" s="81">
        <v>2</v>
      </c>
      <c r="I30" s="81">
        <v>3</v>
      </c>
      <c r="J30" s="82">
        <v>0</v>
      </c>
      <c r="K30" s="82">
        <v>0</v>
      </c>
      <c r="L30" s="82">
        <v>0</v>
      </c>
      <c r="M30" s="82">
        <v>0</v>
      </c>
      <c r="N30" s="81">
        <v>1</v>
      </c>
      <c r="O30" s="82">
        <v>0</v>
      </c>
      <c r="P30" s="81">
        <v>3</v>
      </c>
      <c r="Q30" s="83">
        <v>3</v>
      </c>
      <c r="R30" s="83">
        <v>3</v>
      </c>
      <c r="S30" s="83">
        <v>3</v>
      </c>
    </row>
    <row r="31" ht="18" customHeight="1" spans="1:19">
      <c r="A31" s="78"/>
      <c r="B31" s="78"/>
      <c r="C31" s="59" t="s">
        <v>130</v>
      </c>
      <c r="D31" s="80">
        <f>CS305!I31</f>
        <v>0.737739395809461</v>
      </c>
      <c r="E31" s="81">
        <v>2</v>
      </c>
      <c r="F31" s="81">
        <v>3</v>
      </c>
      <c r="G31" s="81">
        <v>2</v>
      </c>
      <c r="H31" s="81">
        <v>2</v>
      </c>
      <c r="I31" s="81">
        <v>3</v>
      </c>
      <c r="J31" s="81">
        <v>1</v>
      </c>
      <c r="K31" s="82">
        <v>0</v>
      </c>
      <c r="L31" s="82">
        <v>0</v>
      </c>
      <c r="M31" s="81">
        <v>1</v>
      </c>
      <c r="N31" s="82">
        <v>0</v>
      </c>
      <c r="O31" s="82">
        <v>0</v>
      </c>
      <c r="P31" s="81">
        <v>3</v>
      </c>
      <c r="Q31" s="83">
        <v>2</v>
      </c>
      <c r="R31" s="83">
        <v>3</v>
      </c>
      <c r="S31" s="83">
        <v>3</v>
      </c>
    </row>
  </sheetData>
  <mergeCells count="18">
    <mergeCell ref="A1:S1"/>
    <mergeCell ref="A2:S2"/>
    <mergeCell ref="E4:P4"/>
    <mergeCell ref="Q4:S4"/>
    <mergeCell ref="A4:A5"/>
    <mergeCell ref="A6:A10"/>
    <mergeCell ref="A11:A15"/>
    <mergeCell ref="A16:A20"/>
    <mergeCell ref="A21:A25"/>
    <mergeCell ref="A26:A31"/>
    <mergeCell ref="B4:B5"/>
    <mergeCell ref="B6:B10"/>
    <mergeCell ref="B11:B15"/>
    <mergeCell ref="B16:B20"/>
    <mergeCell ref="B21:B25"/>
    <mergeCell ref="B26:B31"/>
    <mergeCell ref="C4:C5"/>
    <mergeCell ref="D4:D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showGridLines="0" workbookViewId="0">
      <pane xSplit="4" ySplit="5" topLeftCell="E6" activePane="bottomRight" state="frozen"/>
      <selection/>
      <selection pane="topRight"/>
      <selection pane="bottomLeft"/>
      <selection pane="bottomRight" activeCell="A1" sqref="A1:U1"/>
    </sheetView>
  </sheetViews>
  <sheetFormatPr defaultColWidth="8.67592592592593" defaultRowHeight="14.4"/>
  <cols>
    <col min="1" max="1" width="5" customWidth="1"/>
    <col min="2" max="2" width="30" customWidth="1"/>
    <col min="3" max="4" width="8" customWidth="1"/>
    <col min="5" max="22" width="9" customWidth="1"/>
  </cols>
  <sheetData>
    <row r="1" ht="36" customHeight="1" spans="1:22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3.5" customHeight="1" spans="1:22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4.5" customHeight="1"/>
    <row r="4" ht="25.5" customHeight="1" spans="1:22">
      <c r="A4" s="55" t="s">
        <v>5</v>
      </c>
      <c r="B4" s="55" t="s">
        <v>6</v>
      </c>
      <c r="C4" s="55" t="s">
        <v>7</v>
      </c>
      <c r="D4" s="55" t="s">
        <v>139</v>
      </c>
      <c r="E4" s="56" t="s">
        <v>135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7" t="s">
        <v>140</v>
      </c>
      <c r="R4" s="57"/>
      <c r="S4" s="57"/>
      <c r="T4" s="58" t="s">
        <v>141</v>
      </c>
      <c r="U4" s="58"/>
    </row>
    <row r="5" ht="19.5" customHeight="1" spans="1:22">
      <c r="A5" s="55"/>
      <c r="B5" s="55"/>
      <c r="C5" s="55"/>
      <c r="D5" s="55"/>
      <c r="E5" s="59" t="s">
        <v>25</v>
      </c>
      <c r="F5" s="59" t="s">
        <v>29</v>
      </c>
      <c r="G5" s="59" t="s">
        <v>33</v>
      </c>
      <c r="H5" s="59" t="s">
        <v>37</v>
      </c>
      <c r="I5" s="59" t="s">
        <v>41</v>
      </c>
      <c r="J5" s="59" t="s">
        <v>43</v>
      </c>
      <c r="K5" s="59" t="s">
        <v>45</v>
      </c>
      <c r="L5" s="59" t="s">
        <v>47</v>
      </c>
      <c r="M5" s="59" t="s">
        <v>49</v>
      </c>
      <c r="N5" s="59" t="s">
        <v>51</v>
      </c>
      <c r="O5" s="59" t="s">
        <v>53</v>
      </c>
      <c r="P5" s="59" t="s">
        <v>55</v>
      </c>
      <c r="Q5" s="60" t="s">
        <v>57</v>
      </c>
      <c r="R5" s="60" t="s">
        <v>59</v>
      </c>
      <c r="S5" s="60" t="s">
        <v>61</v>
      </c>
      <c r="T5" s="61" t="s">
        <v>142</v>
      </c>
      <c r="U5" s="60" t="s">
        <v>143</v>
      </c>
      <c r="V5" s="62" t="s">
        <v>144</v>
      </c>
    </row>
    <row r="6" ht="19.5" customHeight="1" spans="1:22">
      <c r="A6" s="20">
        <v>1</v>
      </c>
      <c r="B6" s="63" t="s">
        <v>23</v>
      </c>
      <c r="C6" s="64" t="s">
        <v>24</v>
      </c>
      <c r="D6" s="65">
        <v>4</v>
      </c>
      <c r="E6" s="66">
        <f>IFERROR(SUMPRODUCT(('CO-PO Mapping'!D6:D10)*('CO-PO Mapping'!E6:E10))/SUMIF('CO-PO Mapping'!E6:E10,"&gt;0"),0)</f>
        <v>0.751349358974359</v>
      </c>
      <c r="F6" s="66">
        <f>IFERROR(SUMPRODUCT(('CO-PO Mapping'!D6:D10)*('CO-PO Mapping'!F6:F10))/SUMIF('CO-PO Mapping'!F6:F10,"&gt;0"),0)</f>
        <v>0.751100238095238</v>
      </c>
      <c r="G6" s="66">
        <f>IFERROR(SUMPRODUCT(('CO-PO Mapping'!D6:D10)*('CO-PO Mapping'!G6:G10))/SUMIF('CO-PO Mapping'!G6:G10,"&gt;0"),0)</f>
        <v>0.749137820512821</v>
      </c>
      <c r="H6" s="66">
        <f>IFERROR(SUMPRODUCT(('CO-PO Mapping'!D6:D10)*('CO-PO Mapping'!H6:H10))/SUMIF('CO-PO Mapping'!H6:H10,"&gt;0"),0)</f>
        <v>0.749894833333333</v>
      </c>
      <c r="I6" s="66">
        <f>IFERROR(SUMPRODUCT(('CO-PO Mapping'!D6:D10)*('CO-PO Mapping'!I6:I10))/SUMIF('CO-PO Mapping'!I6:I10,"&gt;0"),0)</f>
        <v>0.746920714285714</v>
      </c>
      <c r="J6" s="66">
        <f>IFERROR(SUMPRODUCT(('CO-PO Mapping'!D6:D10)*('CO-PO Mapping'!J6:J10))/SUMIF('CO-PO Mapping'!J6:J10,"&gt;0"),0)</f>
        <v>0</v>
      </c>
      <c r="K6" s="66">
        <f>IFERROR(SUMPRODUCT(('CO-PO Mapping'!D6:D10)*('CO-PO Mapping'!K6:K10))/SUMIF('CO-PO Mapping'!K6:K10,"&gt;0"),0)</f>
        <v>0</v>
      </c>
      <c r="L6" s="66">
        <f>IFERROR(SUMPRODUCT(('CO-PO Mapping'!D6:D10)*('CO-PO Mapping'!L6:L10))/SUMIF('CO-PO Mapping'!L6:L10,"&gt;0"),0)</f>
        <v>0</v>
      </c>
      <c r="M6" s="66">
        <f>IFERROR(SUMPRODUCT(('CO-PO Mapping'!D6:D10)*('CO-PO Mapping'!M6:M10))/SUMIF('CO-PO Mapping'!M6:M10,"&gt;0"),0)</f>
        <v>0.749668888888889</v>
      </c>
      <c r="N6" s="66">
        <f>IFERROR(SUMPRODUCT(('CO-PO Mapping'!D6:D10)*('CO-PO Mapping'!N6:N10))/SUMIF('CO-PO Mapping'!N6:N10,"&gt;0"),0)</f>
        <v>0.747861666666667</v>
      </c>
      <c r="O6" s="66">
        <f>IFERROR(SUMPRODUCT(('CO-PO Mapping'!D6:D10)*('CO-PO Mapping'!O6:O10))/SUMIF('CO-PO Mapping'!O6:O10,"&gt;0"),0)</f>
        <v>0</v>
      </c>
      <c r="P6" s="66">
        <f>IFERROR(SUMPRODUCT(('CO-PO Mapping'!D6:D10)*('CO-PO Mapping'!P6:P10))/SUMIF('CO-PO Mapping'!P6:P10,"&gt;0"),0)</f>
        <v>0.751102777777778</v>
      </c>
      <c r="Q6" s="66">
        <f>IFERROR(SUMPRODUCT(('CO-PO Mapping'!D6:D10)*('CO-PO Mapping'!Q6:Q10))/SUMIF('CO-PO Mapping'!Q6:Q10,"&gt;0"),0)</f>
        <v>0.751100238095238</v>
      </c>
      <c r="R6" s="66">
        <f>IFERROR(SUMPRODUCT(('CO-PO Mapping'!D6:D10)*('CO-PO Mapping'!R6:R10))/SUMIF('CO-PO Mapping'!R6:R10,"&gt;0"),0)</f>
        <v>0.750160416666667</v>
      </c>
      <c r="S6" s="66">
        <f>IFERROR(SUMPRODUCT(('CO-PO Mapping'!D6:D10)*('CO-PO Mapping'!S6:S10))/SUMIF('CO-PO Mapping'!S6:S10,"&gt;0"),0)</f>
        <v>0.749718809523809</v>
      </c>
      <c r="T6" s="67">
        <f>AVERAGE(E6:P6)</f>
        <v>0.4997530248779</v>
      </c>
      <c r="U6" s="68">
        <f>AVERAGE(Q6:S6)</f>
        <v>0.750326488095238</v>
      </c>
      <c r="V6" s="69">
        <f>(AVERAGE(E6:P6)+AVERAGE(Q6:S6))/2</f>
        <v>0.625039756486569</v>
      </c>
    </row>
    <row r="7" ht="19.5" customHeight="1" spans="1:22">
      <c r="A7" s="33">
        <v>2</v>
      </c>
      <c r="B7" s="70" t="s">
        <v>27</v>
      </c>
      <c r="C7" s="71" t="s">
        <v>28</v>
      </c>
      <c r="D7" s="65">
        <v>4</v>
      </c>
      <c r="E7" s="72">
        <f>IFERROR(SUMPRODUCT(('CO-PO Mapping'!D11:D15)*('CO-PO Mapping'!E11:E15))/SUMIF('CO-PO Mapping'!E11:E15,"&gt;0"),0)</f>
        <v>0.763178205128205</v>
      </c>
      <c r="F7" s="72">
        <f>IFERROR(SUMPRODUCT(('CO-PO Mapping'!D11:D15)*('CO-PO Mapping'!F11:F15))/SUMIF('CO-PO Mapping'!F11:F15,"&gt;0"),0)</f>
        <v>0.761404615384615</v>
      </c>
      <c r="G7" s="72">
        <f>IFERROR(SUMPRODUCT(('CO-PO Mapping'!D11:D15)*('CO-PO Mapping'!G11:G15))/SUMIF('CO-PO Mapping'!G11:G15,"&gt;0"),0)</f>
        <v>0.761921212121212</v>
      </c>
      <c r="H7" s="72">
        <f>IFERROR(SUMPRODUCT(('CO-PO Mapping'!D11:D15)*('CO-PO Mapping'!H11:H15))/SUMIF('CO-PO Mapping'!H11:H15,"&gt;0"),0)</f>
        <v>0.757301</v>
      </c>
      <c r="I7" s="72">
        <f>IFERROR(SUMPRODUCT(('CO-PO Mapping'!D11:D15)*('CO-PO Mapping'!I11:I15))/SUMIF('CO-PO Mapping'!I11:I15,"&gt;0"),0)</f>
        <v>0.763971333333333</v>
      </c>
      <c r="J7" s="72">
        <f>IFERROR(SUMPRODUCT(('CO-PO Mapping'!D11:D15)*('CO-PO Mapping'!J11:J15))/SUMIF('CO-PO Mapping'!J11:J15,"&gt;0"),0)</f>
        <v>0</v>
      </c>
      <c r="K7" s="72">
        <f>IFERROR(SUMPRODUCT(('CO-PO Mapping'!D11:D15)*('CO-PO Mapping'!K11:K15))/SUMIF('CO-PO Mapping'!K11:K15,"&gt;0"),0)</f>
        <v>0</v>
      </c>
      <c r="L7" s="72">
        <f>IFERROR(SUMPRODUCT(('CO-PO Mapping'!D11:D15)*('CO-PO Mapping'!L11:L15))/SUMIF('CO-PO Mapping'!L11:L15,"&gt;0"),0)</f>
        <v>0</v>
      </c>
      <c r="M7" s="72">
        <f>IFERROR(SUMPRODUCT(('CO-PO Mapping'!D11:D15)*('CO-PO Mapping'!M11:M15))/SUMIF('CO-PO Mapping'!M11:M15,"&gt;0"),0)</f>
        <v>0.747556666666667</v>
      </c>
      <c r="N7" s="72">
        <f>IFERROR(SUMPRODUCT(('CO-PO Mapping'!D11:D15)*('CO-PO Mapping'!N11:N15))/SUMIF('CO-PO Mapping'!N11:N15,"&gt;0"),0)</f>
        <v>0.774961666666667</v>
      </c>
      <c r="O7" s="72">
        <f>IFERROR(SUMPRODUCT(('CO-PO Mapping'!D11:D15)*('CO-PO Mapping'!O11:O15))/SUMIF('CO-PO Mapping'!O11:O15,"&gt;0"),0)</f>
        <v>0.7418</v>
      </c>
      <c r="P7" s="72">
        <f>IFERROR(SUMPRODUCT(('CO-PO Mapping'!D11:D15)*('CO-PO Mapping'!P11:P15))/SUMIF('CO-PO Mapping'!P11:P15,"&gt;0"),0)</f>
        <v>0.762299523809524</v>
      </c>
      <c r="Q7" s="72">
        <f>IFERROR(SUMPRODUCT(('CO-PO Mapping'!D11:D15)*('CO-PO Mapping'!Q11:Q15))/SUMIF('CO-PO Mapping'!Q11:Q15,"&gt;0"),0)</f>
        <v>0.761484871794872</v>
      </c>
      <c r="R7" s="72">
        <f>IFERROR(SUMPRODUCT(('CO-PO Mapping'!D11:D15)*('CO-PO Mapping'!R11:R15))/SUMIF('CO-PO Mapping'!R11:R15,"&gt;0"),0)</f>
        <v>0.762078888888889</v>
      </c>
      <c r="S7" s="72">
        <f>IFERROR(SUMPRODUCT(('CO-PO Mapping'!D11:D15)*('CO-PO Mapping'!S11:S15))/SUMIF('CO-PO Mapping'!S11:S15,"&gt;0"),0)</f>
        <v>0.765323333333333</v>
      </c>
      <c r="T7" s="67">
        <f>AVERAGE(E7:P7)</f>
        <v>0.569532851925852</v>
      </c>
      <c r="U7" s="68">
        <f>AVERAGE(Q7:S7)</f>
        <v>0.762962364672365</v>
      </c>
      <c r="V7" s="69">
        <f>(AVERAGE(E7:P7)+AVERAGE(Q7:S7))/2</f>
        <v>0.666247608299108</v>
      </c>
    </row>
    <row r="8" ht="19.5" customHeight="1" spans="1:22">
      <c r="A8" s="20">
        <v>3</v>
      </c>
      <c r="B8" s="63" t="s">
        <v>31</v>
      </c>
      <c r="C8" s="64" t="s">
        <v>32</v>
      </c>
      <c r="D8" s="65">
        <v>4</v>
      </c>
      <c r="E8" s="66">
        <f>IFERROR(SUMPRODUCT(('CO-PO Mapping'!D16:D20)*('CO-PO Mapping'!E16:E20))/SUMIF('CO-PO Mapping'!E16:E20,"&gt;0"),0)</f>
        <v>0.743298717948718</v>
      </c>
      <c r="F8" s="66">
        <f>IFERROR(SUMPRODUCT(('CO-PO Mapping'!D16:D20)*('CO-PO Mapping'!F16:F20))/SUMIF('CO-PO Mapping'!F16:F20,"&gt;0"),0)</f>
        <v>0.744743333333333</v>
      </c>
      <c r="G8" s="66">
        <f>IFERROR(SUMPRODUCT(('CO-PO Mapping'!D16:D20)*('CO-PO Mapping'!G16:G20))/SUMIF('CO-PO Mapping'!G16:G20,"&gt;0"),0)</f>
        <v>0.746957333333333</v>
      </c>
      <c r="H8" s="66">
        <f>IFERROR(SUMPRODUCT(('CO-PO Mapping'!D16:D20)*('CO-PO Mapping'!H16:H20))/SUMIF('CO-PO Mapping'!H16:H20,"&gt;0"),0)</f>
        <v>0.743385333333333</v>
      </c>
      <c r="I8" s="66">
        <f>IFERROR(SUMPRODUCT(('CO-PO Mapping'!D16:D20)*('CO-PO Mapping'!I16:I20))/SUMIF('CO-PO Mapping'!I16:I20,"&gt;0"),0)</f>
        <v>0.742799230769231</v>
      </c>
      <c r="J8" s="66">
        <f>IFERROR(SUMPRODUCT(('CO-PO Mapping'!D16:D20)*('CO-PO Mapping'!J16:J20))/SUMIF('CO-PO Mapping'!J16:J20,"&gt;0"),0)</f>
        <v>0.751434444444445</v>
      </c>
      <c r="K8" s="66">
        <f>IFERROR(SUMPRODUCT(('CO-PO Mapping'!D16:D20)*('CO-PO Mapping'!K16:K20))/SUMIF('CO-PO Mapping'!K16:K20,"&gt;0"),0)</f>
        <v>0.77289</v>
      </c>
      <c r="L8" s="66">
        <f>IFERROR(SUMPRODUCT(('CO-PO Mapping'!D16:D20)*('CO-PO Mapping'!L16:L20))/SUMIF('CO-PO Mapping'!L16:L20,"&gt;0"),0)</f>
        <v>0</v>
      </c>
      <c r="M8" s="66">
        <f>IFERROR(SUMPRODUCT(('CO-PO Mapping'!D16:D20)*('CO-PO Mapping'!M16:M20))/SUMIF('CO-PO Mapping'!M16:M20,"&gt;0"),0)</f>
        <v>0.735483333333333</v>
      </c>
      <c r="N8" s="66">
        <f>IFERROR(SUMPRODUCT(('CO-PO Mapping'!D16:D20)*('CO-PO Mapping'!N16:N20))/SUMIF('CO-PO Mapping'!N16:N20,"&gt;0"),0)</f>
        <v>0.750394444444444</v>
      </c>
      <c r="O8" s="66">
        <f>IFERROR(SUMPRODUCT(('CO-PO Mapping'!D16:D20)*('CO-PO Mapping'!O16:O20))/SUMIF('CO-PO Mapping'!O16:O20,"&gt;0"),0)</f>
        <v>0</v>
      </c>
      <c r="P8" s="66">
        <f>IFERROR(SUMPRODUCT(('CO-PO Mapping'!D16:D20)*('CO-PO Mapping'!P16:P20))/SUMIF('CO-PO Mapping'!P16:P20,"&gt;0"),0)</f>
        <v>0.741267777777778</v>
      </c>
      <c r="Q8" s="66">
        <f>IFERROR(SUMPRODUCT(('CO-PO Mapping'!D16:D20)*('CO-PO Mapping'!Q16:Q20))/SUMIF('CO-PO Mapping'!Q16:Q20,"&gt;0"),0)</f>
        <v>0.742938888888889</v>
      </c>
      <c r="R8" s="66">
        <f>IFERROR(SUMPRODUCT(('CO-PO Mapping'!D16:D20)*('CO-PO Mapping'!R16:R20))/SUMIF('CO-PO Mapping'!R16:R20,"&gt;0"),0)</f>
        <v>0.742799230769231</v>
      </c>
      <c r="S8" s="66">
        <f>IFERROR(SUMPRODUCT(('CO-PO Mapping'!D16:D20)*('CO-PO Mapping'!S16:S20))/SUMIF('CO-PO Mapping'!S16:S20,"&gt;0"),0)</f>
        <v>0.745236666666667</v>
      </c>
      <c r="T8" s="67">
        <f>AVERAGE(E8:P8)</f>
        <v>0.622721162393162</v>
      </c>
      <c r="U8" s="68">
        <f>AVERAGE(Q8:S8)</f>
        <v>0.743658262108262</v>
      </c>
      <c r="V8" s="69">
        <f>(AVERAGE(E8:P8)+AVERAGE(Q8:S8))/2</f>
        <v>0.683189712250712</v>
      </c>
    </row>
    <row r="9" ht="19.5" customHeight="1" spans="1:22">
      <c r="A9" s="33">
        <v>4</v>
      </c>
      <c r="B9" s="70" t="s">
        <v>35</v>
      </c>
      <c r="C9" s="71" t="s">
        <v>36</v>
      </c>
      <c r="D9" s="65">
        <v>4</v>
      </c>
      <c r="E9" s="72">
        <f>IFERROR(SUMPRODUCT(('CO-PO Mapping'!D21:D25)*('CO-PO Mapping'!E21:E25))/SUMIF('CO-PO Mapping'!E21:E25,"&gt;0"),0)</f>
        <v>0.756811666666667</v>
      </c>
      <c r="F9" s="72">
        <f>IFERROR(SUMPRODUCT(('CO-PO Mapping'!D21:D25)*('CO-PO Mapping'!F21:F25))/SUMIF('CO-PO Mapping'!F21:F25,"&gt;0"),0)</f>
        <v>0.755280595238095</v>
      </c>
      <c r="G9" s="72">
        <f>IFERROR(SUMPRODUCT(('CO-PO Mapping'!D21:D25)*('CO-PO Mapping'!G21:G25))/SUMIF('CO-PO Mapping'!G21:G25,"&gt;0"),0)</f>
        <v>0.752267166666667</v>
      </c>
      <c r="H9" s="72">
        <f>IFERROR(SUMPRODUCT(('CO-PO Mapping'!D21:D25)*('CO-PO Mapping'!H21:H25))/SUMIF('CO-PO Mapping'!H21:H25,"&gt;0"),0)</f>
        <v>0.752271388888889</v>
      </c>
      <c r="I9" s="72">
        <f>IFERROR(SUMPRODUCT(('CO-PO Mapping'!D21:D25)*('CO-PO Mapping'!I21:I25))/SUMIF('CO-PO Mapping'!I21:I25,"&gt;0"),0)</f>
        <v>0.755696333333333</v>
      </c>
      <c r="J9" s="72">
        <f>IFERROR(SUMPRODUCT(('CO-PO Mapping'!D21:D25)*('CO-PO Mapping'!J21:J25))/SUMIF('CO-PO Mapping'!J21:J25,"&gt;0"),0)</f>
        <v>0</v>
      </c>
      <c r="K9" s="72">
        <f>IFERROR(SUMPRODUCT(('CO-PO Mapping'!D21:D25)*('CO-PO Mapping'!K21:K25))/SUMIF('CO-PO Mapping'!K21:K25,"&gt;0"),0)</f>
        <v>0</v>
      </c>
      <c r="L9" s="72">
        <f>IFERROR(SUMPRODUCT(('CO-PO Mapping'!D21:D25)*('CO-PO Mapping'!L21:L25))/SUMIF('CO-PO Mapping'!L21:L25,"&gt;0"),0)</f>
        <v>0</v>
      </c>
      <c r="M9" s="72">
        <f>IFERROR(SUMPRODUCT(('CO-PO Mapping'!D21:D25)*('CO-PO Mapping'!M21:M25))/SUMIF('CO-PO Mapping'!M21:M25,"&gt;0"),0)</f>
        <v>0.76128</v>
      </c>
      <c r="N9" s="72">
        <f>IFERROR(SUMPRODUCT(('CO-PO Mapping'!D21:D25)*('CO-PO Mapping'!N21:N25))/SUMIF('CO-PO Mapping'!N21:N25,"&gt;0"),0)</f>
        <v>0.735376666666667</v>
      </c>
      <c r="O9" s="72">
        <f>IFERROR(SUMPRODUCT(('CO-PO Mapping'!D21:D25)*('CO-PO Mapping'!O21:O25))/SUMIF('CO-PO Mapping'!O21:O25,"&gt;0"),0)</f>
        <v>0</v>
      </c>
      <c r="P9" s="72">
        <f>IFERROR(SUMPRODUCT(('CO-PO Mapping'!D21:D25)*('CO-PO Mapping'!P21:P25))/SUMIF('CO-PO Mapping'!P21:P25,"&gt;0"),0)</f>
        <v>0.756771851851852</v>
      </c>
      <c r="Q9" s="72">
        <f>IFERROR(SUMPRODUCT(('CO-PO Mapping'!D21:D25)*('CO-PO Mapping'!Q21:Q25))/SUMIF('CO-PO Mapping'!Q21:Q25,"&gt;0"),0)</f>
        <v>0.756811666666667</v>
      </c>
      <c r="R9" s="72">
        <f>IFERROR(SUMPRODUCT(('CO-PO Mapping'!D21:D25)*('CO-PO Mapping'!R21:R25))/SUMIF('CO-PO Mapping'!R21:R25,"&gt;0"),0)</f>
        <v>0.756626944444444</v>
      </c>
      <c r="S9" s="72">
        <f>IFERROR(SUMPRODUCT(('CO-PO Mapping'!D21:D25)*('CO-PO Mapping'!S21:S25))/SUMIF('CO-PO Mapping'!S21:S25,"&gt;0"),0)</f>
        <v>0.752146666666667</v>
      </c>
      <c r="T9" s="67">
        <f>AVERAGE(E9:P9)</f>
        <v>0.502146305776014</v>
      </c>
      <c r="U9" s="68">
        <f>AVERAGE(Q9:S9)</f>
        <v>0.755195092592593</v>
      </c>
      <c r="V9" s="69">
        <f>(AVERAGE(E9:P9)+AVERAGE(Q9:S9))/2</f>
        <v>0.628670699184303</v>
      </c>
    </row>
    <row r="10" ht="19.5" customHeight="1" spans="1:22">
      <c r="A10" s="20">
        <v>5</v>
      </c>
      <c r="B10" s="63" t="s">
        <v>39</v>
      </c>
      <c r="C10" s="64" t="s">
        <v>40</v>
      </c>
      <c r="D10" s="65">
        <v>4</v>
      </c>
      <c r="E10" s="66">
        <f>IFERROR(SUMPRODUCT(('CO-PO Mapping'!D26:D31)*('CO-PO Mapping'!E26:E31))/SUMIF('CO-PO Mapping'!E26:E31,"&gt;0"),0)</f>
        <v>0.747456471153674</v>
      </c>
      <c r="F10" s="66">
        <f>IFERROR(SUMPRODUCT(('CO-PO Mapping'!D26:D31)*('CO-PO Mapping'!F26:F31))/SUMIF('CO-PO Mapping'!F26:F31,"&gt;0"),0)</f>
        <v>0.74885701291443</v>
      </c>
      <c r="G10" s="66">
        <f>IFERROR(SUMPRODUCT(('CO-PO Mapping'!D26:D31)*('CO-PO Mapping'!G26:G31))/SUMIF('CO-PO Mapping'!G26:G31,"&gt;0"),0)</f>
        <v>0.750253611730349</v>
      </c>
      <c r="H10" s="66">
        <f>IFERROR(SUMPRODUCT(('CO-PO Mapping'!D26:D31)*('CO-PO Mapping'!H26:H31))/SUMIF('CO-PO Mapping'!H26:H31,"&gt;0"),0)</f>
        <v>0.750193518658116</v>
      </c>
      <c r="I10" s="66">
        <f>IFERROR(SUMPRODUCT(('CO-PO Mapping'!D26:D31)*('CO-PO Mapping'!I26:I31))/SUMIF('CO-PO Mapping'!I26:I31,"&gt;0"),0)</f>
        <v>0.748345028414535</v>
      </c>
      <c r="J10" s="66">
        <f>IFERROR(SUMPRODUCT(('CO-PO Mapping'!D26:D31)*('CO-PO Mapping'!J26:J31))/SUMIF('CO-PO Mapping'!J26:J31,"&gt;0"),0)</f>
        <v>0.737739395809461</v>
      </c>
      <c r="K10" s="66">
        <f>IFERROR(SUMPRODUCT(('CO-PO Mapping'!D26:D31)*('CO-PO Mapping'!K26:K31))/SUMIF('CO-PO Mapping'!K26:K31,"&gt;0"),0)</f>
        <v>0</v>
      </c>
      <c r="L10" s="66">
        <f>IFERROR(SUMPRODUCT(('CO-PO Mapping'!D26:D31)*('CO-PO Mapping'!L26:L31))/SUMIF('CO-PO Mapping'!L26:L31,"&gt;0"),0)</f>
        <v>0</v>
      </c>
      <c r="M10" s="66">
        <f>IFERROR(SUMPRODUCT(('CO-PO Mapping'!D26:D31)*('CO-PO Mapping'!M26:M31))/SUMIF('CO-PO Mapping'!M26:M31,"&gt;0"),0)</f>
        <v>0.755242649601816</v>
      </c>
      <c r="N10" s="66">
        <f>IFERROR(SUMPRODUCT(('CO-PO Mapping'!D26:D31)*('CO-PO Mapping'!N26:N31))/SUMIF('CO-PO Mapping'!N26:N31,"&gt;0"),0)</f>
        <v>0.735543761750644</v>
      </c>
      <c r="O10" s="66">
        <f>IFERROR(SUMPRODUCT(('CO-PO Mapping'!D26:D31)*('CO-PO Mapping'!O26:O31))/SUMIF('CO-PO Mapping'!O26:O31,"&gt;0"),0)</f>
        <v>0</v>
      </c>
      <c r="P10" s="66">
        <f>IFERROR(SUMPRODUCT(('CO-PO Mapping'!D26:D31)*('CO-PO Mapping'!P26:P31))/SUMIF('CO-PO Mapping'!P26:P31,"&gt;0"),0)</f>
        <v>0.74684915394466</v>
      </c>
      <c r="Q10" s="66">
        <f>IFERROR(SUMPRODUCT(('CO-PO Mapping'!D26:D31)*('CO-PO Mapping'!Q26:Q31))/SUMIF('CO-PO Mapping'!Q26:Q31,"&gt;0"),0)</f>
        <v>0.747456471153674</v>
      </c>
      <c r="R10" s="66">
        <f>IFERROR(SUMPRODUCT(('CO-PO Mapping'!D26:D31)*('CO-PO Mapping'!R26:R31))/SUMIF('CO-PO Mapping'!R26:R31,"&gt;0"),0)</f>
        <v>0.748754167561697</v>
      </c>
      <c r="S10" s="66">
        <f>IFERROR(SUMPRODUCT(('CO-PO Mapping'!D26:D31)*('CO-PO Mapping'!S26:S31))/SUMIF('CO-PO Mapping'!S26:S31,"&gt;0"),0)</f>
        <v>0.748366982411901</v>
      </c>
      <c r="T10" s="67">
        <f>AVERAGE(E10:P10)</f>
        <v>0.560040050331474</v>
      </c>
      <c r="U10" s="68">
        <f>AVERAGE(Q10:S10)</f>
        <v>0.748192540375757</v>
      </c>
      <c r="V10" s="69">
        <f>(AVERAGE(E10:P10)+AVERAGE(Q10:S10))/2</f>
        <v>0.654116295353615</v>
      </c>
    </row>
    <row r="11" ht="15.15"/>
    <row r="12" ht="25.5" customHeight="1" spans="1:22">
      <c r="A12" s="73" t="s">
        <v>145</v>
      </c>
      <c r="B12" s="73"/>
      <c r="C12" s="73"/>
      <c r="D12" s="73"/>
      <c r="E12" s="74">
        <f>IFERROR(SUMPRODUCT(D6:D10,E6:E10)/SUM(D6:D10),0)</f>
        <v>0.752418883974324</v>
      </c>
      <c r="F12" s="74">
        <f>IFERROR(SUMPRODUCT(D6:D10,F6:F10)/SUM(D6:D10),0)</f>
        <v>0.752277158993142</v>
      </c>
      <c r="G12" s="74">
        <f>IFERROR(SUMPRODUCT(D6:D10,G6:G10)/SUM(D6:D10),0)</f>
        <v>0.752107428872876</v>
      </c>
      <c r="H12" s="74">
        <f>IFERROR(SUMPRODUCT(D6:D10,H6:H10)/SUM(D6:D10),0)</f>
        <v>0.750609214842734</v>
      </c>
      <c r="I12" s="74">
        <f>IFERROR(SUMPRODUCT(D6:D10,I6:I10)/SUM(D6:D10),0)</f>
        <v>0.751546528027229</v>
      </c>
      <c r="J12" s="74">
        <f>IFERROR(SUMPRODUCT(D6:D10,J6:J10)/SUM(D6:D10),0)</f>
        <v>0.297834768050781</v>
      </c>
      <c r="K12" s="74">
        <f>IFERROR(SUMPRODUCT(D6:D10,K6:K10)/SUM(D6:D10),0)</f>
        <v>0.154578</v>
      </c>
      <c r="L12" s="74">
        <f>IFERROR(SUMPRODUCT(D6:D10,L6:L10)/SUM(D6:D10),0)</f>
        <v>0</v>
      </c>
      <c r="M12" s="74">
        <f>IFERROR(SUMPRODUCT(D6:D10,M6:M10)/SUM(D6:D10),0)</f>
        <v>0.749846307698141</v>
      </c>
      <c r="N12" s="74">
        <f>IFERROR(SUMPRODUCT(D6:D10,N6:N10)/SUM(D6:D10),0)</f>
        <v>0.748827641239018</v>
      </c>
      <c r="O12" s="74">
        <f>IFERROR(SUMPRODUCT(D6:D10,O6:O10)/SUM(D6:D10),0)</f>
        <v>0.14836</v>
      </c>
      <c r="P12" s="74">
        <f>IFERROR(SUMPRODUCT(D6:D10,P6:P10)/SUM(D6:D10),0)</f>
        <v>0.751658217032318</v>
      </c>
      <c r="Q12" s="75">
        <f>IFERROR(SUMPRODUCT(D6:D10,Q6:Q10)/SUM(D6:D10),0)</f>
        <v>0.751958427319868</v>
      </c>
      <c r="R12" s="75">
        <f>IFERROR(SUMPRODUCT(D6:D10,R6:R10)/SUM(D6:D10),0)</f>
        <v>0.752083929666186</v>
      </c>
      <c r="S12" s="75">
        <f>IFERROR(SUMPRODUCT(D6:D10,S6:S10)/SUM(D6:D10),0)</f>
        <v>0.752158491720475</v>
      </c>
    </row>
    <row r="13" ht="21.75" customHeight="1" spans="1:22">
      <c r="A13" s="76" t="s">
        <v>146</v>
      </c>
      <c r="B13" s="76"/>
      <c r="C13" s="76"/>
      <c r="D13" s="76"/>
      <c r="E13" s="77">
        <f t="shared" ref="E13:S13" si="0">IF(E12&gt;=0.6,3,IF(E12&gt;=0.4,2,1))</f>
        <v>3</v>
      </c>
      <c r="F13" s="77">
        <f t="shared" si="0"/>
        <v>3</v>
      </c>
      <c r="G13" s="77">
        <f t="shared" si="0"/>
        <v>3</v>
      </c>
      <c r="H13" s="77">
        <f t="shared" si="0"/>
        <v>3</v>
      </c>
      <c r="I13" s="77">
        <f t="shared" si="0"/>
        <v>3</v>
      </c>
      <c r="J13" s="77">
        <f t="shared" si="0"/>
        <v>1</v>
      </c>
      <c r="K13" s="77">
        <f t="shared" si="0"/>
        <v>1</v>
      </c>
      <c r="L13" s="77">
        <f t="shared" si="0"/>
        <v>1</v>
      </c>
      <c r="M13" s="77">
        <f t="shared" si="0"/>
        <v>3</v>
      </c>
      <c r="N13" s="77">
        <f t="shared" si="0"/>
        <v>3</v>
      </c>
      <c r="O13" s="77">
        <f t="shared" si="0"/>
        <v>1</v>
      </c>
      <c r="P13" s="77">
        <f t="shared" si="0"/>
        <v>3</v>
      </c>
      <c r="Q13" s="41">
        <f t="shared" si="0"/>
        <v>3</v>
      </c>
      <c r="R13" s="41">
        <f t="shared" si="0"/>
        <v>3</v>
      </c>
      <c r="S13" s="41">
        <f t="shared" si="0"/>
        <v>3</v>
      </c>
    </row>
  </sheetData>
  <mergeCells count="11">
    <mergeCell ref="A1:U1"/>
    <mergeCell ref="A2:U2"/>
    <mergeCell ref="E4:P4"/>
    <mergeCell ref="Q4:S4"/>
    <mergeCell ref="T4:U4"/>
    <mergeCell ref="A12:D12"/>
    <mergeCell ref="A13:D13"/>
    <mergeCell ref="A4:A5"/>
    <mergeCell ref="B4:B5"/>
    <mergeCell ref="C4:C5"/>
    <mergeCell ref="D4:D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pane xSplit="2" ySplit="6" topLeftCell="C7" activePane="bottomRight" state="frozen"/>
      <selection/>
      <selection pane="topRight"/>
      <selection pane="bottomLeft"/>
      <selection pane="bottomRight" activeCell="A1" sqref="A1:H1"/>
    </sheetView>
  </sheetViews>
  <sheetFormatPr defaultColWidth="8.67592592592593" defaultRowHeight="14.4" outlineLevelCol="7"/>
  <cols>
    <col min="1" max="1" width="9" customWidth="1"/>
    <col min="2" max="2" width="42" customWidth="1"/>
    <col min="3" max="8" width="14" customWidth="1"/>
  </cols>
  <sheetData>
    <row r="1" ht="36" customHeight="1" spans="1:8">
      <c r="A1" s="47" t="s">
        <v>147</v>
      </c>
      <c r="B1" s="47"/>
      <c r="C1" s="47"/>
      <c r="D1" s="47"/>
      <c r="E1" s="47"/>
      <c r="F1" s="47"/>
      <c r="G1" s="47"/>
      <c r="H1" s="47"/>
    </row>
    <row r="2" ht="13.5" customHeight="1" spans="1:8">
      <c r="A2" s="2" t="s">
        <v>148</v>
      </c>
      <c r="B2" s="2"/>
      <c r="C2" s="2"/>
      <c r="D2" s="2"/>
      <c r="E2" s="2"/>
      <c r="F2" s="2"/>
      <c r="G2" s="2"/>
      <c r="H2" s="2"/>
    </row>
    <row r="3" ht="4.5" customHeight="1"/>
    <row r="4" ht="21.75" customHeight="1" spans="1:8">
      <c r="A4" s="48" t="s">
        <v>14</v>
      </c>
      <c r="B4" s="48" t="s">
        <v>15</v>
      </c>
      <c r="C4" s="49" t="s">
        <v>149</v>
      </c>
      <c r="D4" s="49" t="s">
        <v>150</v>
      </c>
      <c r="E4" s="49" t="s">
        <v>151</v>
      </c>
      <c r="F4" s="49" t="s">
        <v>152</v>
      </c>
      <c r="G4" s="49" t="s">
        <v>153</v>
      </c>
      <c r="H4" s="50" t="s">
        <v>154</v>
      </c>
    </row>
    <row r="5" ht="18" customHeight="1" spans="1:8">
      <c r="A5" s="3" t="s">
        <v>155</v>
      </c>
      <c r="B5" s="3"/>
      <c r="C5" s="51">
        <v>0.2</v>
      </c>
      <c r="D5" s="51">
        <v>0.25</v>
      </c>
      <c r="E5" s="51">
        <v>0.2</v>
      </c>
      <c r="F5" s="51">
        <v>0.2</v>
      </c>
      <c r="G5" s="51">
        <v>0.15</v>
      </c>
      <c r="H5" s="10">
        <f>SUM(C5:G5)</f>
        <v>1</v>
      </c>
    </row>
    <row r="6" ht="15.75" customHeight="1" spans="1:8">
      <c r="A6" s="52" t="s">
        <v>156</v>
      </c>
      <c r="B6" s="52"/>
      <c r="C6" s="52"/>
      <c r="D6" s="52"/>
      <c r="E6" s="52"/>
      <c r="F6" s="52"/>
      <c r="G6" s="52"/>
      <c r="H6" s="52"/>
    </row>
    <row r="7" ht="19.5" customHeight="1" spans="1:8">
      <c r="A7" s="21" t="s">
        <v>25</v>
      </c>
      <c r="B7" s="22" t="s">
        <v>26</v>
      </c>
      <c r="C7" s="53">
        <v>0.714</v>
      </c>
      <c r="D7" s="53">
        <v>0.946</v>
      </c>
      <c r="E7" s="53">
        <v>0.686</v>
      </c>
      <c r="F7" s="53">
        <v>0.616</v>
      </c>
      <c r="G7" s="53">
        <v>0.67</v>
      </c>
      <c r="H7" s="54">
        <f>IFERROR(C5*C7+D5*D7+E5*E7+F5*F7+G5*G7,0)</f>
        <v>0.7402</v>
      </c>
    </row>
    <row r="8" ht="19.5" customHeight="1" spans="1:8">
      <c r="A8" s="21" t="s">
        <v>29</v>
      </c>
      <c r="B8" s="34" t="s">
        <v>30</v>
      </c>
      <c r="C8" s="53">
        <v>0.594</v>
      </c>
      <c r="D8" s="53">
        <v>0.782</v>
      </c>
      <c r="E8" s="53">
        <v>0.8</v>
      </c>
      <c r="F8" s="53">
        <v>0.804</v>
      </c>
      <c r="G8" s="53">
        <v>0.872</v>
      </c>
      <c r="H8" s="54">
        <f>IFERROR(C5*C8+D5*D8+E5*E8+F5*F8+G5*G8,0)</f>
        <v>0.7659</v>
      </c>
    </row>
    <row r="9" ht="19.5" customHeight="1" spans="1:8">
      <c r="A9" s="21" t="s">
        <v>33</v>
      </c>
      <c r="B9" s="22" t="s">
        <v>34</v>
      </c>
      <c r="C9" s="53">
        <v>0.836</v>
      </c>
      <c r="D9" s="53">
        <v>0.9</v>
      </c>
      <c r="E9" s="53">
        <v>0.824</v>
      </c>
      <c r="F9" s="53">
        <v>0.68</v>
      </c>
      <c r="G9" s="53">
        <v>0.768</v>
      </c>
      <c r="H9" s="54">
        <f>IFERROR(C5*C9+D5*D9+E5*E9+F5*F9+G5*G9,0)</f>
        <v>0.8082</v>
      </c>
    </row>
    <row r="10" ht="19.5" customHeight="1" spans="1:8">
      <c r="A10" s="21" t="s">
        <v>37</v>
      </c>
      <c r="B10" s="34" t="s">
        <v>38</v>
      </c>
      <c r="C10" s="53">
        <v>0.764</v>
      </c>
      <c r="D10" s="53">
        <v>0.86</v>
      </c>
      <c r="E10" s="53">
        <v>0.678</v>
      </c>
      <c r="F10" s="53">
        <v>0.582</v>
      </c>
      <c r="G10" s="53">
        <v>0.92</v>
      </c>
      <c r="H10" s="54">
        <f>IFERROR(C5*C10+D5*D10+E5*E10+F5*F10+G5*G10,0)</f>
        <v>0.7578</v>
      </c>
    </row>
    <row r="11" ht="19.5" customHeight="1" spans="1:8">
      <c r="A11" s="21" t="s">
        <v>41</v>
      </c>
      <c r="B11" s="22" t="s">
        <v>42</v>
      </c>
      <c r="C11" s="53">
        <v>0.942</v>
      </c>
      <c r="D11" s="53">
        <v>0.758</v>
      </c>
      <c r="E11" s="53">
        <v>0.606</v>
      </c>
      <c r="F11" s="53">
        <v>0.76</v>
      </c>
      <c r="G11" s="53">
        <v>0.798</v>
      </c>
      <c r="H11" s="54">
        <f>IFERROR(C5*C11+D5*D11+E5*E11+F5*F11+G5*G11,0)</f>
        <v>0.7708</v>
      </c>
    </row>
    <row r="12" ht="19.5" customHeight="1" spans="1:8">
      <c r="A12" s="21" t="s">
        <v>43</v>
      </c>
      <c r="B12" s="34" t="s">
        <v>44</v>
      </c>
      <c r="C12" s="53">
        <v>0.772</v>
      </c>
      <c r="D12" s="53">
        <v>0.952</v>
      </c>
      <c r="E12" s="53">
        <v>0.954</v>
      </c>
      <c r="F12" s="53">
        <v>0.934</v>
      </c>
      <c r="G12" s="53">
        <v>0.612</v>
      </c>
      <c r="H12" s="54">
        <f>IFERROR(C5*C12+D5*D12+E5*E12+F5*F12+G5*G12,0)</f>
        <v>0.8618</v>
      </c>
    </row>
    <row r="13" ht="19.5" customHeight="1" spans="1:8">
      <c r="A13" s="21" t="s">
        <v>45</v>
      </c>
      <c r="B13" s="22" t="s">
        <v>46</v>
      </c>
      <c r="C13" s="53">
        <v>0.904</v>
      </c>
      <c r="D13" s="53">
        <v>0.788</v>
      </c>
      <c r="E13" s="53">
        <v>0.706</v>
      </c>
      <c r="F13" s="53">
        <v>0.834</v>
      </c>
      <c r="G13" s="53">
        <v>0.866</v>
      </c>
      <c r="H13" s="54">
        <f>IFERROR(C5*C13+D5*D13+E5*E13+F5*F13+G5*G13,0)</f>
        <v>0.8157</v>
      </c>
    </row>
    <row r="14" ht="19.5" customHeight="1" spans="1:8">
      <c r="A14" s="21" t="s">
        <v>47</v>
      </c>
      <c r="B14" s="34" t="s">
        <v>48</v>
      </c>
      <c r="C14" s="53">
        <v>0.942</v>
      </c>
      <c r="D14" s="53">
        <v>0.868</v>
      </c>
      <c r="E14" s="53">
        <v>0.566</v>
      </c>
      <c r="F14" s="53">
        <v>0.588</v>
      </c>
      <c r="G14" s="53">
        <v>0.664</v>
      </c>
      <c r="H14" s="54">
        <f>IFERROR(C5*C14+D5*D14+E5*E14+F5*F14+G5*G14,0)</f>
        <v>0.7358</v>
      </c>
    </row>
    <row r="15" ht="19.5" customHeight="1" spans="1:8">
      <c r="A15" s="21" t="s">
        <v>49</v>
      </c>
      <c r="B15" s="22" t="s">
        <v>50</v>
      </c>
      <c r="C15" s="53">
        <v>0.576</v>
      </c>
      <c r="D15" s="53">
        <v>0.584</v>
      </c>
      <c r="E15" s="53">
        <v>0.876</v>
      </c>
      <c r="F15" s="53">
        <v>0.762</v>
      </c>
      <c r="G15" s="53">
        <v>0.812</v>
      </c>
      <c r="H15" s="54">
        <f>IFERROR(C5*C15+D5*D15+E5*E15+F5*F15+G5*G15,0)</f>
        <v>0.7106</v>
      </c>
    </row>
    <row r="16" ht="19.5" customHeight="1" spans="1:8">
      <c r="A16" s="21" t="s">
        <v>51</v>
      </c>
      <c r="B16" s="34" t="s">
        <v>52</v>
      </c>
      <c r="C16" s="53">
        <v>0.76</v>
      </c>
      <c r="D16" s="53">
        <v>0.726</v>
      </c>
      <c r="E16" s="53">
        <v>0.84</v>
      </c>
      <c r="F16" s="53">
        <v>0.592</v>
      </c>
      <c r="G16" s="53">
        <v>0.774</v>
      </c>
      <c r="H16" s="54">
        <f>IFERROR(C5*C16+D5*D16+E5*E16+F5*F16+G5*G16,0)</f>
        <v>0.736</v>
      </c>
    </row>
    <row r="17" ht="19.5" customHeight="1" spans="1:8">
      <c r="A17" s="21" t="s">
        <v>53</v>
      </c>
      <c r="B17" s="22" t="s">
        <v>54</v>
      </c>
      <c r="C17" s="53">
        <v>0.806</v>
      </c>
      <c r="D17" s="53">
        <v>0.67</v>
      </c>
      <c r="E17" s="53">
        <v>0.684</v>
      </c>
      <c r="F17" s="53">
        <v>0.764</v>
      </c>
      <c r="G17" s="53">
        <v>0.642</v>
      </c>
      <c r="H17" s="54">
        <f>IFERROR(C5*C17+D5*D17+E5*E17+F5*F17+G5*G17,0)</f>
        <v>0.7146</v>
      </c>
    </row>
    <row r="18" ht="19.5" customHeight="1" spans="1:8">
      <c r="A18" s="21" t="s">
        <v>55</v>
      </c>
      <c r="B18" s="34" t="s">
        <v>56</v>
      </c>
      <c r="C18" s="53">
        <v>0.884</v>
      </c>
      <c r="D18" s="53">
        <v>0.774</v>
      </c>
      <c r="E18" s="53">
        <v>0.716</v>
      </c>
      <c r="F18" s="53">
        <v>0.814</v>
      </c>
      <c r="G18" s="53">
        <v>0.894</v>
      </c>
      <c r="H18" s="54">
        <f>IFERROR(C5*C18+D5*D18+E5*E18+F5*F18+G5*G18,0)</f>
        <v>0.8104</v>
      </c>
    </row>
    <row r="19" ht="19.5" customHeight="1" spans="1:8">
      <c r="A19" s="35" t="s">
        <v>57</v>
      </c>
      <c r="B19" s="22" t="s">
        <v>58</v>
      </c>
      <c r="C19" s="53">
        <v>0.832</v>
      </c>
      <c r="D19" s="53">
        <v>0.586</v>
      </c>
      <c r="E19" s="53">
        <v>0.84</v>
      </c>
      <c r="F19" s="53">
        <v>0.852</v>
      </c>
      <c r="G19" s="53">
        <v>0.898</v>
      </c>
      <c r="H19" s="54">
        <f>IFERROR(C5*C19+D5*D19+E5*E19+F5*F19+G5*G19,0)</f>
        <v>0.786</v>
      </c>
    </row>
    <row r="20" ht="19.5" customHeight="1" spans="1:8">
      <c r="A20" s="35" t="s">
        <v>59</v>
      </c>
      <c r="B20" s="34" t="s">
        <v>60</v>
      </c>
      <c r="C20" s="53">
        <v>0.584</v>
      </c>
      <c r="D20" s="53">
        <v>0.594</v>
      </c>
      <c r="E20" s="53">
        <v>0.734</v>
      </c>
      <c r="F20" s="53">
        <v>0.742</v>
      </c>
      <c r="G20" s="53">
        <v>0.804</v>
      </c>
      <c r="H20" s="54">
        <f>IFERROR(C5*C20+D5*D20+E5*E20+F5*F20+G5*G20,0)</f>
        <v>0.6811</v>
      </c>
    </row>
    <row r="21" ht="19.5" customHeight="1" spans="1:8">
      <c r="A21" s="35" t="s">
        <v>61</v>
      </c>
      <c r="B21" s="22" t="s">
        <v>62</v>
      </c>
      <c r="C21" s="53">
        <v>0.684</v>
      </c>
      <c r="D21" s="53">
        <v>0.856</v>
      </c>
      <c r="E21" s="53">
        <v>0.856</v>
      </c>
      <c r="F21" s="53">
        <v>0.608</v>
      </c>
      <c r="G21" s="53">
        <v>0.844</v>
      </c>
      <c r="H21" s="54">
        <f>IFERROR(C5*C21+D5*D21+E5*E21+F5*F21+G5*G21,0)</f>
        <v>0.7702</v>
      </c>
    </row>
  </sheetData>
  <mergeCells count="4">
    <mergeCell ref="A1:H1"/>
    <mergeCell ref="A2:H2"/>
    <mergeCell ref="A5:B5"/>
    <mergeCell ref="A6:H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M1"/>
    </sheetView>
  </sheetViews>
  <sheetFormatPr defaultColWidth="8.67592592592593" defaultRowHeight="14.4"/>
  <cols>
    <col min="1" max="1" width="5" customWidth="1"/>
    <col min="2" max="2" width="8" customWidth="1"/>
    <col min="3" max="3" width="38" customWidth="1"/>
    <col min="4" max="13" width="12" customWidth="1"/>
  </cols>
  <sheetData>
    <row r="1" ht="42" customHeight="1" spans="1:13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3.5" customHeight="1" spans="1:13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4.5" customHeight="1"/>
    <row r="4" ht="21.75" customHeight="1" spans="1:13">
      <c r="A4" s="3" t="s">
        <v>159</v>
      </c>
      <c r="B4" s="3"/>
      <c r="C4" s="3"/>
      <c r="D4" s="4" t="s">
        <v>160</v>
      </c>
      <c r="E4" s="5" t="s">
        <v>161</v>
      </c>
      <c r="F4" s="6" t="s">
        <v>162</v>
      </c>
      <c r="G4" s="7" t="s">
        <v>163</v>
      </c>
      <c r="H4" s="8" t="s">
        <v>164</v>
      </c>
      <c r="I4" s="8"/>
      <c r="J4" s="8"/>
      <c r="K4" s="8"/>
      <c r="L4" s="8"/>
      <c r="M4" s="8"/>
    </row>
    <row r="5" ht="19.5" customHeight="1" spans="1:13">
      <c r="A5" s="3" t="s">
        <v>165</v>
      </c>
      <c r="B5" s="3"/>
      <c r="C5" s="3"/>
      <c r="D5" s="9">
        <v>0.8</v>
      </c>
      <c r="E5" s="9">
        <v>0.2</v>
      </c>
      <c r="F5" s="10">
        <f>D5+E5</f>
        <v>1</v>
      </c>
      <c r="G5" s="11">
        <v>0.6</v>
      </c>
    </row>
    <row r="6" ht="27.75" customHeight="1" spans="1:13">
      <c r="A6" s="3" t="s">
        <v>166</v>
      </c>
      <c r="B6" s="3"/>
      <c r="C6" s="3"/>
      <c r="D6" s="12" t="s">
        <v>167</v>
      </c>
      <c r="E6" s="12"/>
      <c r="F6" s="13" t="s">
        <v>168</v>
      </c>
      <c r="G6" s="13"/>
      <c r="H6" s="14" t="s">
        <v>169</v>
      </c>
      <c r="I6" s="14"/>
      <c r="J6" s="14"/>
      <c r="K6" s="14"/>
      <c r="L6" s="14"/>
      <c r="M6" s="14"/>
    </row>
    <row r="7" ht="19.5" customHeight="1" spans="1:13">
      <c r="A7" s="15" t="s">
        <v>5</v>
      </c>
      <c r="B7" s="15" t="s">
        <v>14</v>
      </c>
      <c r="C7" s="15" t="s">
        <v>15</v>
      </c>
      <c r="D7" s="4" t="s">
        <v>170</v>
      </c>
      <c r="E7" s="4" t="s">
        <v>171</v>
      </c>
      <c r="F7" s="5" t="s">
        <v>172</v>
      </c>
      <c r="G7" s="5" t="s">
        <v>173</v>
      </c>
      <c r="H7" s="16" t="s">
        <v>174</v>
      </c>
      <c r="I7" s="17" t="s">
        <v>19</v>
      </c>
      <c r="J7" s="7" t="s">
        <v>20</v>
      </c>
      <c r="K7" s="18" t="s">
        <v>21</v>
      </c>
      <c r="L7" s="6" t="s">
        <v>22</v>
      </c>
      <c r="M7" s="19" t="s">
        <v>175</v>
      </c>
    </row>
    <row r="8" ht="21.75" customHeight="1" spans="1:13">
      <c r="A8" s="20">
        <v>1</v>
      </c>
      <c r="B8" s="21" t="s">
        <v>25</v>
      </c>
      <c r="C8" s="22" t="s">
        <v>26</v>
      </c>
      <c r="D8" s="23">
        <f>'PO Direct Attainment'!E12</f>
        <v>0.752418883974324</v>
      </c>
      <c r="E8" s="24">
        <f t="shared" ref="E8:E22" si="0">IF(D8&gt;=0.6,3,IF(D8&gt;=0.4,2,1))</f>
        <v>3</v>
      </c>
      <c r="F8" s="25">
        <f>'PO Indirect Attainment'!H7</f>
        <v>0.7402</v>
      </c>
      <c r="G8" s="26">
        <f t="shared" ref="G8:G22" si="1">IF(F8&gt;=0.6,3,IF(F8&gt;=0.4,2,1))</f>
        <v>3</v>
      </c>
      <c r="H8" s="27">
        <f t="shared" ref="H8:H22" si="2">D8*$D$5+F8*$E$5</f>
        <v>0.74997510717946</v>
      </c>
      <c r="I8" s="28">
        <f t="shared" ref="I8:I22" si="3">IF(H8&gt;=0.6,3,IF(H8&gt;=0.4,2,1))</f>
        <v>3</v>
      </c>
      <c r="J8" s="29">
        <f t="shared" ref="J8:J22" si="4">$G$5</f>
        <v>0.6</v>
      </c>
      <c r="K8" s="30">
        <f t="shared" ref="K8:K22" si="5">H8-J8</f>
        <v>0.14997510717946</v>
      </c>
      <c r="L8" s="31" t="str">
        <f t="shared" ref="L8:L22" si="6">IF(H8&gt;=J8,"✔ Met","✘ Not Met")</f>
        <v>✔ Met</v>
      </c>
      <c r="M8" s="32" t="str">
        <f t="shared" ref="M8:M22" si="7">IF(H8&gt;=0.6,"Sustain",IF(H8&gt;=0.4,"Improve","Urgent Action"))</f>
        <v>Sustain</v>
      </c>
    </row>
    <row r="9" ht="21.75" customHeight="1" spans="1:13">
      <c r="A9" s="33">
        <v>2</v>
      </c>
      <c r="B9" s="21" t="s">
        <v>29</v>
      </c>
      <c r="C9" s="34" t="s">
        <v>30</v>
      </c>
      <c r="D9" s="23">
        <f>'PO Direct Attainment'!F12</f>
        <v>0.752277158993142</v>
      </c>
      <c r="E9" s="24">
        <f t="shared" si="0"/>
        <v>3</v>
      </c>
      <c r="F9" s="25">
        <f>'PO Indirect Attainment'!H8</f>
        <v>0.7659</v>
      </c>
      <c r="G9" s="26">
        <f t="shared" si="1"/>
        <v>3</v>
      </c>
      <c r="H9" s="27">
        <f t="shared" si="2"/>
        <v>0.755001727194514</v>
      </c>
      <c r="I9" s="28">
        <f t="shared" si="3"/>
        <v>3</v>
      </c>
      <c r="J9" s="29">
        <f t="shared" si="4"/>
        <v>0.6</v>
      </c>
      <c r="K9" s="30">
        <f t="shared" si="5"/>
        <v>0.155001727194514</v>
      </c>
      <c r="L9" s="31" t="str">
        <f t="shared" si="6"/>
        <v>✔ Met</v>
      </c>
      <c r="M9" s="32" t="str">
        <f t="shared" si="7"/>
        <v>Sustain</v>
      </c>
    </row>
    <row r="10" ht="21.75" customHeight="1" spans="1:13">
      <c r="A10" s="20">
        <v>3</v>
      </c>
      <c r="B10" s="21" t="s">
        <v>33</v>
      </c>
      <c r="C10" s="22" t="s">
        <v>34</v>
      </c>
      <c r="D10" s="23">
        <f>'PO Direct Attainment'!G12</f>
        <v>0.752107428872876</v>
      </c>
      <c r="E10" s="24">
        <f t="shared" si="0"/>
        <v>3</v>
      </c>
      <c r="F10" s="25">
        <f>'PO Indirect Attainment'!H9</f>
        <v>0.8082</v>
      </c>
      <c r="G10" s="26">
        <f t="shared" si="1"/>
        <v>3</v>
      </c>
      <c r="H10" s="27">
        <f t="shared" si="2"/>
        <v>0.763325943098301</v>
      </c>
      <c r="I10" s="28">
        <f t="shared" si="3"/>
        <v>3</v>
      </c>
      <c r="J10" s="29">
        <f t="shared" si="4"/>
        <v>0.6</v>
      </c>
      <c r="K10" s="30">
        <f t="shared" si="5"/>
        <v>0.163325943098301</v>
      </c>
      <c r="L10" s="31" t="str">
        <f t="shared" si="6"/>
        <v>✔ Met</v>
      </c>
      <c r="M10" s="32" t="str">
        <f t="shared" si="7"/>
        <v>Sustain</v>
      </c>
    </row>
    <row r="11" ht="21.75" customHeight="1" spans="1:13">
      <c r="A11" s="33">
        <v>4</v>
      </c>
      <c r="B11" s="21" t="s">
        <v>37</v>
      </c>
      <c r="C11" s="34" t="s">
        <v>38</v>
      </c>
      <c r="D11" s="23">
        <f>'PO Direct Attainment'!H12</f>
        <v>0.750609214842734</v>
      </c>
      <c r="E11" s="24">
        <f t="shared" si="0"/>
        <v>3</v>
      </c>
      <c r="F11" s="25">
        <f>'PO Indirect Attainment'!H10</f>
        <v>0.7578</v>
      </c>
      <c r="G11" s="26">
        <f t="shared" si="1"/>
        <v>3</v>
      </c>
      <c r="H11" s="27">
        <f t="shared" si="2"/>
        <v>0.752047371874188</v>
      </c>
      <c r="I11" s="28">
        <f t="shared" si="3"/>
        <v>3</v>
      </c>
      <c r="J11" s="29">
        <f t="shared" si="4"/>
        <v>0.6</v>
      </c>
      <c r="K11" s="30">
        <f t="shared" si="5"/>
        <v>0.152047371874188</v>
      </c>
      <c r="L11" s="31" t="str">
        <f t="shared" si="6"/>
        <v>✔ Met</v>
      </c>
      <c r="M11" s="32" t="str">
        <f t="shared" si="7"/>
        <v>Sustain</v>
      </c>
    </row>
    <row r="12" ht="21.75" customHeight="1" spans="1:13">
      <c r="A12" s="20">
        <v>5</v>
      </c>
      <c r="B12" s="21" t="s">
        <v>41</v>
      </c>
      <c r="C12" s="22" t="s">
        <v>42</v>
      </c>
      <c r="D12" s="23">
        <f>'PO Direct Attainment'!I12</f>
        <v>0.751546528027229</v>
      </c>
      <c r="E12" s="24">
        <f t="shared" si="0"/>
        <v>3</v>
      </c>
      <c r="F12" s="25">
        <f>'PO Indirect Attainment'!H11</f>
        <v>0.7708</v>
      </c>
      <c r="G12" s="26">
        <f t="shared" si="1"/>
        <v>3</v>
      </c>
      <c r="H12" s="27">
        <f t="shared" si="2"/>
        <v>0.755397222421784</v>
      </c>
      <c r="I12" s="28">
        <f t="shared" si="3"/>
        <v>3</v>
      </c>
      <c r="J12" s="29">
        <f t="shared" si="4"/>
        <v>0.6</v>
      </c>
      <c r="K12" s="30">
        <f t="shared" si="5"/>
        <v>0.155397222421784</v>
      </c>
      <c r="L12" s="31" t="str">
        <f t="shared" si="6"/>
        <v>✔ Met</v>
      </c>
      <c r="M12" s="32" t="str">
        <f t="shared" si="7"/>
        <v>Sustain</v>
      </c>
    </row>
    <row r="13" ht="21.75" customHeight="1" spans="1:13">
      <c r="A13" s="33">
        <v>6</v>
      </c>
      <c r="B13" s="21" t="s">
        <v>43</v>
      </c>
      <c r="C13" s="34" t="s">
        <v>44</v>
      </c>
      <c r="D13" s="23">
        <f>'PO Direct Attainment'!J12</f>
        <v>0.297834768050781</v>
      </c>
      <c r="E13" s="24">
        <f t="shared" si="0"/>
        <v>1</v>
      </c>
      <c r="F13" s="25">
        <f>'PO Indirect Attainment'!H12</f>
        <v>0.8618</v>
      </c>
      <c r="G13" s="26">
        <f t="shared" si="1"/>
        <v>3</v>
      </c>
      <c r="H13" s="27">
        <f t="shared" si="2"/>
        <v>0.410627814440625</v>
      </c>
      <c r="I13" s="28">
        <f t="shared" si="3"/>
        <v>2</v>
      </c>
      <c r="J13" s="29">
        <f t="shared" si="4"/>
        <v>0.6</v>
      </c>
      <c r="K13" s="30">
        <f t="shared" si="5"/>
        <v>-0.189372185559375</v>
      </c>
      <c r="L13" s="31" t="str">
        <f t="shared" si="6"/>
        <v>✘ Not Met</v>
      </c>
      <c r="M13" s="32" t="str">
        <f t="shared" si="7"/>
        <v>Improve</v>
      </c>
    </row>
    <row r="14" ht="21.75" customHeight="1" spans="1:13">
      <c r="A14" s="20">
        <v>7</v>
      </c>
      <c r="B14" s="21" t="s">
        <v>45</v>
      </c>
      <c r="C14" s="22" t="s">
        <v>46</v>
      </c>
      <c r="D14" s="23">
        <f>'PO Direct Attainment'!K12</f>
        <v>0.154578</v>
      </c>
      <c r="E14" s="24">
        <f t="shared" si="0"/>
        <v>1</v>
      </c>
      <c r="F14" s="25">
        <f>'PO Indirect Attainment'!H13</f>
        <v>0.8157</v>
      </c>
      <c r="G14" s="26">
        <f t="shared" si="1"/>
        <v>3</v>
      </c>
      <c r="H14" s="27">
        <f t="shared" si="2"/>
        <v>0.2868024</v>
      </c>
      <c r="I14" s="28">
        <f t="shared" si="3"/>
        <v>1</v>
      </c>
      <c r="J14" s="29">
        <f t="shared" si="4"/>
        <v>0.6</v>
      </c>
      <c r="K14" s="30">
        <f t="shared" si="5"/>
        <v>-0.3131976</v>
      </c>
      <c r="L14" s="31" t="str">
        <f t="shared" si="6"/>
        <v>✘ Not Met</v>
      </c>
      <c r="M14" s="32" t="str">
        <f t="shared" si="7"/>
        <v>Urgent Action</v>
      </c>
    </row>
    <row r="15" ht="21.75" customHeight="1" spans="1:13">
      <c r="A15" s="33">
        <v>8</v>
      </c>
      <c r="B15" s="21" t="s">
        <v>47</v>
      </c>
      <c r="C15" s="34" t="s">
        <v>48</v>
      </c>
      <c r="D15" s="23">
        <f>'PO Direct Attainment'!L12</f>
        <v>0</v>
      </c>
      <c r="E15" s="24">
        <f t="shared" si="0"/>
        <v>1</v>
      </c>
      <c r="F15" s="25">
        <f>'PO Indirect Attainment'!H14</f>
        <v>0.7358</v>
      </c>
      <c r="G15" s="26">
        <f t="shared" si="1"/>
        <v>3</v>
      </c>
      <c r="H15" s="27">
        <f t="shared" si="2"/>
        <v>0.14716</v>
      </c>
      <c r="I15" s="28">
        <f t="shared" si="3"/>
        <v>1</v>
      </c>
      <c r="J15" s="29">
        <f t="shared" si="4"/>
        <v>0.6</v>
      </c>
      <c r="K15" s="30">
        <f t="shared" si="5"/>
        <v>-0.45284</v>
      </c>
      <c r="L15" s="31" t="str">
        <f t="shared" si="6"/>
        <v>✘ Not Met</v>
      </c>
      <c r="M15" s="32" t="str">
        <f t="shared" si="7"/>
        <v>Urgent Action</v>
      </c>
    </row>
    <row r="16" ht="21.75" customHeight="1" spans="1:13">
      <c r="A16" s="20">
        <v>9</v>
      </c>
      <c r="B16" s="21" t="s">
        <v>49</v>
      </c>
      <c r="C16" s="22" t="s">
        <v>50</v>
      </c>
      <c r="D16" s="23">
        <f>'PO Direct Attainment'!M12</f>
        <v>0.749846307698141</v>
      </c>
      <c r="E16" s="24">
        <f t="shared" si="0"/>
        <v>3</v>
      </c>
      <c r="F16" s="25">
        <f>'PO Indirect Attainment'!H15</f>
        <v>0.7106</v>
      </c>
      <c r="G16" s="26">
        <f t="shared" si="1"/>
        <v>3</v>
      </c>
      <c r="H16" s="27">
        <f t="shared" si="2"/>
        <v>0.741997046158513</v>
      </c>
      <c r="I16" s="28">
        <f t="shared" si="3"/>
        <v>3</v>
      </c>
      <c r="J16" s="29">
        <f t="shared" si="4"/>
        <v>0.6</v>
      </c>
      <c r="K16" s="30">
        <f t="shared" si="5"/>
        <v>0.141997046158513</v>
      </c>
      <c r="L16" s="31" t="str">
        <f t="shared" si="6"/>
        <v>✔ Met</v>
      </c>
      <c r="M16" s="32" t="str">
        <f t="shared" si="7"/>
        <v>Sustain</v>
      </c>
    </row>
    <row r="17" ht="21.75" customHeight="1" spans="1:13">
      <c r="A17" s="33">
        <v>10</v>
      </c>
      <c r="B17" s="21" t="s">
        <v>51</v>
      </c>
      <c r="C17" s="34" t="s">
        <v>52</v>
      </c>
      <c r="D17" s="23">
        <f>'PO Direct Attainment'!N12</f>
        <v>0.748827641239018</v>
      </c>
      <c r="E17" s="24">
        <f t="shared" si="0"/>
        <v>3</v>
      </c>
      <c r="F17" s="25">
        <f>'PO Indirect Attainment'!H16</f>
        <v>0.736</v>
      </c>
      <c r="G17" s="26">
        <f t="shared" si="1"/>
        <v>3</v>
      </c>
      <c r="H17" s="27">
        <f t="shared" si="2"/>
        <v>0.746262112991214</v>
      </c>
      <c r="I17" s="28">
        <f t="shared" si="3"/>
        <v>3</v>
      </c>
      <c r="J17" s="29">
        <f t="shared" si="4"/>
        <v>0.6</v>
      </c>
      <c r="K17" s="30">
        <f t="shared" si="5"/>
        <v>0.146262112991214</v>
      </c>
      <c r="L17" s="31" t="str">
        <f t="shared" si="6"/>
        <v>✔ Met</v>
      </c>
      <c r="M17" s="32" t="str">
        <f t="shared" si="7"/>
        <v>Sustain</v>
      </c>
    </row>
    <row r="18" ht="21.75" customHeight="1" spans="1:13">
      <c r="A18" s="20">
        <v>11</v>
      </c>
      <c r="B18" s="21" t="s">
        <v>53</v>
      </c>
      <c r="C18" s="22" t="s">
        <v>54</v>
      </c>
      <c r="D18" s="23">
        <f>'PO Direct Attainment'!O12</f>
        <v>0.14836</v>
      </c>
      <c r="E18" s="24">
        <f t="shared" si="0"/>
        <v>1</v>
      </c>
      <c r="F18" s="25">
        <f>'PO Indirect Attainment'!H17</f>
        <v>0.7146</v>
      </c>
      <c r="G18" s="26">
        <f t="shared" si="1"/>
        <v>3</v>
      </c>
      <c r="H18" s="27">
        <f t="shared" si="2"/>
        <v>0.261608</v>
      </c>
      <c r="I18" s="28">
        <f t="shared" si="3"/>
        <v>1</v>
      </c>
      <c r="J18" s="29">
        <f t="shared" si="4"/>
        <v>0.6</v>
      </c>
      <c r="K18" s="30">
        <f t="shared" si="5"/>
        <v>-0.338392</v>
      </c>
      <c r="L18" s="31" t="str">
        <f t="shared" si="6"/>
        <v>✘ Not Met</v>
      </c>
      <c r="M18" s="32" t="str">
        <f t="shared" si="7"/>
        <v>Urgent Action</v>
      </c>
    </row>
    <row r="19" ht="21.75" customHeight="1" spans="1:13">
      <c r="A19" s="33">
        <v>12</v>
      </c>
      <c r="B19" s="21" t="s">
        <v>55</v>
      </c>
      <c r="C19" s="34" t="s">
        <v>56</v>
      </c>
      <c r="D19" s="23">
        <f>'PO Direct Attainment'!P12</f>
        <v>0.751658217032318</v>
      </c>
      <c r="E19" s="24">
        <f t="shared" si="0"/>
        <v>3</v>
      </c>
      <c r="F19" s="25">
        <f>'PO Indirect Attainment'!H18</f>
        <v>0.8104</v>
      </c>
      <c r="G19" s="26">
        <f t="shared" si="1"/>
        <v>3</v>
      </c>
      <c r="H19" s="27">
        <f t="shared" si="2"/>
        <v>0.763406573625855</v>
      </c>
      <c r="I19" s="28">
        <f t="shared" si="3"/>
        <v>3</v>
      </c>
      <c r="J19" s="29">
        <f t="shared" si="4"/>
        <v>0.6</v>
      </c>
      <c r="K19" s="30">
        <f t="shared" si="5"/>
        <v>0.163406573625855</v>
      </c>
      <c r="L19" s="31" t="str">
        <f t="shared" si="6"/>
        <v>✔ Met</v>
      </c>
      <c r="M19" s="32" t="str">
        <f t="shared" si="7"/>
        <v>Sustain</v>
      </c>
    </row>
    <row r="20" ht="21.75" customHeight="1" spans="1:13">
      <c r="A20" s="20">
        <v>13</v>
      </c>
      <c r="B20" s="35" t="s">
        <v>57</v>
      </c>
      <c r="C20" s="22" t="s">
        <v>58</v>
      </c>
      <c r="D20" s="23">
        <f>'PO Direct Attainment'!Q12</f>
        <v>0.751958427319868</v>
      </c>
      <c r="E20" s="24">
        <f t="shared" si="0"/>
        <v>3</v>
      </c>
      <c r="F20" s="25">
        <f>'PO Indirect Attainment'!H19</f>
        <v>0.786</v>
      </c>
      <c r="G20" s="26">
        <f t="shared" si="1"/>
        <v>3</v>
      </c>
      <c r="H20" s="27">
        <f t="shared" si="2"/>
        <v>0.758766741855894</v>
      </c>
      <c r="I20" s="36">
        <f t="shared" si="3"/>
        <v>3</v>
      </c>
      <c r="J20" s="29">
        <f t="shared" si="4"/>
        <v>0.6</v>
      </c>
      <c r="K20" s="30">
        <f t="shared" si="5"/>
        <v>0.158766741855894</v>
      </c>
      <c r="L20" s="31" t="str">
        <f t="shared" si="6"/>
        <v>✔ Met</v>
      </c>
      <c r="M20" s="32" t="str">
        <f t="shared" si="7"/>
        <v>Sustain</v>
      </c>
    </row>
    <row r="21" ht="21.75" customHeight="1" spans="1:13">
      <c r="A21" s="33">
        <v>14</v>
      </c>
      <c r="B21" s="35" t="s">
        <v>59</v>
      </c>
      <c r="C21" s="34" t="s">
        <v>60</v>
      </c>
      <c r="D21" s="23">
        <f>'PO Direct Attainment'!R12</f>
        <v>0.752083929666186</v>
      </c>
      <c r="E21" s="24">
        <f t="shared" si="0"/>
        <v>3</v>
      </c>
      <c r="F21" s="25">
        <f>'PO Indirect Attainment'!H20</f>
        <v>0.6811</v>
      </c>
      <c r="G21" s="26">
        <f t="shared" si="1"/>
        <v>3</v>
      </c>
      <c r="H21" s="27">
        <f t="shared" si="2"/>
        <v>0.737887143732949</v>
      </c>
      <c r="I21" s="36">
        <f t="shared" si="3"/>
        <v>3</v>
      </c>
      <c r="J21" s="29">
        <f t="shared" si="4"/>
        <v>0.6</v>
      </c>
      <c r="K21" s="30">
        <f t="shared" si="5"/>
        <v>0.137887143732949</v>
      </c>
      <c r="L21" s="31" t="str">
        <f t="shared" si="6"/>
        <v>✔ Met</v>
      </c>
      <c r="M21" s="32" t="str">
        <f t="shared" si="7"/>
        <v>Sustain</v>
      </c>
    </row>
    <row r="22" ht="21.75" customHeight="1" spans="1:13">
      <c r="A22" s="20">
        <v>15</v>
      </c>
      <c r="B22" s="35" t="s">
        <v>61</v>
      </c>
      <c r="C22" s="22" t="s">
        <v>62</v>
      </c>
      <c r="D22" s="23">
        <f>'PO Direct Attainment'!S12</f>
        <v>0.752158491720475</v>
      </c>
      <c r="E22" s="24">
        <f t="shared" si="0"/>
        <v>3</v>
      </c>
      <c r="F22" s="25">
        <f>'PO Indirect Attainment'!H21</f>
        <v>0.7702</v>
      </c>
      <c r="G22" s="26">
        <f t="shared" si="1"/>
        <v>3</v>
      </c>
      <c r="H22" s="27">
        <f t="shared" si="2"/>
        <v>0.75576679337638</v>
      </c>
      <c r="I22" s="36">
        <f t="shared" si="3"/>
        <v>3</v>
      </c>
      <c r="J22" s="29">
        <f t="shared" si="4"/>
        <v>0.6</v>
      </c>
      <c r="K22" s="30">
        <f t="shared" si="5"/>
        <v>0.15576679337638</v>
      </c>
      <c r="L22" s="31" t="str">
        <f t="shared" si="6"/>
        <v>✔ Met</v>
      </c>
      <c r="M22" s="32" t="str">
        <f t="shared" si="7"/>
        <v>Sustain</v>
      </c>
    </row>
    <row r="23" ht="15.15"/>
    <row r="24" ht="27.75" customHeight="1" spans="1:13">
      <c r="A24" s="37" t="s">
        <v>176</v>
      </c>
      <c r="B24" s="37"/>
      <c r="C24" s="37"/>
      <c r="D24" s="38">
        <f>AVERAGE(D8:D22)</f>
        <v>0.591084333162473</v>
      </c>
      <c r="E24" s="39">
        <f>IF(D24&gt;=0.6,3,IF(D24&gt;=0.4,2,1))</f>
        <v>2</v>
      </c>
      <c r="F24" s="40">
        <f>AVERAGE(F8:F22)</f>
        <v>0.76434</v>
      </c>
      <c r="G24" s="41">
        <f>IF(F24&gt;=0.6,3,IF(F24&gt;=0.4,2,1))</f>
        <v>3</v>
      </c>
      <c r="H24" s="42">
        <f>AVERAGE(H8:H22)</f>
        <v>0.625735466529978</v>
      </c>
      <c r="I24" s="43">
        <f>IF(H24&gt;=0.6,3,IF(H24&gt;=0.4,2,1))</f>
        <v>3</v>
      </c>
      <c r="J24" s="44">
        <f>$G$5</f>
        <v>0.6</v>
      </c>
      <c r="K24" s="45">
        <f>H24-J24</f>
        <v>0.0257354665299785</v>
      </c>
      <c r="L24" s="46" t="str">
        <f>IF(H24&gt;=J24,"✔ Met","✘ Not Met")</f>
        <v>✔ Met</v>
      </c>
      <c r="M24" s="46" t="str">
        <f>IF(H24&gt;=0.6,"Sustain",IF(H24&gt;=0.4,"Improve","Urgent Action"))</f>
        <v>Sustain</v>
      </c>
    </row>
  </sheetData>
  <mergeCells count="10">
    <mergeCell ref="A1:M1"/>
    <mergeCell ref="A2:M2"/>
    <mergeCell ref="A4:C4"/>
    <mergeCell ref="H4:M4"/>
    <mergeCell ref="A5:C5"/>
    <mergeCell ref="A6:C6"/>
    <mergeCell ref="D6:E6"/>
    <mergeCell ref="F6:G6"/>
    <mergeCell ref="H6:M6"/>
    <mergeCell ref="A24:C2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Master Dashboard</vt:lpstr>
      <vt:lpstr>CS301</vt:lpstr>
      <vt:lpstr>CS302</vt:lpstr>
      <vt:lpstr>CS303</vt:lpstr>
      <vt:lpstr>CS304</vt:lpstr>
      <vt:lpstr>CS305</vt:lpstr>
      <vt:lpstr>CO-PO Mapping</vt:lpstr>
      <vt:lpstr>PO Direct Attainment</vt:lpstr>
      <vt:lpstr>PO Indirect Attainment</vt:lpstr>
      <vt:lpstr>PO Total Attainment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0</cp:revision>
  <dcterms:created xsi:type="dcterms:W3CDTF">2026-04-25T08:15:00Z</dcterms:created>
  <dcterms:modified xsi:type="dcterms:W3CDTF">2026-05-07T09:00:13Z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D50389A57D5C49318BE9336DE48F31AB_12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