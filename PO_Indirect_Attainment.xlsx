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rect PO Dashboard" sheetId="1" state="visible" r:id="rId3"/>
    <sheet name="Indirect Attainment Summary" sheetId="2" state="visible" r:id="rId4"/>
    <sheet name="Tool-wise Attainment" sheetId="3" state="visible" r:id="rId5"/>
    <sheet name="Survey Data In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<sst xmlns="http://schemas.openxmlformats.org/spreadsheetml/2006/main" count="349" uniqueCount="111">
  <si>
    <t xml:space="preserve">PO / PSO INDIRECT ATTAINMENT DASHBOARD  —  B.Tech CSE  |  Academic Year 2024-25</t>
  </si>
  <si>
    <t xml:space="preserve">Indirect Assessment Sources: Course Exit Survey · Programme Exit Survey · Alumni Survey · Employer Survey · Internship Feedback</t>
  </si>
  <si>
    <t xml:space="preserve">Formula: Indirect PO Attainment = Σ (Tool Weight × Tool Attainment%) / Σ Weights  |  Target = 60%  |  Level: 3=High ≥60%  2=Medium ≥40%  1=Low &lt;40%</t>
  </si>
  <si>
    <t xml:space="preserve">Assessment Tools &amp; Weights:</t>
  </si>
  <si>
    <t xml:space="preserve">T1: 20%</t>
  </si>
  <si>
    <t xml:space="preserve">T2: 25%</t>
  </si>
  <si>
    <t xml:space="preserve">T3: 20%</t>
  </si>
  <si>
    <t xml:space="preserve">T4: 20%</t>
  </si>
  <si>
    <t xml:space="preserve">T5: 15%</t>
  </si>
  <si>
    <t xml:space="preserve">#</t>
  </si>
  <si>
    <t xml:space="preserve">PO /
PSO</t>
  </si>
  <si>
    <t xml:space="preserve">Programme Outcome / PSO Description</t>
  </si>
  <si>
    <t xml:space="preserve">Indirect
Att%</t>
  </si>
  <si>
    <t xml:space="preserve">Target
(60%)</t>
  </si>
  <si>
    <t xml:space="preserve">Level
(3/2/1)</t>
  </si>
  <si>
    <t xml:space="preserve">Gap</t>
  </si>
  <si>
    <t xml:space="preserve">Status</t>
  </si>
  <si>
    <t xml:space="preserve">PO1</t>
  </si>
  <si>
    <t xml:space="preserve">Engineering Knowledge</t>
  </si>
  <si>
    <t xml:space="preserve">PO2</t>
  </si>
  <si>
    <t xml:space="preserve">Problem Analysis</t>
  </si>
  <si>
    <t xml:space="preserve">PO3</t>
  </si>
  <si>
    <t xml:space="preserve">Design/Development of Solutions</t>
  </si>
  <si>
    <t xml:space="preserve">PO4</t>
  </si>
  <si>
    <t xml:space="preserve">Conduct Investigations of Complex Problems</t>
  </si>
  <si>
    <t xml:space="preserve">PO5</t>
  </si>
  <si>
    <t xml:space="preserve">Modern Tool Usage</t>
  </si>
  <si>
    <t xml:space="preserve">PO6</t>
  </si>
  <si>
    <t xml:space="preserve">The Engineer and Society</t>
  </si>
  <si>
    <t xml:space="preserve">PO7</t>
  </si>
  <si>
    <t xml:space="preserve">Environment and Sustainability</t>
  </si>
  <si>
    <t xml:space="preserve">PO8</t>
  </si>
  <si>
    <t xml:space="preserve">Ethics</t>
  </si>
  <si>
    <t xml:space="preserve">PO9</t>
  </si>
  <si>
    <t xml:space="preserve">Individual and Team Work</t>
  </si>
  <si>
    <t xml:space="preserve">PO10</t>
  </si>
  <si>
    <t xml:space="preserve">Communication</t>
  </si>
  <si>
    <t xml:space="preserve">PO11</t>
  </si>
  <si>
    <t xml:space="preserve">Project Management and Finance</t>
  </si>
  <si>
    <t xml:space="preserve">PO12</t>
  </si>
  <si>
    <t xml:space="preserve">Life-long Learning</t>
  </si>
  <si>
    <t xml:space="preserve">PSO1</t>
  </si>
  <si>
    <t xml:space="preserve">Apply core CS concepts to design software systems</t>
  </si>
  <si>
    <t xml:space="preserve">PSO2</t>
  </si>
  <si>
    <t xml:space="preserve">Use modern tools to solve real-world engineering problems</t>
  </si>
  <si>
    <t xml:space="preserve">PSO3</t>
  </si>
  <si>
    <t xml:space="preserve">Demonstrate professional skills for industry/research</t>
  </si>
  <si>
    <t xml:space="preserve">PROGRAMME OVERALL INDIRECT ATTAINMENT</t>
  </si>
  <si>
    <t xml:space="preserve">📌 HOW TO USE: (1) Go to 'Survey Data Input' sheet → enter Avg Score (1–5) in yellow cells for each tool &amp; PO  (2) Update No. of Respondents column  (3) Adjust tool weights in the weight column if needed  (4) All attainment %, levels, gaps and status update automatically across all sheets.</t>
  </si>
  <si>
    <t xml:space="preserve">PO / PSO INDIRECT ATTAINMENT SUMMARY — B.Tech Computer Science &amp; Engineering</t>
  </si>
  <si>
    <t xml:space="preserve">Indirect Attainment = Weighted Average of all survey tool attainments  |  Target ≥ 60%  |  Academic Year 2024-25</t>
  </si>
  <si>
    <t xml:space="preserve">LEGEND →</t>
  </si>
  <si>
    <t xml:space="preserve">Level 3 : ≥60% HIGH</t>
  </si>
  <si>
    <t xml:space="preserve">Level 2 : 40–59% MEDIUM</t>
  </si>
  <si>
    <t xml:space="preserve">Level 1 : &lt;40% LOW</t>
  </si>
  <si>
    <t xml:space="preserve">PO/PSO</t>
  </si>
  <si>
    <t xml:space="preserve">Description</t>
  </si>
  <si>
    <t xml:space="preserve">ATTAINMENT % BY TOOL</t>
  </si>
  <si>
    <t xml:space="preserve">Weighted
Att%</t>
  </si>
  <si>
    <t xml:space="preserve">T1
(20%)</t>
  </si>
  <si>
    <t xml:space="preserve">T2
(25%)</t>
  </si>
  <si>
    <t xml:space="preserve">T3
(20%)</t>
  </si>
  <si>
    <t xml:space="preserve">T4
(20%)</t>
  </si>
  <si>
    <t xml:space="preserve">T5
(15%)</t>
  </si>
  <si>
    <t xml:space="preserve">TOOL-WISE INDIRECT ATTAINMENT MATRIX  —  All Assessment Tools × All POs/PSOs</t>
  </si>
  <si>
    <t xml:space="preserve">Values are auto-pulled from Survey Data Input sheet. Each cell = Attainment% for that Tool–PO combination.</t>
  </si>
  <si>
    <t xml:space="preserve">Tool ID</t>
  </si>
  <si>
    <t xml:space="preserve">Tool Name</t>
  </si>
  <si>
    <t xml:space="preserve">Weight</t>
  </si>
  <si>
    <t xml:space="preserve">PROGRAMME OUTCOMES (PO1–PO12)</t>
  </si>
  <si>
    <t xml:space="preserve">PROGRAMME SPECIFIC OUTCOMES</t>
  </si>
  <si>
    <t xml:space="preserve">T1</t>
  </si>
  <si>
    <t xml:space="preserve">Course Exit Survey</t>
  </si>
  <si>
    <t xml:space="preserve">T2</t>
  </si>
  <si>
    <t xml:space="preserve">Programme Exit Survey</t>
  </si>
  <si>
    <t xml:space="preserve">T3</t>
  </si>
  <si>
    <t xml:space="preserve">Alumni Survey</t>
  </si>
  <si>
    <t xml:space="preserve">T4</t>
  </si>
  <si>
    <t xml:space="preserve">Employer Survey</t>
  </si>
  <si>
    <t xml:space="preserve">T5</t>
  </si>
  <si>
    <t xml:space="preserve">Internship/Industry Feedback</t>
  </si>
  <si>
    <t xml:space="preserve">WEIGHTED INDIRECT ATTAINMENT
(Programme Level)</t>
  </si>
  <si>
    <t xml:space="preserve">ATTAINMENT LEVEL  (3=High≥60%  2=Med≥40%  1=Low&lt;40%)</t>
  </si>
  <si>
    <t xml:space="preserve">TARGET (60%)</t>
  </si>
  <si>
    <t xml:space="preserve">GAP (Att – Target)</t>
  </si>
  <si>
    <t xml:space="preserve">STATUS</t>
  </si>
  <si>
    <t xml:space="preserve">INDIRECT ASSESSMENT — SURVEY DATA INPUT SHEET</t>
  </si>
  <si>
    <t xml:space="preserve">Enter average survey scores (per PO/PSO) in yellow cells for each assessment tool. Scores are on a 1–5 Likert scale. All attainment calculations update automatically.</t>
  </si>
  <si>
    <t xml:space="preserve">Tool</t>
  </si>
  <si>
    <t xml:space="preserve">Scale</t>
  </si>
  <si>
    <t xml:space="preserve">T1 – Course Exit Survey</t>
  </si>
  <si>
    <t xml:space="preserve">End-of-semester student feedback on learning outcomes</t>
  </si>
  <si>
    <t xml:space="preserve">T2 – Programme Exit Survey</t>
  </si>
  <si>
    <t xml:space="preserve">Graduating student survey on overall PO achievement</t>
  </si>
  <si>
    <t xml:space="preserve">T3 – Alumni Survey</t>
  </si>
  <si>
    <t xml:space="preserve">Annual alumni feedback on programme relevance</t>
  </si>
  <si>
    <t xml:space="preserve">T4 – Employer Survey</t>
  </si>
  <si>
    <t xml:space="preserve">Employer feedback on graduate competency</t>
  </si>
  <si>
    <t xml:space="preserve">T5 – Internship/Industry Feedback</t>
  </si>
  <si>
    <t xml:space="preserve">Supervisor rating during internship/project</t>
  </si>
  <si>
    <t xml:space="preserve">TOTAL WEIGHT</t>
  </si>
  <si>
    <t xml:space="preserve">T1  ·  COURSE EXIT SURVEY  ·  Weight: 20%  ·  Scale: 1–5  ·  End-of-semester student feedback on learning outcomes</t>
  </si>
  <si>
    <t xml:space="preserve">No. of
Respondents</t>
  </si>
  <si>
    <t xml:space="preserve">Avg Score
(1–5)</t>
  </si>
  <si>
    <t xml:space="preserve">Attainment %</t>
  </si>
  <si>
    <t xml:space="preserve">Target
Met?</t>
  </si>
  <si>
    <t xml:space="preserve">Remarks</t>
  </si>
  <si>
    <t xml:space="preserve">T2  ·  PROGRAMME EXIT SURVEY  ·  Weight: 25%  ·  Scale: 1–5  ·  Graduating student survey on overall PO achievement</t>
  </si>
  <si>
    <t xml:space="preserve">T3  ·  ALUMNI SURVEY  ·  Weight: 20%  ·  Scale: 1–5  ·  Annual alumni feedback on programme relevance</t>
  </si>
  <si>
    <t xml:space="preserve">T4  ·  EMPLOYER SURVEY  ·  Weight: 20%  ·  Scale: 1–5  ·  Employer feedback on graduate competency</t>
  </si>
  <si>
    <t xml:space="preserve">T5  ·  INTERNSHIP/INDUSTRY FEEDBACK  ·  Weight: 15%  ·  Scale: 1–5  ·  Supervisor rating during internship/project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</si>
</sst>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%"/>
    <numFmt numFmtId="167" formatCode="0"/>
    <numFmt numFmtId="168" formatCode="\+0.0%;\-0.0%"/>
    <numFmt numFmtId="169" formatCode="\+0.0%;\-0.0%;0.0%"/>
    <numFmt numFmtId="170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2"/>
      <color rgb="FF40404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E2D9F3"/>
      </patternFill>
    </fill>
    <fill>
      <patternFill patternType="solid">
        <fgColor rgb="FF404040"/>
        <bgColor rgb="FF444444"/>
      </patternFill>
    </fill>
    <fill>
      <patternFill patternType="solid">
        <fgColor rgb="FF00695C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70AD47"/>
        <bgColor rgb="FF339966"/>
      </patternFill>
    </fill>
    <fill>
      <patternFill patternType="solid">
        <fgColor rgb="FFF2F2F2"/>
        <bgColor rgb="FFE0F2F1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0F2F1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E2D9F3"/>
        <bgColor rgb="FFDEEAF1"/>
      </patternFill>
    </fill>
    <fill>
      <patternFill patternType="solid">
        <fgColor rgb="FF375623"/>
        <bgColor rgb="FF444444"/>
      </patternFill>
    </fill>
    <fill>
      <patternFill patternType="solid">
        <fgColor rgb="FFDEEAF1"/>
        <bgColor rgb="FFE0F2F1"/>
      </patternFill>
    </fill>
    <fill>
      <patternFill patternType="solid">
        <fgColor rgb="FFE0F2F1"/>
        <bgColor rgb="FFDEEAF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E2D9F3"/>
      <rgbColor rgb="FF808080"/>
      <rgbColor rgb="FF9999FF"/>
      <rgbColor rgb="FF7030A0"/>
      <rgbColor rgb="FFFFF2CC"/>
      <rgbColor rgb="FFE0F2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70AD47"/>
      <rgbColor rgb="FF1F3864"/>
      <rgbColor rgb="FF339966"/>
      <rgbColor rgb="FF375623"/>
      <rgbColor rgb="FF444444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48"/>
    <col collapsed="false" customWidth="true" hidden="false" outlineLevel="0" max="8" min="4" style="0" width="14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5" customFormat="false" ht="21.75" hidden="false" customHeight="true" outlineLevel="0" collapsed="false">
      <c r="A5" s="4" t="s">
        <v>3</v>
      </c>
      <c r="B5" s="5" t="s">
        <v>4</v>
      </c>
      <c r="C5" s="6" t="s">
        <v>5</v>
      </c>
      <c r="D5" s="7" t="s">
        <v>6</v>
      </c>
      <c r="E5" s="8" t="s">
        <v>7</v>
      </c>
      <c r="F5" s="9" t="s">
        <v>8</v>
      </c>
    </row>
    <row r="7" customFormat="false" ht="25.5" hidden="false" customHeight="true" outlineLevel="0" collapsed="false">
      <c r="A7" s="10" t="s">
        <v>9</v>
      </c>
      <c r="B7" s="10" t="s">
        <v>10</v>
      </c>
      <c r="C7" s="10" t="s">
        <v>11</v>
      </c>
      <c r="D7" s="10" t="s">
        <v>12</v>
      </c>
      <c r="E7" s="10" t="s">
        <v>13</v>
      </c>
      <c r="F7" s="10" t="s">
        <v>14</v>
      </c>
      <c r="G7" s="10" t="s">
        <v>15</v>
      </c>
      <c r="H7" s="10" t="s">
        <v>16</v>
      </c>
    </row>
    <row r="8" customFormat="false" ht="21.75" hidden="false" customHeight="true" outlineLevel="0" collapsed="false">
      <c r="A8" s="11" t="n">
        <v>1</v>
      </c>
      <c r="B8" s="12" t="s">
        <v>17</v>
      </c>
      <c r="C8" s="13" t="s">
        <v>18</v>
      </c>
      <c r="D8" s="14" t="n">
        <f aca="false">'Indirect Attainment Summary'!I8</f>
        <v>0.7508</v>
      </c>
      <c r="E8" s="15" t="n">
        <f aca="false">'Indirect Attainment Summary'!K8</f>
        <v>0.6</v>
      </c>
      <c r="F8" s="16" t="n">
        <f aca="false">IF(D8&gt;=0.6,3,IF(D8&gt;=0.4,2,1))</f>
        <v>3</v>
      </c>
      <c r="G8" s="17" t="n">
        <f aca="false">D8-E8</f>
        <v>0.1508</v>
      </c>
      <c r="H8" s="18" t="str">
        <f aca="false">IF(D8&gt;=E8,"✔ Met","✘ Not Met")</f>
        <v>✔ Met</v>
      </c>
    </row>
    <row r="9" customFormat="false" ht="21.75" hidden="false" customHeight="true" outlineLevel="0" collapsed="false">
      <c r="A9" s="19" t="n">
        <v>2</v>
      </c>
      <c r="B9" s="12" t="s">
        <v>19</v>
      </c>
      <c r="C9" s="20" t="s">
        <v>20</v>
      </c>
      <c r="D9" s="14" t="n">
        <f aca="false">'Indirect Attainment Summary'!I9</f>
        <v>0.7809</v>
      </c>
      <c r="E9" s="15" t="n">
        <f aca="false">'Indirect Attainment Summary'!K9</f>
        <v>0.6</v>
      </c>
      <c r="F9" s="16" t="n">
        <f aca="false">IF(D9&gt;=0.6,3,IF(D9&gt;=0.4,2,1))</f>
        <v>3</v>
      </c>
      <c r="G9" s="17" t="n">
        <f aca="false">D9-E9</f>
        <v>0.1809</v>
      </c>
      <c r="H9" s="18" t="str">
        <f aca="false">IF(D9&gt;=E9,"✔ Met","✘ Not Met")</f>
        <v>✔ Met</v>
      </c>
    </row>
    <row r="10" customFormat="false" ht="21.75" hidden="false" customHeight="true" outlineLevel="0" collapsed="false">
      <c r="A10" s="11" t="n">
        <v>3</v>
      </c>
      <c r="B10" s="12" t="s">
        <v>21</v>
      </c>
      <c r="C10" s="13" t="s">
        <v>22</v>
      </c>
      <c r="D10" s="14" t="n">
        <f aca="false">'Indirect Attainment Summary'!I10</f>
        <v>0.7671</v>
      </c>
      <c r="E10" s="15" t="n">
        <f aca="false">'Indirect Attainment Summary'!K10</f>
        <v>0.6</v>
      </c>
      <c r="F10" s="16" t="n">
        <f aca="false">IF(D10&gt;=0.6,3,IF(D10&gt;=0.4,2,1))</f>
        <v>3</v>
      </c>
      <c r="G10" s="17" t="n">
        <f aca="false">D10-E10</f>
        <v>0.1671</v>
      </c>
      <c r="H10" s="18" t="str">
        <f aca="false">IF(D10&gt;=E10,"✔ Met","✘ Not Met")</f>
        <v>✔ Met</v>
      </c>
    </row>
    <row r="11" customFormat="false" ht="21.75" hidden="false" customHeight="true" outlineLevel="0" collapsed="false">
      <c r="A11" s="19" t="n">
        <v>4</v>
      </c>
      <c r="B11" s="12" t="s">
        <v>23</v>
      </c>
      <c r="C11" s="20" t="s">
        <v>24</v>
      </c>
      <c r="D11" s="14" t="n">
        <f aca="false">'Indirect Attainment Summary'!I11</f>
        <v>0.8307</v>
      </c>
      <c r="E11" s="15" t="n">
        <f aca="false">'Indirect Attainment Summary'!K11</f>
        <v>0.6</v>
      </c>
      <c r="F11" s="16" t="n">
        <f aca="false">IF(D11&gt;=0.6,3,IF(D11&gt;=0.4,2,1))</f>
        <v>3</v>
      </c>
      <c r="G11" s="17" t="n">
        <f aca="false">D11-E11</f>
        <v>0.2307</v>
      </c>
      <c r="H11" s="18" t="str">
        <f aca="false">IF(D11&gt;=E11,"✔ Met","✘ Not Met")</f>
        <v>✔ Met</v>
      </c>
    </row>
    <row r="12" customFormat="false" ht="21.75" hidden="false" customHeight="true" outlineLevel="0" collapsed="false">
      <c r="A12" s="11" t="n">
        <v>5</v>
      </c>
      <c r="B12" s="12" t="s">
        <v>25</v>
      </c>
      <c r="C12" s="13" t="s">
        <v>26</v>
      </c>
      <c r="D12" s="14" t="n">
        <f aca="false">'Indirect Attainment Summary'!I12</f>
        <v>0.746</v>
      </c>
      <c r="E12" s="15" t="n">
        <f aca="false">'Indirect Attainment Summary'!K12</f>
        <v>0.6</v>
      </c>
      <c r="F12" s="16" t="n">
        <f aca="false">IF(D12&gt;=0.6,3,IF(D12&gt;=0.4,2,1))</f>
        <v>3</v>
      </c>
      <c r="G12" s="17" t="n">
        <f aca="false">D12-E12</f>
        <v>0.146</v>
      </c>
      <c r="H12" s="18" t="str">
        <f aca="false">IF(D12&gt;=E12,"✔ Met","✘ Not Met")</f>
        <v>✔ Met</v>
      </c>
    </row>
    <row r="13" customFormat="false" ht="21.75" hidden="false" customHeight="true" outlineLevel="0" collapsed="false">
      <c r="A13" s="19" t="n">
        <v>6</v>
      </c>
      <c r="B13" s="12" t="s">
        <v>27</v>
      </c>
      <c r="C13" s="20" t="s">
        <v>28</v>
      </c>
      <c r="D13" s="14" t="n">
        <f aca="false">'Indirect Attainment Summary'!I13</f>
        <v>0.7936</v>
      </c>
      <c r="E13" s="15" t="n">
        <f aca="false">'Indirect Attainment Summary'!K13</f>
        <v>0.6</v>
      </c>
      <c r="F13" s="16" t="n">
        <f aca="false">IF(D13&gt;=0.6,3,IF(D13&gt;=0.4,2,1))</f>
        <v>3</v>
      </c>
      <c r="G13" s="17" t="n">
        <f aca="false">D13-E13</f>
        <v>0.1936</v>
      </c>
      <c r="H13" s="18" t="str">
        <f aca="false">IF(D13&gt;=E13,"✔ Met","✘ Not Met")</f>
        <v>✔ Met</v>
      </c>
    </row>
    <row r="14" customFormat="false" ht="21.75" hidden="false" customHeight="true" outlineLevel="0" collapsed="false">
      <c r="A14" s="11" t="n">
        <v>7</v>
      </c>
      <c r="B14" s="12" t="s">
        <v>29</v>
      </c>
      <c r="C14" s="13" t="s">
        <v>30</v>
      </c>
      <c r="D14" s="14" t="n">
        <f aca="false">'Indirect Attainment Summary'!I14</f>
        <v>0.8203</v>
      </c>
      <c r="E14" s="15" t="n">
        <f aca="false">'Indirect Attainment Summary'!K14</f>
        <v>0.6</v>
      </c>
      <c r="F14" s="16" t="n">
        <f aca="false">IF(D14&gt;=0.6,3,IF(D14&gt;=0.4,2,1))</f>
        <v>3</v>
      </c>
      <c r="G14" s="17" t="n">
        <f aca="false">D14-E14</f>
        <v>0.2203</v>
      </c>
      <c r="H14" s="18" t="str">
        <f aca="false">IF(D14&gt;=E14,"✔ Met","✘ Not Met")</f>
        <v>✔ Met</v>
      </c>
    </row>
    <row r="15" customFormat="false" ht="21.75" hidden="false" customHeight="true" outlineLevel="0" collapsed="false">
      <c r="A15" s="19" t="n">
        <v>8</v>
      </c>
      <c r="B15" s="12" t="s">
        <v>31</v>
      </c>
      <c r="C15" s="20" t="s">
        <v>32</v>
      </c>
      <c r="D15" s="14" t="n">
        <f aca="false">'Indirect Attainment Summary'!I15</f>
        <v>0.7829</v>
      </c>
      <c r="E15" s="15" t="n">
        <f aca="false">'Indirect Attainment Summary'!K15</f>
        <v>0.6</v>
      </c>
      <c r="F15" s="16" t="n">
        <f aca="false">IF(D15&gt;=0.6,3,IF(D15&gt;=0.4,2,1))</f>
        <v>3</v>
      </c>
      <c r="G15" s="17" t="n">
        <f aca="false">D15-E15</f>
        <v>0.1829</v>
      </c>
      <c r="H15" s="18" t="str">
        <f aca="false">IF(D15&gt;=E15,"✔ Met","✘ Not Met")</f>
        <v>✔ Met</v>
      </c>
    </row>
    <row r="16" customFormat="false" ht="21.75" hidden="false" customHeight="true" outlineLevel="0" collapsed="false">
      <c r="A16" s="11" t="n">
        <v>9</v>
      </c>
      <c r="B16" s="12" t="s">
        <v>33</v>
      </c>
      <c r="C16" s="13" t="s">
        <v>34</v>
      </c>
      <c r="D16" s="14" t="n">
        <f aca="false">'Indirect Attainment Summary'!I16</f>
        <v>0.6194</v>
      </c>
      <c r="E16" s="15" t="n">
        <f aca="false">'Indirect Attainment Summary'!K16</f>
        <v>0.6</v>
      </c>
      <c r="F16" s="16" t="n">
        <f aca="false">IF(D16&gt;=0.6,3,IF(D16&gt;=0.4,2,1))</f>
        <v>3</v>
      </c>
      <c r="G16" s="17" t="n">
        <f aca="false">D16-E16</f>
        <v>0.0194000000000001</v>
      </c>
      <c r="H16" s="18" t="str">
        <f aca="false">IF(D16&gt;=E16,"✔ Met","✘ Not Met")</f>
        <v>✔ Met</v>
      </c>
    </row>
    <row r="17" customFormat="false" ht="21.75" hidden="false" customHeight="true" outlineLevel="0" collapsed="false">
      <c r="A17" s="19" t="n">
        <v>10</v>
      </c>
      <c r="B17" s="12" t="s">
        <v>35</v>
      </c>
      <c r="C17" s="20" t="s">
        <v>36</v>
      </c>
      <c r="D17" s="14" t="n">
        <f aca="false">'Indirect Attainment Summary'!I17</f>
        <v>0.7576</v>
      </c>
      <c r="E17" s="15" t="n">
        <f aca="false">'Indirect Attainment Summary'!K17</f>
        <v>0.6</v>
      </c>
      <c r="F17" s="16" t="n">
        <f aca="false">IF(D17&gt;=0.6,3,IF(D17&gt;=0.4,2,1))</f>
        <v>3</v>
      </c>
      <c r="G17" s="17" t="n">
        <f aca="false">D17-E17</f>
        <v>0.1576</v>
      </c>
      <c r="H17" s="18" t="str">
        <f aca="false">IF(D17&gt;=E17,"✔ Met","✘ Not Met")</f>
        <v>✔ Met</v>
      </c>
    </row>
    <row r="18" customFormat="false" ht="21.75" hidden="false" customHeight="true" outlineLevel="0" collapsed="false">
      <c r="A18" s="11" t="n">
        <v>11</v>
      </c>
      <c r="B18" s="12" t="s">
        <v>37</v>
      </c>
      <c r="C18" s="13" t="s">
        <v>38</v>
      </c>
      <c r="D18" s="14" t="n">
        <f aca="false">'Indirect Attainment Summary'!I18</f>
        <v>0.7518</v>
      </c>
      <c r="E18" s="15" t="n">
        <f aca="false">'Indirect Attainment Summary'!K18</f>
        <v>0.6</v>
      </c>
      <c r="F18" s="16" t="n">
        <f aca="false">IF(D18&gt;=0.6,3,IF(D18&gt;=0.4,2,1))</f>
        <v>3</v>
      </c>
      <c r="G18" s="17" t="n">
        <f aca="false">D18-E18</f>
        <v>0.1518</v>
      </c>
      <c r="H18" s="18" t="str">
        <f aca="false">IF(D18&gt;=E18,"✔ Met","✘ Not Met")</f>
        <v>✔ Met</v>
      </c>
    </row>
    <row r="19" customFormat="false" ht="21.75" hidden="false" customHeight="true" outlineLevel="0" collapsed="false">
      <c r="A19" s="19" t="n">
        <v>12</v>
      </c>
      <c r="B19" s="12" t="s">
        <v>39</v>
      </c>
      <c r="C19" s="20" t="s">
        <v>40</v>
      </c>
      <c r="D19" s="14" t="n">
        <f aca="false">'Indirect Attainment Summary'!I19</f>
        <v>0.7237</v>
      </c>
      <c r="E19" s="15" t="n">
        <f aca="false">'Indirect Attainment Summary'!K19</f>
        <v>0.6</v>
      </c>
      <c r="F19" s="16" t="n">
        <f aca="false">IF(D19&gt;=0.6,3,IF(D19&gt;=0.4,2,1))</f>
        <v>3</v>
      </c>
      <c r="G19" s="17" t="n">
        <f aca="false">D19-E19</f>
        <v>0.1237</v>
      </c>
      <c r="H19" s="18" t="str">
        <f aca="false">IF(D19&gt;=E19,"✔ Met","✘ Not Met")</f>
        <v>✔ Met</v>
      </c>
    </row>
    <row r="20" customFormat="false" ht="21.75" hidden="false" customHeight="true" outlineLevel="0" collapsed="false">
      <c r="A20" s="11" t="n">
        <v>13</v>
      </c>
      <c r="B20" s="21" t="s">
        <v>41</v>
      </c>
      <c r="C20" s="13" t="s">
        <v>42</v>
      </c>
      <c r="D20" s="14" t="n">
        <f aca="false">'Indirect Attainment Summary'!I20</f>
        <v>0.7028</v>
      </c>
      <c r="E20" s="15" t="n">
        <f aca="false">'Indirect Attainment Summary'!K20</f>
        <v>0.6</v>
      </c>
      <c r="F20" s="22" t="n">
        <f aca="false">IF(D20&gt;=0.6,3,IF(D20&gt;=0.4,2,1))</f>
        <v>3</v>
      </c>
      <c r="G20" s="17" t="n">
        <f aca="false">D20-E20</f>
        <v>0.1028</v>
      </c>
      <c r="H20" s="18" t="str">
        <f aca="false">IF(D20&gt;=E20,"✔ Met","✘ Not Met")</f>
        <v>✔ Met</v>
      </c>
    </row>
    <row r="21" customFormat="false" ht="21.75" hidden="false" customHeight="true" outlineLevel="0" collapsed="false">
      <c r="A21" s="19" t="n">
        <v>14</v>
      </c>
      <c r="B21" s="21" t="s">
        <v>43</v>
      </c>
      <c r="C21" s="20" t="s">
        <v>44</v>
      </c>
      <c r="D21" s="14" t="n">
        <f aca="false">'Indirect Attainment Summary'!I21</f>
        <v>0.8234</v>
      </c>
      <c r="E21" s="15" t="n">
        <f aca="false">'Indirect Attainment Summary'!K21</f>
        <v>0.6</v>
      </c>
      <c r="F21" s="22" t="n">
        <f aca="false">IF(D21&gt;=0.6,3,IF(D21&gt;=0.4,2,1))</f>
        <v>3</v>
      </c>
      <c r="G21" s="17" t="n">
        <f aca="false">D21-E21</f>
        <v>0.2234</v>
      </c>
      <c r="H21" s="18" t="str">
        <f aca="false">IF(D21&gt;=E21,"✔ Met","✘ Not Met")</f>
        <v>✔ Met</v>
      </c>
    </row>
    <row r="22" customFormat="false" ht="21.75" hidden="false" customHeight="true" outlineLevel="0" collapsed="false">
      <c r="A22" s="11" t="n">
        <v>15</v>
      </c>
      <c r="B22" s="21" t="s">
        <v>45</v>
      </c>
      <c r="C22" s="13" t="s">
        <v>46</v>
      </c>
      <c r="D22" s="14" t="n">
        <f aca="false">'Indirect Attainment Summary'!I22</f>
        <v>0.742</v>
      </c>
      <c r="E22" s="15" t="n">
        <f aca="false">'Indirect Attainment Summary'!K22</f>
        <v>0.6</v>
      </c>
      <c r="F22" s="22" t="n">
        <f aca="false">IF(D22&gt;=0.6,3,IF(D22&gt;=0.4,2,1))</f>
        <v>3</v>
      </c>
      <c r="G22" s="17" t="n">
        <f aca="false">D22-E22</f>
        <v>0.142</v>
      </c>
      <c r="H22" s="18" t="str">
        <f aca="false">IF(D22&gt;=E22,"✔ Met","✘ Not Met")</f>
        <v>✔ Met</v>
      </c>
    </row>
    <row r="24" customFormat="false" ht="25.5" hidden="false" customHeight="true" outlineLevel="0" collapsed="false">
      <c r="A24" s="23" t="s">
        <v>47</v>
      </c>
      <c r="B24" s="23"/>
      <c r="C24" s="23"/>
      <c r="D24" s="24" t="n">
        <f aca="false">AVERAGE(D8:D22)</f>
        <v>0.759533333333333</v>
      </c>
      <c r="E24" s="25" t="n">
        <v>0.6</v>
      </c>
      <c r="F24" s="26" t="n">
        <f aca="false">IF(D24&gt;=0.6,3,IF(D24&gt;=0.4,2,1))</f>
        <v>3</v>
      </c>
      <c r="G24" s="27" t="n">
        <f aca="false">D24-E24</f>
        <v>0.159533333333333</v>
      </c>
      <c r="H24" s="28" t="str">
        <f aca="false">IF(D24&gt;=E24,"✔ Met","✘ Not Met")</f>
        <v>✔ Met</v>
      </c>
    </row>
    <row r="26" customFormat="false" ht="30" hidden="false" customHeight="true" outlineLevel="0" collapsed="false">
      <c r="A26" s="29" t="s">
        <v>48</v>
      </c>
      <c r="B26" s="29"/>
      <c r="C26" s="29"/>
      <c r="D26" s="29"/>
      <c r="E26" s="29"/>
      <c r="F26" s="29"/>
      <c r="G26" s="29"/>
      <c r="H26" s="29"/>
    </row>
  </sheetData>
  <mergeCells count="5">
    <mergeCell ref="A1:H1"/>
    <mergeCell ref="A2:H2"/>
    <mergeCell ref="A3:H3"/>
    <mergeCell ref="A24:C24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40"/>
    <col collapsed="false" customWidth="true" hidden="false" outlineLevel="0" max="14" min="4" style="0" width="12"/>
  </cols>
  <sheetData>
    <row r="1" customFormat="false" ht="39.7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19.5" hidden="false" customHeight="true" outlineLevel="0" collapsed="false">
      <c r="A4" s="30" t="s">
        <v>51</v>
      </c>
      <c r="B4" s="30"/>
      <c r="C4" s="31" t="s">
        <v>52</v>
      </c>
      <c r="D4" s="32" t="s">
        <v>53</v>
      </c>
      <c r="E4" s="33" t="s">
        <v>54</v>
      </c>
    </row>
    <row r="6" customFormat="false" ht="27.75" hidden="false" customHeight="true" outlineLevel="0" collapsed="false">
      <c r="A6" s="34" t="s">
        <v>9</v>
      </c>
      <c r="B6" s="34" t="s">
        <v>55</v>
      </c>
      <c r="C6" s="34" t="s">
        <v>56</v>
      </c>
      <c r="D6" s="35" t="s">
        <v>57</v>
      </c>
      <c r="E6" s="35"/>
      <c r="F6" s="35"/>
      <c r="G6" s="35"/>
      <c r="H6" s="35"/>
      <c r="I6" s="36" t="s">
        <v>58</v>
      </c>
      <c r="J6" s="36" t="s">
        <v>14</v>
      </c>
      <c r="K6" s="36" t="s">
        <v>13</v>
      </c>
      <c r="L6" s="36" t="s">
        <v>15</v>
      </c>
      <c r="M6" s="36" t="s">
        <v>16</v>
      </c>
    </row>
    <row r="7" customFormat="false" ht="19.5" hidden="false" customHeight="true" outlineLevel="0" collapsed="false">
      <c r="A7" s="34"/>
      <c r="B7" s="34"/>
      <c r="C7" s="34"/>
      <c r="D7" s="37" t="s">
        <v>59</v>
      </c>
      <c r="E7" s="38" t="s">
        <v>60</v>
      </c>
      <c r="F7" s="37" t="s">
        <v>61</v>
      </c>
      <c r="G7" s="38" t="s">
        <v>62</v>
      </c>
      <c r="H7" s="37" t="s">
        <v>63</v>
      </c>
      <c r="I7" s="36"/>
      <c r="J7" s="36"/>
      <c r="K7" s="36"/>
      <c r="L7" s="36"/>
      <c r="M7" s="36"/>
    </row>
    <row r="8" customFormat="false" ht="19.5" hidden="false" customHeight="true" outlineLevel="0" collapsed="false">
      <c r="A8" s="11" t="n">
        <v>1</v>
      </c>
      <c r="B8" s="12" t="s">
        <v>17</v>
      </c>
      <c r="C8" s="39" t="s">
        <v>18</v>
      </c>
      <c r="D8" s="40" t="n">
        <f aca="false">'Tool-wise Attainment'!E6</f>
        <v>0.88</v>
      </c>
      <c r="E8" s="40" t="n">
        <f aca="false">'Tool-wise Attainment'!E7</f>
        <v>0.886</v>
      </c>
      <c r="F8" s="40" t="n">
        <f aca="false">'Tool-wise Attainment'!E8</f>
        <v>0.59</v>
      </c>
      <c r="G8" s="40" t="n">
        <f aca="false">'Tool-wise Attainment'!E9</f>
        <v>0.608</v>
      </c>
      <c r="H8" s="40" t="n">
        <f aca="false">'Tool-wise Attainment'!E10</f>
        <v>0.758</v>
      </c>
      <c r="I8" s="41" t="n">
        <f aca="false">'Tool-wise Attainment'!E12</f>
        <v>0.7508</v>
      </c>
      <c r="J8" s="42" t="n">
        <f aca="false">IF(I8&gt;=0.6,3,IF(I8&gt;=0.4,2,1))</f>
        <v>3</v>
      </c>
      <c r="K8" s="43" t="n">
        <v>0.6</v>
      </c>
      <c r="L8" s="44" t="n">
        <f aca="false">I8-K8</f>
        <v>0.1508</v>
      </c>
      <c r="M8" s="31" t="str">
        <f aca="false">IF(I8&gt;=K8,"✔ Met","✘ Not Met")</f>
        <v>✔ Met</v>
      </c>
    </row>
    <row r="9" customFormat="false" ht="19.5" hidden="false" customHeight="true" outlineLevel="0" collapsed="false">
      <c r="A9" s="19" t="n">
        <v>2</v>
      </c>
      <c r="B9" s="12" t="s">
        <v>19</v>
      </c>
      <c r="C9" s="45" t="s">
        <v>20</v>
      </c>
      <c r="D9" s="46" t="n">
        <f aca="false">'Tool-wise Attainment'!F6</f>
        <v>0.69</v>
      </c>
      <c r="E9" s="46" t="n">
        <f aca="false">'Tool-wise Attainment'!F7</f>
        <v>0.762</v>
      </c>
      <c r="F9" s="46" t="n">
        <f aca="false">'Tool-wise Attainment'!F8</f>
        <v>0.896</v>
      </c>
      <c r="G9" s="46" t="n">
        <f aca="false">'Tool-wise Attainment'!F9</f>
        <v>0.934</v>
      </c>
      <c r="H9" s="46" t="n">
        <f aca="false">'Tool-wise Attainment'!F10</f>
        <v>0.576</v>
      </c>
      <c r="I9" s="41" t="n">
        <f aca="false">'Tool-wise Attainment'!F12</f>
        <v>0.7809</v>
      </c>
      <c r="J9" s="42" t="n">
        <f aca="false">IF(I9&gt;=0.6,3,IF(I9&gt;=0.4,2,1))</f>
        <v>3</v>
      </c>
      <c r="K9" s="43" t="n">
        <v>0.6</v>
      </c>
      <c r="L9" s="44" t="n">
        <f aca="false">I9-K9</f>
        <v>0.1809</v>
      </c>
      <c r="M9" s="31" t="str">
        <f aca="false">IF(I9&gt;=K9,"✔ Met","✘ Not Met")</f>
        <v>✔ Met</v>
      </c>
    </row>
    <row r="10" customFormat="false" ht="19.5" hidden="false" customHeight="true" outlineLevel="0" collapsed="false">
      <c r="A10" s="11" t="n">
        <v>3</v>
      </c>
      <c r="B10" s="12" t="s">
        <v>21</v>
      </c>
      <c r="C10" s="39" t="s">
        <v>22</v>
      </c>
      <c r="D10" s="40" t="n">
        <f aca="false">'Tool-wise Attainment'!G6</f>
        <v>0.656</v>
      </c>
      <c r="E10" s="40" t="n">
        <f aca="false">'Tool-wise Attainment'!G7</f>
        <v>0.894</v>
      </c>
      <c r="F10" s="40" t="n">
        <f aca="false">'Tool-wise Attainment'!G8</f>
        <v>0.952</v>
      </c>
      <c r="G10" s="40" t="n">
        <f aca="false">'Tool-wise Attainment'!G9</f>
        <v>0.582</v>
      </c>
      <c r="H10" s="40" t="n">
        <f aca="false">'Tool-wise Attainment'!G10</f>
        <v>0.704</v>
      </c>
      <c r="I10" s="41" t="n">
        <f aca="false">'Tool-wise Attainment'!G12</f>
        <v>0.7671</v>
      </c>
      <c r="J10" s="42" t="n">
        <f aca="false">IF(I10&gt;=0.6,3,IF(I10&gt;=0.4,2,1))</f>
        <v>3</v>
      </c>
      <c r="K10" s="43" t="n">
        <v>0.6</v>
      </c>
      <c r="L10" s="44" t="n">
        <f aca="false">I10-K10</f>
        <v>0.1671</v>
      </c>
      <c r="M10" s="31" t="str">
        <f aca="false">IF(I10&gt;=K10,"✔ Met","✘ Not Met")</f>
        <v>✔ Met</v>
      </c>
    </row>
    <row r="11" customFormat="false" ht="19.5" hidden="false" customHeight="true" outlineLevel="0" collapsed="false">
      <c r="A11" s="19" t="n">
        <v>4</v>
      </c>
      <c r="B11" s="12" t="s">
        <v>23</v>
      </c>
      <c r="C11" s="45" t="s">
        <v>24</v>
      </c>
      <c r="D11" s="46" t="n">
        <f aca="false">'Tool-wise Attainment'!H6</f>
        <v>0.89</v>
      </c>
      <c r="E11" s="46" t="n">
        <f aca="false">'Tool-wise Attainment'!H7</f>
        <v>0.634</v>
      </c>
      <c r="F11" s="46" t="n">
        <f aca="false">'Tool-wise Attainment'!H8</f>
        <v>0.856</v>
      </c>
      <c r="G11" s="46" t="n">
        <f aca="false">'Tool-wise Attainment'!H9</f>
        <v>0.898</v>
      </c>
      <c r="H11" s="46" t="n">
        <f aca="false">'Tool-wise Attainment'!H10</f>
        <v>0.956</v>
      </c>
      <c r="I11" s="41" t="n">
        <f aca="false">'Tool-wise Attainment'!H12</f>
        <v>0.8307</v>
      </c>
      <c r="J11" s="42" t="n">
        <f aca="false">IF(I11&gt;=0.6,3,IF(I11&gt;=0.4,2,1))</f>
        <v>3</v>
      </c>
      <c r="K11" s="43" t="n">
        <v>0.6</v>
      </c>
      <c r="L11" s="44" t="n">
        <f aca="false">I11-K11</f>
        <v>0.2307</v>
      </c>
      <c r="M11" s="31" t="str">
        <f aca="false">IF(I11&gt;=K11,"✔ Met","✘ Not Met")</f>
        <v>✔ Met</v>
      </c>
    </row>
    <row r="12" customFormat="false" ht="19.5" hidden="false" customHeight="true" outlineLevel="0" collapsed="false">
      <c r="A12" s="11" t="n">
        <v>5</v>
      </c>
      <c r="B12" s="12" t="s">
        <v>25</v>
      </c>
      <c r="C12" s="39" t="s">
        <v>26</v>
      </c>
      <c r="D12" s="40" t="n">
        <f aca="false">'Tool-wise Attainment'!I6</f>
        <v>0.606</v>
      </c>
      <c r="E12" s="40" t="n">
        <f aca="false">'Tool-wise Attainment'!I7</f>
        <v>0.688</v>
      </c>
      <c r="F12" s="40" t="n">
        <f aca="false">'Tool-wise Attainment'!I8</f>
        <v>0.858</v>
      </c>
      <c r="G12" s="40" t="n">
        <f aca="false">'Tool-wise Attainment'!I9</f>
        <v>0.95</v>
      </c>
      <c r="H12" s="40" t="n">
        <f aca="false">'Tool-wise Attainment'!I10</f>
        <v>0.608</v>
      </c>
      <c r="I12" s="41" t="n">
        <f aca="false">'Tool-wise Attainment'!I12</f>
        <v>0.746</v>
      </c>
      <c r="J12" s="42" t="n">
        <f aca="false">IF(I12&gt;=0.6,3,IF(I12&gt;=0.4,2,1))</f>
        <v>3</v>
      </c>
      <c r="K12" s="43" t="n">
        <v>0.6</v>
      </c>
      <c r="L12" s="44" t="n">
        <f aca="false">I12-K12</f>
        <v>0.146</v>
      </c>
      <c r="M12" s="31" t="str">
        <f aca="false">IF(I12&gt;=K12,"✔ Met","✘ Not Met")</f>
        <v>✔ Met</v>
      </c>
    </row>
    <row r="13" customFormat="false" ht="19.5" hidden="false" customHeight="true" outlineLevel="0" collapsed="false">
      <c r="A13" s="19" t="n">
        <v>6</v>
      </c>
      <c r="B13" s="12" t="s">
        <v>27</v>
      </c>
      <c r="C13" s="45" t="s">
        <v>28</v>
      </c>
      <c r="D13" s="46" t="n">
        <f aca="false">'Tool-wise Attainment'!J6</f>
        <v>0.75</v>
      </c>
      <c r="E13" s="46" t="n">
        <f aca="false">'Tool-wise Attainment'!J7</f>
        <v>0.594</v>
      </c>
      <c r="F13" s="46" t="n">
        <f aca="false">'Tool-wise Attainment'!J8</f>
        <v>0.9</v>
      </c>
      <c r="G13" s="46" t="n">
        <f aca="false">'Tool-wise Attainment'!J9</f>
        <v>0.86</v>
      </c>
      <c r="H13" s="46" t="n">
        <f aca="false">'Tool-wise Attainment'!J10</f>
        <v>0.954</v>
      </c>
      <c r="I13" s="41" t="n">
        <f aca="false">'Tool-wise Attainment'!J12</f>
        <v>0.7936</v>
      </c>
      <c r="J13" s="42" t="n">
        <f aca="false">IF(I13&gt;=0.6,3,IF(I13&gt;=0.4,2,1))</f>
        <v>3</v>
      </c>
      <c r="K13" s="43" t="n">
        <v>0.6</v>
      </c>
      <c r="L13" s="44" t="n">
        <f aca="false">I13-K13</f>
        <v>0.1936</v>
      </c>
      <c r="M13" s="31" t="str">
        <f aca="false">IF(I13&gt;=K13,"✔ Met","✘ Not Met")</f>
        <v>✔ Met</v>
      </c>
    </row>
    <row r="14" customFormat="false" ht="19.5" hidden="false" customHeight="true" outlineLevel="0" collapsed="false">
      <c r="A14" s="11" t="n">
        <v>7</v>
      </c>
      <c r="B14" s="12" t="s">
        <v>29</v>
      </c>
      <c r="C14" s="39" t="s">
        <v>30</v>
      </c>
      <c r="D14" s="40" t="n">
        <f aca="false">'Tool-wise Attainment'!K6</f>
        <v>0.784</v>
      </c>
      <c r="E14" s="40" t="n">
        <f aca="false">'Tool-wise Attainment'!K7</f>
        <v>0.872</v>
      </c>
      <c r="F14" s="40" t="n">
        <f aca="false">'Tool-wise Attainment'!K8</f>
        <v>0.598</v>
      </c>
      <c r="G14" s="40" t="n">
        <f aca="false">'Tool-wise Attainment'!K9</f>
        <v>0.938</v>
      </c>
      <c r="H14" s="40" t="n">
        <f aca="false">'Tool-wise Attainment'!K10</f>
        <v>0.922</v>
      </c>
      <c r="I14" s="41" t="n">
        <f aca="false">'Tool-wise Attainment'!K12</f>
        <v>0.8203</v>
      </c>
      <c r="J14" s="42" t="n">
        <f aca="false">IF(I14&gt;=0.6,3,IF(I14&gt;=0.4,2,1))</f>
        <v>3</v>
      </c>
      <c r="K14" s="43" t="n">
        <v>0.6</v>
      </c>
      <c r="L14" s="44" t="n">
        <f aca="false">I14-K14</f>
        <v>0.2203</v>
      </c>
      <c r="M14" s="31" t="str">
        <f aca="false">IF(I14&gt;=K14,"✔ Met","✘ Not Met")</f>
        <v>✔ Met</v>
      </c>
    </row>
    <row r="15" customFormat="false" ht="19.5" hidden="false" customHeight="true" outlineLevel="0" collapsed="false">
      <c r="A15" s="19" t="n">
        <v>8</v>
      </c>
      <c r="B15" s="12" t="s">
        <v>31</v>
      </c>
      <c r="C15" s="45" t="s">
        <v>32</v>
      </c>
      <c r="D15" s="46" t="n">
        <f aca="false">'Tool-wise Attainment'!L6</f>
        <v>0.804</v>
      </c>
      <c r="E15" s="46" t="n">
        <f aca="false">'Tool-wise Attainment'!L7</f>
        <v>0.774</v>
      </c>
      <c r="F15" s="46" t="n">
        <f aca="false">'Tool-wise Attainment'!L8</f>
        <v>0.744</v>
      </c>
      <c r="G15" s="46" t="n">
        <f aca="false">'Tool-wise Attainment'!L9</f>
        <v>0.772</v>
      </c>
      <c r="H15" s="46" t="n">
        <f aca="false">'Tool-wise Attainment'!L10</f>
        <v>0.836</v>
      </c>
      <c r="I15" s="41" t="n">
        <f aca="false">'Tool-wise Attainment'!L12</f>
        <v>0.7829</v>
      </c>
      <c r="J15" s="42" t="n">
        <f aca="false">IF(I15&gt;=0.6,3,IF(I15&gt;=0.4,2,1))</f>
        <v>3</v>
      </c>
      <c r="K15" s="43" t="n">
        <v>0.6</v>
      </c>
      <c r="L15" s="44" t="n">
        <f aca="false">I15-K15</f>
        <v>0.1829</v>
      </c>
      <c r="M15" s="31" t="str">
        <f aca="false">IF(I15&gt;=K15,"✔ Met","✘ Not Met")</f>
        <v>✔ Met</v>
      </c>
    </row>
    <row r="16" customFormat="false" ht="19.5" hidden="false" customHeight="true" outlineLevel="0" collapsed="false">
      <c r="A16" s="11" t="n">
        <v>9</v>
      </c>
      <c r="B16" s="12" t="s">
        <v>33</v>
      </c>
      <c r="C16" s="39" t="s">
        <v>34</v>
      </c>
      <c r="D16" s="40" t="n">
        <f aca="false">'Tool-wise Attainment'!M6</f>
        <v>0.618</v>
      </c>
      <c r="E16" s="40" t="n">
        <f aca="false">'Tool-wise Attainment'!M7</f>
        <v>0.642</v>
      </c>
      <c r="F16" s="40" t="n">
        <f aca="false">'Tool-wise Attainment'!M8</f>
        <v>0.592</v>
      </c>
      <c r="G16" s="40" t="n">
        <f aca="false">'Tool-wise Attainment'!M9</f>
        <v>0.648</v>
      </c>
      <c r="H16" s="40" t="n">
        <f aca="false">'Tool-wise Attainment'!M10</f>
        <v>0.582</v>
      </c>
      <c r="I16" s="41" t="n">
        <f aca="false">'Tool-wise Attainment'!M12</f>
        <v>0.6194</v>
      </c>
      <c r="J16" s="42" t="n">
        <f aca="false">IF(I16&gt;=0.6,3,IF(I16&gt;=0.4,2,1))</f>
        <v>3</v>
      </c>
      <c r="K16" s="43" t="n">
        <v>0.6</v>
      </c>
      <c r="L16" s="44" t="n">
        <f aca="false">I16-K16</f>
        <v>0.0194000000000001</v>
      </c>
      <c r="M16" s="31" t="str">
        <f aca="false">IF(I16&gt;=K16,"✔ Met","✘ Not Met")</f>
        <v>✔ Met</v>
      </c>
    </row>
    <row r="17" customFormat="false" ht="19.5" hidden="false" customHeight="true" outlineLevel="0" collapsed="false">
      <c r="A17" s="19" t="n">
        <v>10</v>
      </c>
      <c r="B17" s="12" t="s">
        <v>35</v>
      </c>
      <c r="C17" s="45" t="s">
        <v>36</v>
      </c>
      <c r="D17" s="46" t="n">
        <f aca="false">'Tool-wise Attainment'!N6</f>
        <v>0.812</v>
      </c>
      <c r="E17" s="46" t="n">
        <f aca="false">'Tool-wise Attainment'!N7</f>
        <v>0.636</v>
      </c>
      <c r="F17" s="46" t="n">
        <f aca="false">'Tool-wise Attainment'!N8</f>
        <v>0.872</v>
      </c>
      <c r="G17" s="46" t="n">
        <f aca="false">'Tool-wise Attainment'!N9</f>
        <v>0.748</v>
      </c>
      <c r="H17" s="46" t="n">
        <f aca="false">'Tool-wise Attainment'!N10</f>
        <v>0.748</v>
      </c>
      <c r="I17" s="41" t="n">
        <f aca="false">'Tool-wise Attainment'!N12</f>
        <v>0.7576</v>
      </c>
      <c r="J17" s="42" t="n">
        <f aca="false">IF(I17&gt;=0.6,3,IF(I17&gt;=0.4,2,1))</f>
        <v>3</v>
      </c>
      <c r="K17" s="43" t="n">
        <v>0.6</v>
      </c>
      <c r="L17" s="44" t="n">
        <f aca="false">I17-K17</f>
        <v>0.1576</v>
      </c>
      <c r="M17" s="31" t="str">
        <f aca="false">IF(I17&gt;=K17,"✔ Met","✘ Not Met")</f>
        <v>✔ Met</v>
      </c>
    </row>
    <row r="18" customFormat="false" ht="19.5" hidden="false" customHeight="true" outlineLevel="0" collapsed="false">
      <c r="A18" s="11" t="n">
        <v>11</v>
      </c>
      <c r="B18" s="12" t="s">
        <v>37</v>
      </c>
      <c r="C18" s="39" t="s">
        <v>38</v>
      </c>
      <c r="D18" s="40" t="n">
        <f aca="false">'Tool-wise Attainment'!O6</f>
        <v>0.76</v>
      </c>
      <c r="E18" s="40" t="n">
        <f aca="false">'Tool-wise Attainment'!O7</f>
        <v>0.592</v>
      </c>
      <c r="F18" s="40" t="n">
        <f aca="false">'Tool-wise Attainment'!O8</f>
        <v>0.776</v>
      </c>
      <c r="G18" s="40" t="n">
        <f aca="false">'Tool-wise Attainment'!O9</f>
        <v>0.856</v>
      </c>
      <c r="H18" s="40" t="n">
        <f aca="false">'Tool-wise Attainment'!O10</f>
        <v>0.836</v>
      </c>
      <c r="I18" s="41" t="n">
        <f aca="false">'Tool-wise Attainment'!O12</f>
        <v>0.7518</v>
      </c>
      <c r="J18" s="42" t="n">
        <f aca="false">IF(I18&gt;=0.6,3,IF(I18&gt;=0.4,2,1))</f>
        <v>3</v>
      </c>
      <c r="K18" s="43" t="n">
        <v>0.6</v>
      </c>
      <c r="L18" s="44" t="n">
        <f aca="false">I18-K18</f>
        <v>0.1518</v>
      </c>
      <c r="M18" s="31" t="str">
        <f aca="false">IF(I18&gt;=K18,"✔ Met","✘ Not Met")</f>
        <v>✔ Met</v>
      </c>
    </row>
    <row r="19" customFormat="false" ht="19.5" hidden="false" customHeight="true" outlineLevel="0" collapsed="false">
      <c r="A19" s="19" t="n">
        <v>12</v>
      </c>
      <c r="B19" s="12" t="s">
        <v>39</v>
      </c>
      <c r="C19" s="45" t="s">
        <v>40</v>
      </c>
      <c r="D19" s="46" t="n">
        <f aca="false">'Tool-wise Attainment'!P6</f>
        <v>0.9</v>
      </c>
      <c r="E19" s="46" t="n">
        <f aca="false">'Tool-wise Attainment'!P7</f>
        <v>0.64</v>
      </c>
      <c r="F19" s="46" t="n">
        <f aca="false">'Tool-wise Attainment'!P8</f>
        <v>0.602</v>
      </c>
      <c r="G19" s="46" t="n">
        <f aca="false">'Tool-wise Attainment'!P9</f>
        <v>0.868</v>
      </c>
      <c r="H19" s="46" t="n">
        <f aca="false">'Tool-wise Attainment'!P10</f>
        <v>0.598</v>
      </c>
      <c r="I19" s="41" t="n">
        <f aca="false">'Tool-wise Attainment'!P12</f>
        <v>0.7237</v>
      </c>
      <c r="J19" s="42" t="n">
        <f aca="false">IF(I19&gt;=0.6,3,IF(I19&gt;=0.4,2,1))</f>
        <v>3</v>
      </c>
      <c r="K19" s="43" t="n">
        <v>0.6</v>
      </c>
      <c r="L19" s="44" t="n">
        <f aca="false">I19-K19</f>
        <v>0.1237</v>
      </c>
      <c r="M19" s="31" t="str">
        <f aca="false">IF(I19&gt;=K19,"✔ Met","✘ Not Met")</f>
        <v>✔ Met</v>
      </c>
    </row>
    <row r="20" customFormat="false" ht="19.5" hidden="false" customHeight="true" outlineLevel="0" collapsed="false">
      <c r="A20" s="11" t="n">
        <v>13</v>
      </c>
      <c r="B20" s="21" t="s">
        <v>41</v>
      </c>
      <c r="C20" s="39" t="s">
        <v>42</v>
      </c>
      <c r="D20" s="40" t="n">
        <f aca="false">'Tool-wise Attainment'!Q6</f>
        <v>0.572</v>
      </c>
      <c r="E20" s="40" t="n">
        <f aca="false">'Tool-wise Attainment'!Q7</f>
        <v>0.784</v>
      </c>
      <c r="F20" s="40" t="n">
        <f aca="false">'Tool-wise Attainment'!Q8</f>
        <v>0.738</v>
      </c>
      <c r="G20" s="40" t="n">
        <f aca="false">'Tool-wise Attainment'!Q9</f>
        <v>0.714</v>
      </c>
      <c r="H20" s="40" t="n">
        <f aca="false">'Tool-wise Attainment'!Q10</f>
        <v>0.68</v>
      </c>
      <c r="I20" s="47" t="n">
        <f aca="false">'Tool-wise Attainment'!Q12</f>
        <v>0.7028</v>
      </c>
      <c r="J20" s="48" t="n">
        <f aca="false">IF(I20&gt;=0.6,3,IF(I20&gt;=0.4,2,1))</f>
        <v>3</v>
      </c>
      <c r="K20" s="43" t="n">
        <v>0.6</v>
      </c>
      <c r="L20" s="44" t="n">
        <f aca="false">I20-K20</f>
        <v>0.1028</v>
      </c>
      <c r="M20" s="31" t="str">
        <f aca="false">IF(I20&gt;=K20,"✔ Met","✘ Not Met")</f>
        <v>✔ Met</v>
      </c>
    </row>
    <row r="21" customFormat="false" ht="19.5" hidden="false" customHeight="true" outlineLevel="0" collapsed="false">
      <c r="A21" s="19" t="n">
        <v>14</v>
      </c>
      <c r="B21" s="21" t="s">
        <v>43</v>
      </c>
      <c r="C21" s="45" t="s">
        <v>44</v>
      </c>
      <c r="D21" s="46" t="n">
        <f aca="false">'Tool-wise Attainment'!R6</f>
        <v>0.942</v>
      </c>
      <c r="E21" s="46" t="n">
        <f aca="false">'Tool-wise Attainment'!R7</f>
        <v>0.736</v>
      </c>
      <c r="F21" s="46" t="n">
        <f aca="false">'Tool-wise Attainment'!R8</f>
        <v>0.87</v>
      </c>
      <c r="G21" s="46" t="n">
        <f aca="false">'Tool-wise Attainment'!R9</f>
        <v>0.938</v>
      </c>
      <c r="H21" s="46" t="n">
        <f aca="false">'Tool-wise Attainment'!R10</f>
        <v>0.596</v>
      </c>
      <c r="I21" s="47" t="n">
        <f aca="false">'Tool-wise Attainment'!R12</f>
        <v>0.8234</v>
      </c>
      <c r="J21" s="48" t="n">
        <f aca="false">IF(I21&gt;=0.6,3,IF(I21&gt;=0.4,2,1))</f>
        <v>3</v>
      </c>
      <c r="K21" s="43" t="n">
        <v>0.6</v>
      </c>
      <c r="L21" s="44" t="n">
        <f aca="false">I21-K21</f>
        <v>0.2234</v>
      </c>
      <c r="M21" s="31" t="str">
        <f aca="false">IF(I21&gt;=K21,"✔ Met","✘ Not Met")</f>
        <v>✔ Met</v>
      </c>
    </row>
    <row r="22" customFormat="false" ht="19.5" hidden="false" customHeight="true" outlineLevel="0" collapsed="false">
      <c r="A22" s="11" t="n">
        <v>15</v>
      </c>
      <c r="B22" s="21" t="s">
        <v>45</v>
      </c>
      <c r="C22" s="39" t="s">
        <v>46</v>
      </c>
      <c r="D22" s="40" t="n">
        <f aca="false">'Tool-wise Attainment'!S6</f>
        <v>0.63</v>
      </c>
      <c r="E22" s="40" t="n">
        <f aca="false">'Tool-wise Attainment'!S7</f>
        <v>0.842</v>
      </c>
      <c r="F22" s="40" t="n">
        <f aca="false">'Tool-wise Attainment'!S8</f>
        <v>0.78</v>
      </c>
      <c r="G22" s="40" t="n">
        <f aca="false">'Tool-wise Attainment'!S9</f>
        <v>0.574</v>
      </c>
      <c r="H22" s="40" t="n">
        <f aca="false">'Tool-wise Attainment'!S10</f>
        <v>0.898</v>
      </c>
      <c r="I22" s="47" t="n">
        <f aca="false">'Tool-wise Attainment'!S12</f>
        <v>0.742</v>
      </c>
      <c r="J22" s="48" t="n">
        <f aca="false">IF(I22&gt;=0.6,3,IF(I22&gt;=0.4,2,1))</f>
        <v>3</v>
      </c>
      <c r="K22" s="43" t="n">
        <v>0.6</v>
      </c>
      <c r="L22" s="44" t="n">
        <f aca="false">I22-K22</f>
        <v>0.142</v>
      </c>
      <c r="M22" s="31" t="str">
        <f aca="false">IF(I22&gt;=K22,"✔ Met","✘ Not Met")</f>
        <v>✔ Met</v>
      </c>
    </row>
  </sheetData>
  <mergeCells count="12">
    <mergeCell ref="A1:N1"/>
    <mergeCell ref="A2:N2"/>
    <mergeCell ref="A4:B4"/>
    <mergeCell ref="A6:A7"/>
    <mergeCell ref="B6:B7"/>
    <mergeCell ref="C6:C7"/>
    <mergeCell ref="D6:H6"/>
    <mergeCell ref="I6:I7"/>
    <mergeCell ref="J6:J7"/>
    <mergeCell ref="K6:K7"/>
    <mergeCell ref="L6:L7"/>
    <mergeCell ref="M6:M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19" min="4" style="0" width="9"/>
  </cols>
  <sheetData>
    <row r="1" customFormat="false" ht="37.5" hidden="false" customHeight="true" outlineLevel="0" collapsed="false">
      <c r="A1" s="49" t="s">
        <v>64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customFormat="false" ht="15.75" hidden="false" customHeight="true" outlineLevel="0" collapsed="false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7.5" hidden="false" customHeight="true" outlineLevel="0" collapsed="false"/>
    <row r="4" customFormat="false" ht="25.5" hidden="false" customHeight="true" outlineLevel="0" collapsed="false">
      <c r="A4" s="34" t="s">
        <v>9</v>
      </c>
      <c r="B4" s="34" t="s">
        <v>66</v>
      </c>
      <c r="C4" s="34" t="s">
        <v>67</v>
      </c>
      <c r="D4" s="34" t="s">
        <v>68</v>
      </c>
      <c r="E4" s="35" t="s">
        <v>69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50" t="s">
        <v>70</v>
      </c>
      <c r="R4" s="50"/>
      <c r="S4" s="50"/>
    </row>
    <row r="5" customFormat="false" ht="19.5" hidden="false" customHeight="true" outlineLevel="0" collapsed="false">
      <c r="A5" s="34"/>
      <c r="B5" s="34"/>
      <c r="C5" s="34"/>
      <c r="D5" s="34"/>
      <c r="E5" s="5" t="s">
        <v>17</v>
      </c>
      <c r="F5" s="5" t="s">
        <v>19</v>
      </c>
      <c r="G5" s="5" t="s">
        <v>21</v>
      </c>
      <c r="H5" s="5" t="s">
        <v>23</v>
      </c>
      <c r="I5" s="5" t="s">
        <v>25</v>
      </c>
      <c r="J5" s="5" t="s">
        <v>27</v>
      </c>
      <c r="K5" s="5" t="s">
        <v>29</v>
      </c>
      <c r="L5" s="5" t="s">
        <v>31</v>
      </c>
      <c r="M5" s="5" t="s">
        <v>33</v>
      </c>
      <c r="N5" s="5" t="s">
        <v>35</v>
      </c>
      <c r="O5" s="5" t="s">
        <v>37</v>
      </c>
      <c r="P5" s="5" t="s">
        <v>39</v>
      </c>
      <c r="Q5" s="7" t="s">
        <v>41</v>
      </c>
      <c r="R5" s="7" t="s">
        <v>43</v>
      </c>
      <c r="S5" s="7" t="s">
        <v>45</v>
      </c>
    </row>
    <row r="6" customFormat="false" ht="19.5" hidden="false" customHeight="true" outlineLevel="0" collapsed="false">
      <c r="A6" s="11" t="n">
        <v>1</v>
      </c>
      <c r="B6" s="5" t="s">
        <v>71</v>
      </c>
      <c r="C6" s="13" t="s">
        <v>72</v>
      </c>
      <c r="D6" s="51" t="n">
        <f aca="false">'Survey Data Input'!B5</f>
        <v>0.2</v>
      </c>
      <c r="E6" s="40" t="n">
        <f aca="false">IFERROR('Survey Data Input'!D14/'Survey Data Input'!C5,0)</f>
        <v>0.88</v>
      </c>
      <c r="F6" s="40" t="n">
        <f aca="false">IFERROR('Survey Data Input'!D15/'Survey Data Input'!C5,0)</f>
        <v>0.69</v>
      </c>
      <c r="G6" s="40" t="n">
        <f aca="false">IFERROR('Survey Data Input'!D16/'Survey Data Input'!C5,0)</f>
        <v>0.656</v>
      </c>
      <c r="H6" s="40" t="n">
        <f aca="false">IFERROR('Survey Data Input'!D17/'Survey Data Input'!C5,0)</f>
        <v>0.89</v>
      </c>
      <c r="I6" s="40" t="n">
        <f aca="false">IFERROR('Survey Data Input'!D18/'Survey Data Input'!C5,0)</f>
        <v>0.606</v>
      </c>
      <c r="J6" s="40" t="n">
        <f aca="false">IFERROR('Survey Data Input'!D19/'Survey Data Input'!C5,0)</f>
        <v>0.75</v>
      </c>
      <c r="K6" s="40" t="n">
        <f aca="false">IFERROR('Survey Data Input'!D20/'Survey Data Input'!C5,0)</f>
        <v>0.784</v>
      </c>
      <c r="L6" s="40" t="n">
        <f aca="false">IFERROR('Survey Data Input'!D21/'Survey Data Input'!C5,0)</f>
        <v>0.804</v>
      </c>
      <c r="M6" s="40" t="n">
        <f aca="false">IFERROR('Survey Data Input'!D22/'Survey Data Input'!C5,0)</f>
        <v>0.618</v>
      </c>
      <c r="N6" s="40" t="n">
        <f aca="false">IFERROR('Survey Data Input'!D23/'Survey Data Input'!C5,0)</f>
        <v>0.812</v>
      </c>
      <c r="O6" s="40" t="n">
        <f aca="false">IFERROR('Survey Data Input'!D24/'Survey Data Input'!C5,0)</f>
        <v>0.76</v>
      </c>
      <c r="P6" s="40" t="n">
        <f aca="false">IFERROR('Survey Data Input'!D25/'Survey Data Input'!C5,0)</f>
        <v>0.9</v>
      </c>
      <c r="Q6" s="40" t="n">
        <f aca="false">IFERROR('Survey Data Input'!D26/'Survey Data Input'!C5,0)</f>
        <v>0.572</v>
      </c>
      <c r="R6" s="40" t="n">
        <f aca="false">IFERROR('Survey Data Input'!D27/'Survey Data Input'!C5,0)</f>
        <v>0.942</v>
      </c>
      <c r="S6" s="40" t="n">
        <f aca="false">IFERROR('Survey Data Input'!D28/'Survey Data Input'!C5,0)</f>
        <v>0.63</v>
      </c>
    </row>
    <row r="7" customFormat="false" ht="19.5" hidden="false" customHeight="true" outlineLevel="0" collapsed="false">
      <c r="A7" s="19" t="n">
        <v>2</v>
      </c>
      <c r="B7" s="7" t="s">
        <v>73</v>
      </c>
      <c r="C7" s="20" t="s">
        <v>74</v>
      </c>
      <c r="D7" s="51" t="n">
        <f aca="false">'Survey Data Input'!B6</f>
        <v>0.25</v>
      </c>
      <c r="E7" s="46" t="n">
        <f aca="false">IFERROR('Survey Data Input'!D33/'Survey Data Input'!C6,0)</f>
        <v>0.886</v>
      </c>
      <c r="F7" s="46" t="n">
        <f aca="false">IFERROR('Survey Data Input'!D34/'Survey Data Input'!C6,0)</f>
        <v>0.762</v>
      </c>
      <c r="G7" s="46" t="n">
        <f aca="false">IFERROR('Survey Data Input'!D35/'Survey Data Input'!C6,0)</f>
        <v>0.894</v>
      </c>
      <c r="H7" s="46" t="n">
        <f aca="false">IFERROR('Survey Data Input'!D36/'Survey Data Input'!C6,0)</f>
        <v>0.634</v>
      </c>
      <c r="I7" s="46" t="n">
        <f aca="false">IFERROR('Survey Data Input'!D37/'Survey Data Input'!C6,0)</f>
        <v>0.688</v>
      </c>
      <c r="J7" s="46" t="n">
        <f aca="false">IFERROR('Survey Data Input'!D38/'Survey Data Input'!C6,0)</f>
        <v>0.594</v>
      </c>
      <c r="K7" s="46" t="n">
        <f aca="false">IFERROR('Survey Data Input'!D39/'Survey Data Input'!C6,0)</f>
        <v>0.872</v>
      </c>
      <c r="L7" s="46" t="n">
        <f aca="false">IFERROR('Survey Data Input'!D40/'Survey Data Input'!C6,0)</f>
        <v>0.774</v>
      </c>
      <c r="M7" s="46" t="n">
        <f aca="false">IFERROR('Survey Data Input'!D41/'Survey Data Input'!C6,0)</f>
        <v>0.642</v>
      </c>
      <c r="N7" s="46" t="n">
        <f aca="false">IFERROR('Survey Data Input'!D42/'Survey Data Input'!C6,0)</f>
        <v>0.636</v>
      </c>
      <c r="O7" s="46" t="n">
        <f aca="false">IFERROR('Survey Data Input'!D43/'Survey Data Input'!C6,0)</f>
        <v>0.592</v>
      </c>
      <c r="P7" s="46" t="n">
        <f aca="false">IFERROR('Survey Data Input'!D44/'Survey Data Input'!C6,0)</f>
        <v>0.64</v>
      </c>
      <c r="Q7" s="46" t="n">
        <f aca="false">IFERROR('Survey Data Input'!D45/'Survey Data Input'!C6,0)</f>
        <v>0.784</v>
      </c>
      <c r="R7" s="46" t="n">
        <f aca="false">IFERROR('Survey Data Input'!D46/'Survey Data Input'!C6,0)</f>
        <v>0.736</v>
      </c>
      <c r="S7" s="46" t="n">
        <f aca="false">IFERROR('Survey Data Input'!D47/'Survey Data Input'!C6,0)</f>
        <v>0.842</v>
      </c>
    </row>
    <row r="8" customFormat="false" ht="19.5" hidden="false" customHeight="true" outlineLevel="0" collapsed="false">
      <c r="A8" s="11" t="n">
        <v>3</v>
      </c>
      <c r="B8" s="5" t="s">
        <v>75</v>
      </c>
      <c r="C8" s="13" t="s">
        <v>76</v>
      </c>
      <c r="D8" s="51" t="n">
        <f aca="false">'Survey Data Input'!B7</f>
        <v>0.2</v>
      </c>
      <c r="E8" s="40" t="n">
        <f aca="false">IFERROR('Survey Data Input'!D52/'Survey Data Input'!C7,0)</f>
        <v>0.59</v>
      </c>
      <c r="F8" s="40" t="n">
        <f aca="false">IFERROR('Survey Data Input'!D53/'Survey Data Input'!C7,0)</f>
        <v>0.896</v>
      </c>
      <c r="G8" s="40" t="n">
        <f aca="false">IFERROR('Survey Data Input'!D54/'Survey Data Input'!C7,0)</f>
        <v>0.952</v>
      </c>
      <c r="H8" s="40" t="n">
        <f aca="false">IFERROR('Survey Data Input'!D55/'Survey Data Input'!C7,0)</f>
        <v>0.856</v>
      </c>
      <c r="I8" s="40" t="n">
        <f aca="false">IFERROR('Survey Data Input'!D56/'Survey Data Input'!C7,0)</f>
        <v>0.858</v>
      </c>
      <c r="J8" s="40" t="n">
        <f aca="false">IFERROR('Survey Data Input'!D57/'Survey Data Input'!C7,0)</f>
        <v>0.9</v>
      </c>
      <c r="K8" s="40" t="n">
        <f aca="false">IFERROR('Survey Data Input'!D58/'Survey Data Input'!C7,0)</f>
        <v>0.598</v>
      </c>
      <c r="L8" s="40" t="n">
        <f aca="false">IFERROR('Survey Data Input'!D59/'Survey Data Input'!C7,0)</f>
        <v>0.744</v>
      </c>
      <c r="M8" s="40" t="n">
        <f aca="false">IFERROR('Survey Data Input'!D60/'Survey Data Input'!C7,0)</f>
        <v>0.592</v>
      </c>
      <c r="N8" s="40" t="n">
        <f aca="false">IFERROR('Survey Data Input'!D61/'Survey Data Input'!C7,0)</f>
        <v>0.872</v>
      </c>
      <c r="O8" s="40" t="n">
        <f aca="false">IFERROR('Survey Data Input'!D62/'Survey Data Input'!C7,0)</f>
        <v>0.776</v>
      </c>
      <c r="P8" s="40" t="n">
        <f aca="false">IFERROR('Survey Data Input'!D63/'Survey Data Input'!C7,0)</f>
        <v>0.602</v>
      </c>
      <c r="Q8" s="40" t="n">
        <f aca="false">IFERROR('Survey Data Input'!D64/'Survey Data Input'!C7,0)</f>
        <v>0.738</v>
      </c>
      <c r="R8" s="40" t="n">
        <f aca="false">IFERROR('Survey Data Input'!D65/'Survey Data Input'!C7,0)</f>
        <v>0.87</v>
      </c>
      <c r="S8" s="40" t="n">
        <f aca="false">IFERROR('Survey Data Input'!D66/'Survey Data Input'!C7,0)</f>
        <v>0.78</v>
      </c>
    </row>
    <row r="9" customFormat="false" ht="19.5" hidden="false" customHeight="true" outlineLevel="0" collapsed="false">
      <c r="A9" s="19" t="n">
        <v>4</v>
      </c>
      <c r="B9" s="7" t="s">
        <v>77</v>
      </c>
      <c r="C9" s="20" t="s">
        <v>78</v>
      </c>
      <c r="D9" s="51" t="n">
        <f aca="false">'Survey Data Input'!B8</f>
        <v>0.2</v>
      </c>
      <c r="E9" s="46" t="n">
        <f aca="false">IFERROR('Survey Data Input'!D71/'Survey Data Input'!C8,0)</f>
        <v>0.608</v>
      </c>
      <c r="F9" s="46" t="n">
        <f aca="false">IFERROR('Survey Data Input'!D72/'Survey Data Input'!C8,0)</f>
        <v>0.934</v>
      </c>
      <c r="G9" s="46" t="n">
        <f aca="false">IFERROR('Survey Data Input'!D73/'Survey Data Input'!C8,0)</f>
        <v>0.582</v>
      </c>
      <c r="H9" s="46" t="n">
        <f aca="false">IFERROR('Survey Data Input'!D74/'Survey Data Input'!C8,0)</f>
        <v>0.898</v>
      </c>
      <c r="I9" s="46" t="n">
        <f aca="false">IFERROR('Survey Data Input'!D75/'Survey Data Input'!C8,0)</f>
        <v>0.95</v>
      </c>
      <c r="J9" s="46" t="n">
        <f aca="false">IFERROR('Survey Data Input'!D76/'Survey Data Input'!C8,0)</f>
        <v>0.86</v>
      </c>
      <c r="K9" s="46" t="n">
        <f aca="false">IFERROR('Survey Data Input'!D77/'Survey Data Input'!C8,0)</f>
        <v>0.938</v>
      </c>
      <c r="L9" s="46" t="n">
        <f aca="false">IFERROR('Survey Data Input'!D78/'Survey Data Input'!C8,0)</f>
        <v>0.772</v>
      </c>
      <c r="M9" s="46" t="n">
        <f aca="false">IFERROR('Survey Data Input'!D79/'Survey Data Input'!C8,0)</f>
        <v>0.648</v>
      </c>
      <c r="N9" s="46" t="n">
        <f aca="false">IFERROR('Survey Data Input'!D80/'Survey Data Input'!C8,0)</f>
        <v>0.748</v>
      </c>
      <c r="O9" s="46" t="n">
        <f aca="false">IFERROR('Survey Data Input'!D81/'Survey Data Input'!C8,0)</f>
        <v>0.856</v>
      </c>
      <c r="P9" s="46" t="n">
        <f aca="false">IFERROR('Survey Data Input'!D82/'Survey Data Input'!C8,0)</f>
        <v>0.868</v>
      </c>
      <c r="Q9" s="46" t="n">
        <f aca="false">IFERROR('Survey Data Input'!D83/'Survey Data Input'!C8,0)</f>
        <v>0.714</v>
      </c>
      <c r="R9" s="46" t="n">
        <f aca="false">IFERROR('Survey Data Input'!D84/'Survey Data Input'!C8,0)</f>
        <v>0.938</v>
      </c>
      <c r="S9" s="46" t="n">
        <f aca="false">IFERROR('Survey Data Input'!D85/'Survey Data Input'!C8,0)</f>
        <v>0.574</v>
      </c>
    </row>
    <row r="10" customFormat="false" ht="19.5" hidden="false" customHeight="true" outlineLevel="0" collapsed="false">
      <c r="A10" s="11" t="n">
        <v>5</v>
      </c>
      <c r="B10" s="5" t="s">
        <v>79</v>
      </c>
      <c r="C10" s="13" t="s">
        <v>80</v>
      </c>
      <c r="D10" s="51" t="n">
        <f aca="false">'Survey Data Input'!B9</f>
        <v>0.15</v>
      </c>
      <c r="E10" s="40" t="n">
        <f aca="false">IFERROR('Survey Data Input'!D90/'Survey Data Input'!C9,0)</f>
        <v>0.758</v>
      </c>
      <c r="F10" s="40" t="n">
        <f aca="false">IFERROR('Survey Data Input'!D91/'Survey Data Input'!C9,0)</f>
        <v>0.576</v>
      </c>
      <c r="G10" s="40" t="n">
        <f aca="false">IFERROR('Survey Data Input'!D92/'Survey Data Input'!C9,0)</f>
        <v>0.704</v>
      </c>
      <c r="H10" s="40" t="n">
        <f aca="false">IFERROR('Survey Data Input'!D93/'Survey Data Input'!C9,0)</f>
        <v>0.956</v>
      </c>
      <c r="I10" s="40" t="n">
        <f aca="false">IFERROR('Survey Data Input'!D94/'Survey Data Input'!C9,0)</f>
        <v>0.608</v>
      </c>
      <c r="J10" s="40" t="n">
        <f aca="false">IFERROR('Survey Data Input'!D95/'Survey Data Input'!C9,0)</f>
        <v>0.954</v>
      </c>
      <c r="K10" s="40" t="n">
        <f aca="false">IFERROR('Survey Data Input'!D96/'Survey Data Input'!C9,0)</f>
        <v>0.922</v>
      </c>
      <c r="L10" s="40" t="n">
        <f aca="false">IFERROR('Survey Data Input'!D97/'Survey Data Input'!C9,0)</f>
        <v>0.836</v>
      </c>
      <c r="M10" s="40" t="n">
        <f aca="false">IFERROR('Survey Data Input'!D98/'Survey Data Input'!C9,0)</f>
        <v>0.582</v>
      </c>
      <c r="N10" s="40" t="n">
        <f aca="false">IFERROR('Survey Data Input'!D99/'Survey Data Input'!C9,0)</f>
        <v>0.748</v>
      </c>
      <c r="O10" s="40" t="n">
        <f aca="false">IFERROR('Survey Data Input'!D100/'Survey Data Input'!C9,0)</f>
        <v>0.836</v>
      </c>
      <c r="P10" s="40" t="n">
        <f aca="false">IFERROR('Survey Data Input'!D101/'Survey Data Input'!C9,0)</f>
        <v>0.598</v>
      </c>
      <c r="Q10" s="40" t="n">
        <f aca="false">IFERROR('Survey Data Input'!D102/'Survey Data Input'!C9,0)</f>
        <v>0.68</v>
      </c>
      <c r="R10" s="40" t="n">
        <f aca="false">IFERROR('Survey Data Input'!D103/'Survey Data Input'!C9,0)</f>
        <v>0.596</v>
      </c>
      <c r="S10" s="40" t="n">
        <f aca="false">IFERROR('Survey Data Input'!D104/'Survey Data Input'!C9,0)</f>
        <v>0.898</v>
      </c>
    </row>
    <row r="12" customFormat="false" ht="24" hidden="false" customHeight="true" outlineLevel="0" collapsed="false">
      <c r="A12" s="52" t="s">
        <v>81</v>
      </c>
      <c r="B12" s="52"/>
      <c r="C12" s="52"/>
      <c r="D12" s="53" t="n">
        <f aca="false">SUM('Survey Data Input'!B5:B9)</f>
        <v>1</v>
      </c>
      <c r="E12" s="54" t="n">
        <f aca="false">IFERROR((('Survey Data Input'!B5*'Tool-wise Attainment'!E6)+('Survey Data Input'!B6*'Tool-wise Attainment'!E7)+('Survey Data Input'!B7*'Tool-wise Attainment'!E8)+('Survey Data Input'!B8*'Tool-wise Attainment'!E9)+('Survey Data Input'!B9*'Tool-wise Attainment'!E10))/SUM('Survey Data Input'!B5:B9),0)</f>
        <v>0.7508</v>
      </c>
      <c r="F12" s="54" t="n">
        <f aca="false">IFERROR((('Survey Data Input'!B5*'Tool-wise Attainment'!F6)+('Survey Data Input'!B6*'Tool-wise Attainment'!F7)+('Survey Data Input'!B7*'Tool-wise Attainment'!F8)+('Survey Data Input'!B8*'Tool-wise Attainment'!F9)+('Survey Data Input'!B9*'Tool-wise Attainment'!F10))/SUM('Survey Data Input'!B5:B9),0)</f>
        <v>0.7809</v>
      </c>
      <c r="G12" s="54" t="n">
        <f aca="false">IFERROR((('Survey Data Input'!B5*'Tool-wise Attainment'!G6)+('Survey Data Input'!B6*'Tool-wise Attainment'!G7)+('Survey Data Input'!B7*'Tool-wise Attainment'!G8)+('Survey Data Input'!B8*'Tool-wise Attainment'!G9)+('Survey Data Input'!B9*'Tool-wise Attainment'!G10))/SUM('Survey Data Input'!B5:B9),0)</f>
        <v>0.7671</v>
      </c>
      <c r="H12" s="54" t="n">
        <f aca="false">IFERROR((('Survey Data Input'!B5*'Tool-wise Attainment'!H6)+('Survey Data Input'!B6*'Tool-wise Attainment'!H7)+('Survey Data Input'!B7*'Tool-wise Attainment'!H8)+('Survey Data Input'!B8*'Tool-wise Attainment'!H9)+('Survey Data Input'!B9*'Tool-wise Attainment'!H10))/SUM('Survey Data Input'!B5:B9),0)</f>
        <v>0.8307</v>
      </c>
      <c r="I12" s="54" t="n">
        <f aca="false">IFERROR((('Survey Data Input'!B5*'Tool-wise Attainment'!I6)+('Survey Data Input'!B6*'Tool-wise Attainment'!I7)+('Survey Data Input'!B7*'Tool-wise Attainment'!I8)+('Survey Data Input'!B8*'Tool-wise Attainment'!I9)+('Survey Data Input'!B9*'Tool-wise Attainment'!I10))/SUM('Survey Data Input'!B5:B9),0)</f>
        <v>0.746</v>
      </c>
      <c r="J12" s="54" t="n">
        <f aca="false">IFERROR((('Survey Data Input'!B5*'Tool-wise Attainment'!J6)+('Survey Data Input'!B6*'Tool-wise Attainment'!J7)+('Survey Data Input'!B7*'Tool-wise Attainment'!J8)+('Survey Data Input'!B8*'Tool-wise Attainment'!J9)+('Survey Data Input'!B9*'Tool-wise Attainment'!J10))/SUM('Survey Data Input'!B5:B9),0)</f>
        <v>0.7936</v>
      </c>
      <c r="K12" s="54" t="n">
        <f aca="false">IFERROR((('Survey Data Input'!B5*'Tool-wise Attainment'!K6)+('Survey Data Input'!B6*'Tool-wise Attainment'!K7)+('Survey Data Input'!B7*'Tool-wise Attainment'!K8)+('Survey Data Input'!B8*'Tool-wise Attainment'!K9)+('Survey Data Input'!B9*'Tool-wise Attainment'!K10))/SUM('Survey Data Input'!B5:B9),0)</f>
        <v>0.8203</v>
      </c>
      <c r="L12" s="54" t="n">
        <f aca="false">IFERROR((('Survey Data Input'!B5*'Tool-wise Attainment'!L6)+('Survey Data Input'!B6*'Tool-wise Attainment'!L7)+('Survey Data Input'!B7*'Tool-wise Attainment'!L8)+('Survey Data Input'!B8*'Tool-wise Attainment'!L9)+('Survey Data Input'!B9*'Tool-wise Attainment'!L10))/SUM('Survey Data Input'!B5:B9),0)</f>
        <v>0.7829</v>
      </c>
      <c r="M12" s="54" t="n">
        <f aca="false">IFERROR((('Survey Data Input'!B5*'Tool-wise Attainment'!M6)+('Survey Data Input'!B6*'Tool-wise Attainment'!M7)+('Survey Data Input'!B7*'Tool-wise Attainment'!M8)+('Survey Data Input'!B8*'Tool-wise Attainment'!M9)+('Survey Data Input'!B9*'Tool-wise Attainment'!M10))/SUM('Survey Data Input'!B5:B9),0)</f>
        <v>0.6194</v>
      </c>
      <c r="N12" s="54" t="n">
        <f aca="false">IFERROR((('Survey Data Input'!B5*'Tool-wise Attainment'!N6)+('Survey Data Input'!B6*'Tool-wise Attainment'!N7)+('Survey Data Input'!B7*'Tool-wise Attainment'!N8)+('Survey Data Input'!B8*'Tool-wise Attainment'!N9)+('Survey Data Input'!B9*'Tool-wise Attainment'!N10))/SUM('Survey Data Input'!B5:B9),0)</f>
        <v>0.7576</v>
      </c>
      <c r="O12" s="54" t="n">
        <f aca="false">IFERROR((('Survey Data Input'!B5*'Tool-wise Attainment'!O6)+('Survey Data Input'!B6*'Tool-wise Attainment'!O7)+('Survey Data Input'!B7*'Tool-wise Attainment'!O8)+('Survey Data Input'!B8*'Tool-wise Attainment'!O9)+('Survey Data Input'!B9*'Tool-wise Attainment'!O10))/SUM('Survey Data Input'!B5:B9),0)</f>
        <v>0.7518</v>
      </c>
      <c r="P12" s="54" t="n">
        <f aca="false">IFERROR((('Survey Data Input'!B5*'Tool-wise Attainment'!P6)+('Survey Data Input'!B6*'Tool-wise Attainment'!P7)+('Survey Data Input'!B7*'Tool-wise Attainment'!P8)+('Survey Data Input'!B8*'Tool-wise Attainment'!P9)+('Survey Data Input'!B9*'Tool-wise Attainment'!P10))/SUM('Survey Data Input'!B5:B9),0)</f>
        <v>0.7237</v>
      </c>
      <c r="Q12" s="55" t="n">
        <f aca="false">IFERROR((('Survey Data Input'!B5*'Tool-wise Attainment'!Q6)+('Survey Data Input'!B6*'Tool-wise Attainment'!Q7)+('Survey Data Input'!B7*'Tool-wise Attainment'!Q8)+('Survey Data Input'!B8*'Tool-wise Attainment'!Q9)+('Survey Data Input'!B9*'Tool-wise Attainment'!Q10))/SUM('Survey Data Input'!B5:B9),0)</f>
        <v>0.7028</v>
      </c>
      <c r="R12" s="55" t="n">
        <f aca="false">IFERROR((('Survey Data Input'!B5*'Tool-wise Attainment'!R6)+('Survey Data Input'!B6*'Tool-wise Attainment'!R7)+('Survey Data Input'!B7*'Tool-wise Attainment'!R8)+('Survey Data Input'!B8*'Tool-wise Attainment'!R9)+('Survey Data Input'!B9*'Tool-wise Attainment'!R10))/SUM('Survey Data Input'!B5:B9),0)</f>
        <v>0.8234</v>
      </c>
      <c r="S12" s="55" t="n">
        <f aca="false">IFERROR((('Survey Data Input'!B5*'Tool-wise Attainment'!S6)+('Survey Data Input'!B6*'Tool-wise Attainment'!S7)+('Survey Data Input'!B7*'Tool-wise Attainment'!S8)+('Survey Data Input'!B8*'Tool-wise Attainment'!S9)+('Survey Data Input'!B9*'Tool-wise Attainment'!S10))/SUM('Survey Data Input'!B5:B9),0)</f>
        <v>0.742</v>
      </c>
    </row>
    <row r="13" customFormat="false" ht="21.75" hidden="false" customHeight="true" outlineLevel="0" collapsed="false">
      <c r="A13" s="56" t="s">
        <v>82</v>
      </c>
      <c r="B13" s="56"/>
      <c r="C13" s="56"/>
      <c r="D13" s="56"/>
      <c r="E13" s="26" t="n">
        <f aca="false">IF(E12&gt;=0.6,3,IF(E12&gt;=0.4,2,1))</f>
        <v>3</v>
      </c>
      <c r="F13" s="26" t="n">
        <f aca="false">IF(F12&gt;=0.6,3,IF(F12&gt;=0.4,2,1))</f>
        <v>3</v>
      </c>
      <c r="G13" s="26" t="n">
        <f aca="false">IF(G12&gt;=0.6,3,IF(G12&gt;=0.4,2,1))</f>
        <v>3</v>
      </c>
      <c r="H13" s="26" t="n">
        <f aca="false">IF(H12&gt;=0.6,3,IF(H12&gt;=0.4,2,1))</f>
        <v>3</v>
      </c>
      <c r="I13" s="26" t="n">
        <f aca="false">IF(I12&gt;=0.6,3,IF(I12&gt;=0.4,2,1))</f>
        <v>3</v>
      </c>
      <c r="J13" s="26" t="n">
        <f aca="false">IF(J12&gt;=0.6,3,IF(J12&gt;=0.4,2,1))</f>
        <v>3</v>
      </c>
      <c r="K13" s="26" t="n">
        <f aca="false">IF(K12&gt;=0.6,3,IF(K12&gt;=0.4,2,1))</f>
        <v>3</v>
      </c>
      <c r="L13" s="26" t="n">
        <f aca="false">IF(L12&gt;=0.6,3,IF(L12&gt;=0.4,2,1))</f>
        <v>3</v>
      </c>
      <c r="M13" s="26" t="n">
        <f aca="false">IF(M12&gt;=0.6,3,IF(M12&gt;=0.4,2,1))</f>
        <v>3</v>
      </c>
      <c r="N13" s="26" t="n">
        <f aca="false">IF(N12&gt;=0.6,3,IF(N12&gt;=0.4,2,1))</f>
        <v>3</v>
      </c>
      <c r="O13" s="26" t="n">
        <f aca="false">IF(O12&gt;=0.6,3,IF(O12&gt;=0.4,2,1))</f>
        <v>3</v>
      </c>
      <c r="P13" s="26" t="n">
        <f aca="false">IF(P12&gt;=0.6,3,IF(P12&gt;=0.4,2,1))</f>
        <v>3</v>
      </c>
      <c r="Q13" s="57" t="n">
        <f aca="false">IF(Q12&gt;=0.6,3,IF(Q12&gt;=0.4,2,1))</f>
        <v>3</v>
      </c>
      <c r="R13" s="57" t="n">
        <f aca="false">IF(R12&gt;=0.6,3,IF(R12&gt;=0.4,2,1))</f>
        <v>3</v>
      </c>
      <c r="S13" s="57" t="n">
        <f aca="false">IF(S12&gt;=0.6,3,IF(S12&gt;=0.4,2,1))</f>
        <v>3</v>
      </c>
    </row>
    <row r="14" customFormat="false" ht="19.5" hidden="false" customHeight="true" outlineLevel="0" collapsed="false">
      <c r="A14" s="58" t="s">
        <v>83</v>
      </c>
      <c r="B14" s="58"/>
      <c r="C14" s="58"/>
      <c r="D14" s="58"/>
      <c r="E14" s="43" t="n">
        <v>0.6</v>
      </c>
      <c r="F14" s="43" t="n">
        <v>0.6</v>
      </c>
      <c r="G14" s="43" t="n">
        <v>0.6</v>
      </c>
      <c r="H14" s="43" t="n">
        <v>0.6</v>
      </c>
      <c r="I14" s="43" t="n">
        <v>0.6</v>
      </c>
      <c r="J14" s="43" t="n">
        <v>0.6</v>
      </c>
      <c r="K14" s="43" t="n">
        <v>0.6</v>
      </c>
      <c r="L14" s="43" t="n">
        <v>0.6</v>
      </c>
      <c r="M14" s="43" t="n">
        <v>0.6</v>
      </c>
      <c r="N14" s="43" t="n">
        <v>0.6</v>
      </c>
      <c r="O14" s="43" t="n">
        <v>0.6</v>
      </c>
      <c r="P14" s="43" t="n">
        <v>0.6</v>
      </c>
      <c r="Q14" s="43" t="n">
        <v>0.6</v>
      </c>
      <c r="R14" s="43" t="n">
        <v>0.6</v>
      </c>
      <c r="S14" s="43" t="n">
        <v>0.6</v>
      </c>
    </row>
    <row r="15" customFormat="false" ht="19.5" hidden="false" customHeight="true" outlineLevel="0" collapsed="false">
      <c r="A15" s="58" t="s">
        <v>84</v>
      </c>
      <c r="B15" s="58"/>
      <c r="C15" s="58"/>
      <c r="D15" s="58"/>
      <c r="E15" s="44" t="n">
        <f aca="false">E12-E14</f>
        <v>0.1508</v>
      </c>
      <c r="F15" s="44" t="n">
        <f aca="false">F12-F14</f>
        <v>0.1809</v>
      </c>
      <c r="G15" s="44" t="n">
        <f aca="false">G12-G14</f>
        <v>0.1671</v>
      </c>
      <c r="H15" s="44" t="n">
        <f aca="false">H12-H14</f>
        <v>0.2307</v>
      </c>
      <c r="I15" s="44" t="n">
        <f aca="false">I12-I14</f>
        <v>0.146</v>
      </c>
      <c r="J15" s="44" t="n">
        <f aca="false">J12-J14</f>
        <v>0.1936</v>
      </c>
      <c r="K15" s="44" t="n">
        <f aca="false">K12-K14</f>
        <v>0.2203</v>
      </c>
      <c r="L15" s="44" t="n">
        <f aca="false">L12-L14</f>
        <v>0.1829</v>
      </c>
      <c r="M15" s="44" t="n">
        <f aca="false">M12-M14</f>
        <v>0.0194000000000001</v>
      </c>
      <c r="N15" s="44" t="n">
        <f aca="false">N12-N14</f>
        <v>0.1576</v>
      </c>
      <c r="O15" s="44" t="n">
        <f aca="false">O12-O14</f>
        <v>0.1518</v>
      </c>
      <c r="P15" s="44" t="n">
        <f aca="false">P12-P14</f>
        <v>0.1237</v>
      </c>
      <c r="Q15" s="44" t="n">
        <f aca="false">Q12-Q14</f>
        <v>0.1028</v>
      </c>
      <c r="R15" s="44" t="n">
        <f aca="false">R12-R14</f>
        <v>0.2234</v>
      </c>
      <c r="S15" s="44" t="n">
        <f aca="false">S12-S14</f>
        <v>0.142</v>
      </c>
    </row>
    <row r="16" customFormat="false" ht="19.5" hidden="false" customHeight="true" outlineLevel="0" collapsed="false">
      <c r="A16" s="58" t="s">
        <v>85</v>
      </c>
      <c r="B16" s="58"/>
      <c r="C16" s="58"/>
      <c r="D16" s="58"/>
      <c r="E16" s="59" t="str">
        <f aca="false">IF(E12&gt;=E14,"✔","✘")</f>
        <v>✔</v>
      </c>
      <c r="F16" s="59" t="str">
        <f aca="false">IF(F12&gt;=F14,"✔","✘")</f>
        <v>✔</v>
      </c>
      <c r="G16" s="59" t="str">
        <f aca="false">IF(G12&gt;=G14,"✔","✘")</f>
        <v>✔</v>
      </c>
      <c r="H16" s="59" t="str">
        <f aca="false">IF(H12&gt;=H14,"✔","✘")</f>
        <v>✔</v>
      </c>
      <c r="I16" s="59" t="str">
        <f aca="false">IF(I12&gt;=I14,"✔","✘")</f>
        <v>✔</v>
      </c>
      <c r="J16" s="59" t="str">
        <f aca="false">IF(J12&gt;=J14,"✔","✘")</f>
        <v>✔</v>
      </c>
      <c r="K16" s="59" t="str">
        <f aca="false">IF(K12&gt;=K14,"✔","✘")</f>
        <v>✔</v>
      </c>
      <c r="L16" s="59" t="str">
        <f aca="false">IF(L12&gt;=L14,"✔","✘")</f>
        <v>✔</v>
      </c>
      <c r="M16" s="59" t="str">
        <f aca="false">IF(M12&gt;=M14,"✔","✘")</f>
        <v>✔</v>
      </c>
      <c r="N16" s="59" t="str">
        <f aca="false">IF(N12&gt;=N14,"✔","✘")</f>
        <v>✔</v>
      </c>
      <c r="O16" s="59" t="str">
        <f aca="false">IF(O12&gt;=O14,"✔","✘")</f>
        <v>✔</v>
      </c>
      <c r="P16" s="59" t="str">
        <f aca="false">IF(P12&gt;=P14,"✔","✘")</f>
        <v>✔</v>
      </c>
      <c r="Q16" s="59" t="str">
        <f aca="false">IF(Q12&gt;=Q14,"✔","✘")</f>
        <v>✔</v>
      </c>
      <c r="R16" s="59" t="str">
        <f aca="false">IF(R12&gt;=R14,"✔","✘")</f>
        <v>✔</v>
      </c>
      <c r="S16" s="59" t="str">
        <f aca="false">IF(S12&gt;=S14,"✔","✘")</f>
        <v>✔</v>
      </c>
    </row>
  </sheetData>
  <mergeCells count="13">
    <mergeCell ref="A1:S1"/>
    <mergeCell ref="A2:S2"/>
    <mergeCell ref="A4:A5"/>
    <mergeCell ref="B4:B5"/>
    <mergeCell ref="C4:C5"/>
    <mergeCell ref="D4:D5"/>
    <mergeCell ref="E4:P4"/>
    <mergeCell ref="Q4:S4"/>
    <mergeCell ref="A12:C12"/>
    <mergeCell ref="A13:D13"/>
    <mergeCell ref="A14:D14"/>
    <mergeCell ref="A15:D1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39.7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87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A4" s="4" t="s">
        <v>88</v>
      </c>
      <c r="B4" s="4" t="s">
        <v>68</v>
      </c>
      <c r="C4" s="4" t="s">
        <v>89</v>
      </c>
      <c r="D4" s="4" t="s">
        <v>56</v>
      </c>
      <c r="E4" s="4"/>
      <c r="F4" s="4"/>
      <c r="G4" s="4"/>
      <c r="H4" s="4"/>
    </row>
    <row r="5" customFormat="false" ht="18" hidden="false" customHeight="true" outlineLevel="0" collapsed="false">
      <c r="A5" s="60" t="s">
        <v>90</v>
      </c>
      <c r="B5" s="51" t="n">
        <v>0.2</v>
      </c>
      <c r="C5" s="61" t="n">
        <v>5</v>
      </c>
      <c r="D5" s="62" t="s">
        <v>91</v>
      </c>
      <c r="E5" s="62"/>
      <c r="F5" s="62"/>
      <c r="G5" s="62"/>
      <c r="H5" s="62"/>
    </row>
    <row r="6" customFormat="false" ht="18" hidden="false" customHeight="true" outlineLevel="0" collapsed="false">
      <c r="A6" s="60" t="s">
        <v>92</v>
      </c>
      <c r="B6" s="51" t="n">
        <v>0.25</v>
      </c>
      <c r="C6" s="61" t="n">
        <v>5</v>
      </c>
      <c r="D6" s="62" t="s">
        <v>93</v>
      </c>
      <c r="E6" s="62"/>
      <c r="F6" s="62"/>
      <c r="G6" s="62"/>
      <c r="H6" s="62"/>
    </row>
    <row r="7" customFormat="false" ht="18" hidden="false" customHeight="true" outlineLevel="0" collapsed="false">
      <c r="A7" s="60" t="s">
        <v>94</v>
      </c>
      <c r="B7" s="51" t="n">
        <v>0.2</v>
      </c>
      <c r="C7" s="61" t="n">
        <v>5</v>
      </c>
      <c r="D7" s="62" t="s">
        <v>95</v>
      </c>
      <c r="E7" s="62"/>
      <c r="F7" s="62"/>
      <c r="G7" s="62"/>
      <c r="H7" s="62"/>
    </row>
    <row r="8" customFormat="false" ht="18" hidden="false" customHeight="true" outlineLevel="0" collapsed="false">
      <c r="A8" s="60" t="s">
        <v>96</v>
      </c>
      <c r="B8" s="51" t="n">
        <v>0.2</v>
      </c>
      <c r="C8" s="61" t="n">
        <v>5</v>
      </c>
      <c r="D8" s="62" t="s">
        <v>97</v>
      </c>
      <c r="E8" s="62"/>
      <c r="F8" s="62"/>
      <c r="G8" s="62"/>
      <c r="H8" s="62"/>
    </row>
    <row r="9" customFormat="false" ht="18" hidden="false" customHeight="true" outlineLevel="0" collapsed="false">
      <c r="A9" s="60" t="s">
        <v>98</v>
      </c>
      <c r="B9" s="51" t="n">
        <v>0.15</v>
      </c>
      <c r="C9" s="61" t="n">
        <v>5</v>
      </c>
      <c r="D9" s="62" t="s">
        <v>99</v>
      </c>
      <c r="E9" s="62"/>
      <c r="F9" s="62"/>
      <c r="G9" s="62"/>
      <c r="H9" s="62"/>
    </row>
    <row r="10" customFormat="false" ht="18" hidden="false" customHeight="true" outlineLevel="0" collapsed="false">
      <c r="A10" s="63" t="s">
        <v>100</v>
      </c>
      <c r="B10" s="64" t="n">
        <f aca="false">SUM(B5:B9)</f>
        <v>1</v>
      </c>
    </row>
    <row r="12" customFormat="false" ht="27.75" hidden="false" customHeight="true" outlineLevel="0" collapsed="false">
      <c r="A12" s="35" t="s">
        <v>101</v>
      </c>
      <c r="B12" s="35"/>
      <c r="C12" s="35"/>
      <c r="D12" s="35"/>
      <c r="E12" s="35"/>
      <c r="F12" s="35"/>
      <c r="G12" s="35"/>
      <c r="H12" s="35"/>
    </row>
    <row r="13" customFormat="false" ht="19.5" hidden="false" customHeight="true" outlineLevel="0" collapsed="false">
      <c r="A13" s="65" t="s">
        <v>55</v>
      </c>
      <c r="B13" s="65" t="s">
        <v>56</v>
      </c>
      <c r="C13" s="65" t="s">
        <v>102</v>
      </c>
      <c r="D13" s="65" t="s">
        <v>103</v>
      </c>
      <c r="E13" s="65" t="s">
        <v>104</v>
      </c>
      <c r="F13" s="65" t="s">
        <v>14</v>
      </c>
      <c r="G13" s="65" t="s">
        <v>105</v>
      </c>
      <c r="H13" s="65" t="s">
        <v>106</v>
      </c>
    </row>
    <row r="14" customFormat="false" ht="18" hidden="false" customHeight="true" outlineLevel="0" collapsed="false">
      <c r="A14" s="5" t="s">
        <v>17</v>
      </c>
      <c r="B14" s="39" t="s">
        <v>18</v>
      </c>
      <c r="C14" s="66" t="n">
        <v>85</v>
      </c>
      <c r="D14" s="67" t="n">
        <v>4.4</v>
      </c>
      <c r="E14" s="68" t="n">
        <f aca="false">IFERROR(D14/C5,0)</f>
        <v>0.88</v>
      </c>
      <c r="F14" s="69" t="n">
        <f aca="false">IF(E14&gt;=0.6,3,IF(E14&gt;=0.4,2,1))</f>
        <v>3</v>
      </c>
      <c r="G14" s="70" t="str">
        <f aca="false">IF(E14&gt;=0.6,"✔ Yes","✘ No")</f>
        <v>✔ Yes</v>
      </c>
      <c r="H14" s="61"/>
    </row>
    <row r="15" customFormat="false" ht="18" hidden="false" customHeight="true" outlineLevel="0" collapsed="false">
      <c r="A15" s="5" t="s">
        <v>19</v>
      </c>
      <c r="B15" s="45" t="s">
        <v>20</v>
      </c>
      <c r="C15" s="66" t="n">
        <v>93</v>
      </c>
      <c r="D15" s="67" t="n">
        <v>3.45</v>
      </c>
      <c r="E15" s="68" t="n">
        <f aca="false">IFERROR(D15/C5,0)</f>
        <v>0.69</v>
      </c>
      <c r="F15" s="69" t="n">
        <f aca="false">IF(E15&gt;=0.6,3,IF(E15&gt;=0.4,2,1))</f>
        <v>3</v>
      </c>
      <c r="G15" s="70" t="str">
        <f aca="false">IF(E15&gt;=0.6,"✔ Yes","✘ No")</f>
        <v>✔ Yes</v>
      </c>
      <c r="H15" s="71"/>
    </row>
    <row r="16" customFormat="false" ht="18" hidden="false" customHeight="true" outlineLevel="0" collapsed="false">
      <c r="A16" s="5" t="s">
        <v>21</v>
      </c>
      <c r="B16" s="39" t="s">
        <v>22</v>
      </c>
      <c r="C16" s="66" t="n">
        <v>113</v>
      </c>
      <c r="D16" s="67" t="n">
        <v>3.28</v>
      </c>
      <c r="E16" s="68" t="n">
        <f aca="false">IFERROR(D16/C5,0)</f>
        <v>0.656</v>
      </c>
      <c r="F16" s="69" t="n">
        <f aca="false">IF(E16&gt;=0.6,3,IF(E16&gt;=0.4,2,1))</f>
        <v>3</v>
      </c>
      <c r="G16" s="70" t="str">
        <f aca="false">IF(E16&gt;=0.6,"✔ Yes","✘ No")</f>
        <v>✔ Yes</v>
      </c>
      <c r="H16" s="61"/>
    </row>
    <row r="17" customFormat="false" ht="18" hidden="false" customHeight="true" outlineLevel="0" collapsed="false">
      <c r="A17" s="5" t="s">
        <v>23</v>
      </c>
      <c r="B17" s="45" t="s">
        <v>24</v>
      </c>
      <c r="C17" s="66" t="n">
        <v>40</v>
      </c>
      <c r="D17" s="67" t="n">
        <v>4.45</v>
      </c>
      <c r="E17" s="68" t="n">
        <f aca="false">IFERROR(D17/C5,0)</f>
        <v>0.89</v>
      </c>
      <c r="F17" s="69" t="n">
        <f aca="false">IF(E17&gt;=0.6,3,IF(E17&gt;=0.4,2,1))</f>
        <v>3</v>
      </c>
      <c r="G17" s="70" t="str">
        <f aca="false">IF(E17&gt;=0.6,"✔ Yes","✘ No")</f>
        <v>✔ Yes</v>
      </c>
      <c r="H17" s="71"/>
    </row>
    <row r="18" customFormat="false" ht="18" hidden="false" customHeight="true" outlineLevel="0" collapsed="false">
      <c r="A18" s="5" t="s">
        <v>25</v>
      </c>
      <c r="B18" s="39" t="s">
        <v>26</v>
      </c>
      <c r="C18" s="66" t="n">
        <v>47</v>
      </c>
      <c r="D18" s="67" t="n">
        <v>3.03</v>
      </c>
      <c r="E18" s="68" t="n">
        <f aca="false">IFERROR(D18/C5,0)</f>
        <v>0.606</v>
      </c>
      <c r="F18" s="69" t="n">
        <f aca="false">IF(E18&gt;=0.6,3,IF(E18&gt;=0.4,2,1))</f>
        <v>3</v>
      </c>
      <c r="G18" s="70" t="str">
        <f aca="false">IF(E18&gt;=0.6,"✔ Yes","✘ No")</f>
        <v>✔ Yes</v>
      </c>
      <c r="H18" s="61"/>
    </row>
    <row r="19" customFormat="false" ht="18" hidden="false" customHeight="true" outlineLevel="0" collapsed="false">
      <c r="A19" s="5" t="s">
        <v>27</v>
      </c>
      <c r="B19" s="45" t="s">
        <v>28</v>
      </c>
      <c r="C19" s="66" t="n">
        <v>101</v>
      </c>
      <c r="D19" s="67" t="n">
        <v>3.75</v>
      </c>
      <c r="E19" s="68" t="n">
        <f aca="false">IFERROR(D19/C5,0)</f>
        <v>0.75</v>
      </c>
      <c r="F19" s="69" t="n">
        <f aca="false">IF(E19&gt;=0.6,3,IF(E19&gt;=0.4,2,1))</f>
        <v>3</v>
      </c>
      <c r="G19" s="70" t="str">
        <f aca="false">IF(E19&gt;=0.6,"✔ Yes","✘ No")</f>
        <v>✔ Yes</v>
      </c>
      <c r="H19" s="71"/>
    </row>
    <row r="20" customFormat="false" ht="18" hidden="false" customHeight="true" outlineLevel="0" collapsed="false">
      <c r="A20" s="5" t="s">
        <v>29</v>
      </c>
      <c r="B20" s="39" t="s">
        <v>30</v>
      </c>
      <c r="C20" s="66" t="n">
        <v>58</v>
      </c>
      <c r="D20" s="67" t="n">
        <v>3.92</v>
      </c>
      <c r="E20" s="68" t="n">
        <f aca="false">IFERROR(D20/C5,0)</f>
        <v>0.784</v>
      </c>
      <c r="F20" s="69" t="n">
        <f aca="false">IF(E20&gt;=0.6,3,IF(E20&gt;=0.4,2,1))</f>
        <v>3</v>
      </c>
      <c r="G20" s="70" t="str">
        <f aca="false">IF(E20&gt;=0.6,"✔ Yes","✘ No")</f>
        <v>✔ Yes</v>
      </c>
      <c r="H20" s="61"/>
    </row>
    <row r="21" customFormat="false" ht="18" hidden="false" customHeight="true" outlineLevel="0" collapsed="false">
      <c r="A21" s="5" t="s">
        <v>31</v>
      </c>
      <c r="B21" s="45" t="s">
        <v>32</v>
      </c>
      <c r="C21" s="66" t="n">
        <v>43</v>
      </c>
      <c r="D21" s="67" t="n">
        <v>4.02</v>
      </c>
      <c r="E21" s="68" t="n">
        <f aca="false">IFERROR(D21/C5,0)</f>
        <v>0.804</v>
      </c>
      <c r="F21" s="69" t="n">
        <f aca="false">IF(E21&gt;=0.6,3,IF(E21&gt;=0.4,2,1))</f>
        <v>3</v>
      </c>
      <c r="G21" s="70" t="str">
        <f aca="false">IF(E21&gt;=0.6,"✔ Yes","✘ No")</f>
        <v>✔ Yes</v>
      </c>
      <c r="H21" s="71"/>
    </row>
    <row r="22" customFormat="false" ht="18" hidden="false" customHeight="true" outlineLevel="0" collapsed="false">
      <c r="A22" s="5" t="s">
        <v>33</v>
      </c>
      <c r="B22" s="39" t="s">
        <v>34</v>
      </c>
      <c r="C22" s="66" t="n">
        <v>41</v>
      </c>
      <c r="D22" s="67" t="n">
        <v>3.09</v>
      </c>
      <c r="E22" s="68" t="n">
        <f aca="false">IFERROR(D22/C5,0)</f>
        <v>0.618</v>
      </c>
      <c r="F22" s="69" t="n">
        <f aca="false">IF(E22&gt;=0.6,3,IF(E22&gt;=0.4,2,1))</f>
        <v>3</v>
      </c>
      <c r="G22" s="70" t="str">
        <f aca="false">IF(E22&gt;=0.6,"✔ Yes","✘ No")</f>
        <v>✔ Yes</v>
      </c>
      <c r="H22" s="61"/>
    </row>
    <row r="23" customFormat="false" ht="18" hidden="false" customHeight="true" outlineLevel="0" collapsed="false">
      <c r="A23" s="5" t="s">
        <v>35</v>
      </c>
      <c r="B23" s="45" t="s">
        <v>36</v>
      </c>
      <c r="C23" s="66" t="n">
        <v>70</v>
      </c>
      <c r="D23" s="67" t="n">
        <v>4.06</v>
      </c>
      <c r="E23" s="68" t="n">
        <f aca="false">IFERROR(D23/C5,0)</f>
        <v>0.812</v>
      </c>
      <c r="F23" s="69" t="n">
        <f aca="false">IF(E23&gt;=0.6,3,IF(E23&gt;=0.4,2,1))</f>
        <v>3</v>
      </c>
      <c r="G23" s="70" t="str">
        <f aca="false">IF(E23&gt;=0.6,"✔ Yes","✘ No")</f>
        <v>✔ Yes</v>
      </c>
      <c r="H23" s="71"/>
    </row>
    <row r="24" customFormat="false" ht="18" hidden="false" customHeight="true" outlineLevel="0" collapsed="false">
      <c r="A24" s="5" t="s">
        <v>37</v>
      </c>
      <c r="B24" s="39" t="s">
        <v>38</v>
      </c>
      <c r="C24" s="66" t="n">
        <v>51</v>
      </c>
      <c r="D24" s="67" t="n">
        <v>3.8</v>
      </c>
      <c r="E24" s="68" t="n">
        <f aca="false">IFERROR(D24/C5,0)</f>
        <v>0.76</v>
      </c>
      <c r="F24" s="69" t="n">
        <f aca="false">IF(E24&gt;=0.6,3,IF(E24&gt;=0.4,2,1))</f>
        <v>3</v>
      </c>
      <c r="G24" s="70" t="str">
        <f aca="false">IF(E24&gt;=0.6,"✔ Yes","✘ No")</f>
        <v>✔ Yes</v>
      </c>
      <c r="H24" s="61"/>
    </row>
    <row r="25" customFormat="false" ht="18" hidden="false" customHeight="true" outlineLevel="0" collapsed="false">
      <c r="A25" s="5" t="s">
        <v>39</v>
      </c>
      <c r="B25" s="45" t="s">
        <v>40</v>
      </c>
      <c r="C25" s="66" t="n">
        <v>99</v>
      </c>
      <c r="D25" s="67" t="n">
        <v>4.5</v>
      </c>
      <c r="E25" s="68" t="n">
        <f aca="false">IFERROR(D25/C5,0)</f>
        <v>0.9</v>
      </c>
      <c r="F25" s="69" t="n">
        <f aca="false">IF(E25&gt;=0.6,3,IF(E25&gt;=0.4,2,1))</f>
        <v>3</v>
      </c>
      <c r="G25" s="70" t="str">
        <f aca="false">IF(E25&gt;=0.6,"✔ Yes","✘ No")</f>
        <v>✔ Yes</v>
      </c>
      <c r="H25" s="71"/>
    </row>
    <row r="26" customFormat="false" ht="18" hidden="false" customHeight="true" outlineLevel="0" collapsed="false">
      <c r="A26" s="7" t="s">
        <v>41</v>
      </c>
      <c r="B26" s="39" t="s">
        <v>42</v>
      </c>
      <c r="C26" s="66" t="n">
        <v>54</v>
      </c>
      <c r="D26" s="67" t="n">
        <v>2.86</v>
      </c>
      <c r="E26" s="68" t="n">
        <f aca="false">IFERROR(D26/C5,0)</f>
        <v>0.572</v>
      </c>
      <c r="F26" s="69" t="n">
        <f aca="false">IF(E26&gt;=0.6,3,IF(E26&gt;=0.4,2,1))</f>
        <v>2</v>
      </c>
      <c r="G26" s="70" t="str">
        <f aca="false">IF(E26&gt;=0.6,"✔ Yes","✘ No")</f>
        <v>✘ No</v>
      </c>
      <c r="H26" s="61"/>
    </row>
    <row r="27" customFormat="false" ht="18" hidden="false" customHeight="true" outlineLevel="0" collapsed="false">
      <c r="A27" s="7" t="s">
        <v>43</v>
      </c>
      <c r="B27" s="45" t="s">
        <v>44</v>
      </c>
      <c r="C27" s="66" t="n">
        <v>89</v>
      </c>
      <c r="D27" s="67" t="n">
        <v>4.71</v>
      </c>
      <c r="E27" s="68" t="n">
        <f aca="false">IFERROR(D27/C5,0)</f>
        <v>0.942</v>
      </c>
      <c r="F27" s="69" t="n">
        <f aca="false">IF(E27&gt;=0.6,3,IF(E27&gt;=0.4,2,1))</f>
        <v>3</v>
      </c>
      <c r="G27" s="70" t="str">
        <f aca="false">IF(E27&gt;=0.6,"✔ Yes","✘ No")</f>
        <v>✔ Yes</v>
      </c>
      <c r="H27" s="71"/>
    </row>
    <row r="28" customFormat="false" ht="18" hidden="false" customHeight="true" outlineLevel="0" collapsed="false">
      <c r="A28" s="7" t="s">
        <v>45</v>
      </c>
      <c r="B28" s="39" t="s">
        <v>46</v>
      </c>
      <c r="C28" s="66" t="n">
        <v>100</v>
      </c>
      <c r="D28" s="67" t="n">
        <v>3.15</v>
      </c>
      <c r="E28" s="68" t="n">
        <f aca="false">IFERROR(D28/C5,0)</f>
        <v>0.63</v>
      </c>
      <c r="F28" s="69" t="n">
        <f aca="false">IF(E28&gt;=0.6,3,IF(E28&gt;=0.4,2,1))</f>
        <v>3</v>
      </c>
      <c r="G28" s="70" t="str">
        <f aca="false">IF(E28&gt;=0.6,"✔ Yes","✘ No")</f>
        <v>✔ Yes</v>
      </c>
      <c r="H28" s="61"/>
    </row>
    <row r="29" customFormat="false" ht="7.5" hidden="false" customHeight="true" outlineLevel="0" collapsed="false"/>
    <row r="31" customFormat="false" ht="27.75" hidden="false" customHeight="true" outlineLevel="0" collapsed="false">
      <c r="A31" s="50" t="s">
        <v>107</v>
      </c>
      <c r="B31" s="50"/>
      <c r="C31" s="50"/>
      <c r="D31" s="50"/>
      <c r="E31" s="50"/>
      <c r="F31" s="50"/>
      <c r="G31" s="50"/>
      <c r="H31" s="50"/>
    </row>
    <row r="32" customFormat="false" ht="19.5" hidden="false" customHeight="true" outlineLevel="0" collapsed="false">
      <c r="A32" s="65" t="s">
        <v>55</v>
      </c>
      <c r="B32" s="65" t="s">
        <v>56</v>
      </c>
      <c r="C32" s="65" t="s">
        <v>102</v>
      </c>
      <c r="D32" s="65" t="s">
        <v>103</v>
      </c>
      <c r="E32" s="65" t="s">
        <v>104</v>
      </c>
      <c r="F32" s="65" t="s">
        <v>14</v>
      </c>
      <c r="G32" s="65" t="s">
        <v>105</v>
      </c>
      <c r="H32" s="65" t="s">
        <v>106</v>
      </c>
    </row>
    <row r="33" customFormat="false" ht="18" hidden="false" customHeight="true" outlineLevel="0" collapsed="false">
      <c r="A33" s="5" t="s">
        <v>17</v>
      </c>
      <c r="B33" s="39" t="s">
        <v>18</v>
      </c>
      <c r="C33" s="66" t="n">
        <v>53</v>
      </c>
      <c r="D33" s="67" t="n">
        <v>4.43</v>
      </c>
      <c r="E33" s="68" t="n">
        <f aca="false">IFERROR(D33/C6,0)</f>
        <v>0.886</v>
      </c>
      <c r="F33" s="69" t="n">
        <f aca="false">IF(E33&gt;=0.6,3,IF(E33&gt;=0.4,2,1))</f>
        <v>3</v>
      </c>
      <c r="G33" s="70" t="str">
        <f aca="false">IF(E33&gt;=0.6,"✔ Yes","✘ No")</f>
        <v>✔ Yes</v>
      </c>
      <c r="H33" s="61"/>
    </row>
    <row r="34" customFormat="false" ht="18" hidden="false" customHeight="true" outlineLevel="0" collapsed="false">
      <c r="A34" s="5" t="s">
        <v>19</v>
      </c>
      <c r="B34" s="45" t="s">
        <v>20</v>
      </c>
      <c r="C34" s="66" t="n">
        <v>57</v>
      </c>
      <c r="D34" s="67" t="n">
        <v>3.81</v>
      </c>
      <c r="E34" s="68" t="n">
        <f aca="false">IFERROR(D34/C6,0)</f>
        <v>0.762</v>
      </c>
      <c r="F34" s="69" t="n">
        <f aca="false">IF(E34&gt;=0.6,3,IF(E34&gt;=0.4,2,1))</f>
        <v>3</v>
      </c>
      <c r="G34" s="70" t="str">
        <f aca="false">IF(E34&gt;=0.6,"✔ Yes","✘ No")</f>
        <v>✔ Yes</v>
      </c>
      <c r="H34" s="71"/>
    </row>
    <row r="35" customFormat="false" ht="18" hidden="false" customHeight="true" outlineLevel="0" collapsed="false">
      <c r="A35" s="5" t="s">
        <v>21</v>
      </c>
      <c r="B35" s="39" t="s">
        <v>22</v>
      </c>
      <c r="C35" s="66" t="n">
        <v>70</v>
      </c>
      <c r="D35" s="67" t="n">
        <v>4.47</v>
      </c>
      <c r="E35" s="68" t="n">
        <f aca="false">IFERROR(D35/C6,0)</f>
        <v>0.894</v>
      </c>
      <c r="F35" s="69" t="n">
        <f aca="false">IF(E35&gt;=0.6,3,IF(E35&gt;=0.4,2,1))</f>
        <v>3</v>
      </c>
      <c r="G35" s="70" t="str">
        <f aca="false">IF(E35&gt;=0.6,"✔ Yes","✘ No")</f>
        <v>✔ Yes</v>
      </c>
      <c r="H35" s="61"/>
    </row>
    <row r="36" customFormat="false" ht="18" hidden="false" customHeight="true" outlineLevel="0" collapsed="false">
      <c r="A36" s="5" t="s">
        <v>23</v>
      </c>
      <c r="B36" s="45" t="s">
        <v>24</v>
      </c>
      <c r="C36" s="66" t="n">
        <v>73</v>
      </c>
      <c r="D36" s="67" t="n">
        <v>3.17</v>
      </c>
      <c r="E36" s="68" t="n">
        <f aca="false">IFERROR(D36/C6,0)</f>
        <v>0.634</v>
      </c>
      <c r="F36" s="69" t="n">
        <f aca="false">IF(E36&gt;=0.6,3,IF(E36&gt;=0.4,2,1))</f>
        <v>3</v>
      </c>
      <c r="G36" s="70" t="str">
        <f aca="false">IF(E36&gt;=0.6,"✔ Yes","✘ No")</f>
        <v>✔ Yes</v>
      </c>
      <c r="H36" s="71"/>
    </row>
    <row r="37" customFormat="false" ht="18" hidden="false" customHeight="true" outlineLevel="0" collapsed="false">
      <c r="A37" s="5" t="s">
        <v>25</v>
      </c>
      <c r="B37" s="39" t="s">
        <v>26</v>
      </c>
      <c r="C37" s="66" t="n">
        <v>66</v>
      </c>
      <c r="D37" s="67" t="n">
        <v>3.44</v>
      </c>
      <c r="E37" s="68" t="n">
        <f aca="false">IFERROR(D37/C6,0)</f>
        <v>0.688</v>
      </c>
      <c r="F37" s="69" t="n">
        <f aca="false">IF(E37&gt;=0.6,3,IF(E37&gt;=0.4,2,1))</f>
        <v>3</v>
      </c>
      <c r="G37" s="70" t="str">
        <f aca="false">IF(E37&gt;=0.6,"✔ Yes","✘ No")</f>
        <v>✔ Yes</v>
      </c>
      <c r="H37" s="61"/>
    </row>
    <row r="38" customFormat="false" ht="18" hidden="false" customHeight="true" outlineLevel="0" collapsed="false">
      <c r="A38" s="5" t="s">
        <v>27</v>
      </c>
      <c r="B38" s="45" t="s">
        <v>28</v>
      </c>
      <c r="C38" s="66" t="n">
        <v>51</v>
      </c>
      <c r="D38" s="67" t="n">
        <v>2.97</v>
      </c>
      <c r="E38" s="68" t="n">
        <f aca="false">IFERROR(D38/C6,0)</f>
        <v>0.594</v>
      </c>
      <c r="F38" s="69" t="n">
        <f aca="false">IF(E38&gt;=0.6,3,IF(E38&gt;=0.4,2,1))</f>
        <v>2</v>
      </c>
      <c r="G38" s="70" t="str">
        <f aca="false">IF(E38&gt;=0.6,"✔ Yes","✘ No")</f>
        <v>✘ No</v>
      </c>
      <c r="H38" s="71"/>
    </row>
    <row r="39" customFormat="false" ht="18" hidden="false" customHeight="true" outlineLevel="0" collapsed="false">
      <c r="A39" s="5" t="s">
        <v>29</v>
      </c>
      <c r="B39" s="39" t="s">
        <v>30</v>
      </c>
      <c r="C39" s="66" t="n">
        <v>60</v>
      </c>
      <c r="D39" s="67" t="n">
        <v>4.36</v>
      </c>
      <c r="E39" s="68" t="n">
        <f aca="false">IFERROR(D39/C6,0)</f>
        <v>0.872</v>
      </c>
      <c r="F39" s="69" t="n">
        <f aca="false">IF(E39&gt;=0.6,3,IF(E39&gt;=0.4,2,1))</f>
        <v>3</v>
      </c>
      <c r="G39" s="70" t="str">
        <f aca="false">IF(E39&gt;=0.6,"✔ Yes","✘ No")</f>
        <v>✔ Yes</v>
      </c>
      <c r="H39" s="61"/>
    </row>
    <row r="40" customFormat="false" ht="18" hidden="false" customHeight="true" outlineLevel="0" collapsed="false">
      <c r="A40" s="5" t="s">
        <v>31</v>
      </c>
      <c r="B40" s="45" t="s">
        <v>32</v>
      </c>
      <c r="C40" s="66" t="n">
        <v>61</v>
      </c>
      <c r="D40" s="67" t="n">
        <v>3.87</v>
      </c>
      <c r="E40" s="68" t="n">
        <f aca="false">IFERROR(D40/C6,0)</f>
        <v>0.774</v>
      </c>
      <c r="F40" s="69" t="n">
        <f aca="false">IF(E40&gt;=0.6,3,IF(E40&gt;=0.4,2,1))</f>
        <v>3</v>
      </c>
      <c r="G40" s="70" t="str">
        <f aca="false">IF(E40&gt;=0.6,"✔ Yes","✘ No")</f>
        <v>✔ Yes</v>
      </c>
      <c r="H40" s="71"/>
    </row>
    <row r="41" customFormat="false" ht="18" hidden="false" customHeight="true" outlineLevel="0" collapsed="false">
      <c r="A41" s="5" t="s">
        <v>33</v>
      </c>
      <c r="B41" s="39" t="s">
        <v>34</v>
      </c>
      <c r="C41" s="66" t="n">
        <v>59</v>
      </c>
      <c r="D41" s="67" t="n">
        <v>3.21</v>
      </c>
      <c r="E41" s="68" t="n">
        <f aca="false">IFERROR(D41/C6,0)</f>
        <v>0.642</v>
      </c>
      <c r="F41" s="69" t="n">
        <f aca="false">IF(E41&gt;=0.6,3,IF(E41&gt;=0.4,2,1))</f>
        <v>3</v>
      </c>
      <c r="G41" s="70" t="str">
        <f aca="false">IF(E41&gt;=0.6,"✔ Yes","✘ No")</f>
        <v>✔ Yes</v>
      </c>
      <c r="H41" s="61"/>
    </row>
    <row r="42" customFormat="false" ht="18" hidden="false" customHeight="true" outlineLevel="0" collapsed="false">
      <c r="A42" s="5" t="s">
        <v>35</v>
      </c>
      <c r="B42" s="45" t="s">
        <v>36</v>
      </c>
      <c r="C42" s="66" t="n">
        <v>43</v>
      </c>
      <c r="D42" s="67" t="n">
        <v>3.18</v>
      </c>
      <c r="E42" s="68" t="n">
        <f aca="false">IFERROR(D42/C6,0)</f>
        <v>0.636</v>
      </c>
      <c r="F42" s="69" t="n">
        <f aca="false">IF(E42&gt;=0.6,3,IF(E42&gt;=0.4,2,1))</f>
        <v>3</v>
      </c>
      <c r="G42" s="70" t="str">
        <f aca="false">IF(E42&gt;=0.6,"✔ Yes","✘ No")</f>
        <v>✔ Yes</v>
      </c>
      <c r="H42" s="71"/>
    </row>
    <row r="43" customFormat="false" ht="18" hidden="false" customHeight="true" outlineLevel="0" collapsed="false">
      <c r="A43" s="5" t="s">
        <v>37</v>
      </c>
      <c r="B43" s="39" t="s">
        <v>38</v>
      </c>
      <c r="C43" s="66" t="n">
        <v>46</v>
      </c>
      <c r="D43" s="67" t="n">
        <v>2.96</v>
      </c>
      <c r="E43" s="68" t="n">
        <f aca="false">IFERROR(D43/C6,0)</f>
        <v>0.592</v>
      </c>
      <c r="F43" s="69" t="n">
        <f aca="false">IF(E43&gt;=0.6,3,IF(E43&gt;=0.4,2,1))</f>
        <v>2</v>
      </c>
      <c r="G43" s="70" t="str">
        <f aca="false">IF(E43&gt;=0.6,"✔ Yes","✘ No")</f>
        <v>✘ No</v>
      </c>
      <c r="H43" s="61"/>
    </row>
    <row r="44" customFormat="false" ht="18" hidden="false" customHeight="true" outlineLevel="0" collapsed="false">
      <c r="A44" s="5" t="s">
        <v>39</v>
      </c>
      <c r="B44" s="45" t="s">
        <v>40</v>
      </c>
      <c r="C44" s="66" t="n">
        <v>69</v>
      </c>
      <c r="D44" s="67" t="n">
        <v>3.2</v>
      </c>
      <c r="E44" s="68" t="n">
        <f aca="false">IFERROR(D44/C6,0)</f>
        <v>0.64</v>
      </c>
      <c r="F44" s="69" t="n">
        <f aca="false">IF(E44&gt;=0.6,3,IF(E44&gt;=0.4,2,1))</f>
        <v>3</v>
      </c>
      <c r="G44" s="70" t="str">
        <f aca="false">IF(E44&gt;=0.6,"✔ Yes","✘ No")</f>
        <v>✔ Yes</v>
      </c>
      <c r="H44" s="71"/>
    </row>
    <row r="45" customFormat="false" ht="18" hidden="false" customHeight="true" outlineLevel="0" collapsed="false">
      <c r="A45" s="7" t="s">
        <v>41</v>
      </c>
      <c r="B45" s="39" t="s">
        <v>42</v>
      </c>
      <c r="C45" s="66" t="n">
        <v>104</v>
      </c>
      <c r="D45" s="67" t="n">
        <v>3.92</v>
      </c>
      <c r="E45" s="68" t="n">
        <f aca="false">IFERROR(D45/C6,0)</f>
        <v>0.784</v>
      </c>
      <c r="F45" s="69" t="n">
        <f aca="false">IF(E45&gt;=0.6,3,IF(E45&gt;=0.4,2,1))</f>
        <v>3</v>
      </c>
      <c r="G45" s="70" t="str">
        <f aca="false">IF(E45&gt;=0.6,"✔ Yes","✘ No")</f>
        <v>✔ Yes</v>
      </c>
      <c r="H45" s="61"/>
    </row>
    <row r="46" customFormat="false" ht="18" hidden="false" customHeight="true" outlineLevel="0" collapsed="false">
      <c r="A46" s="7" t="s">
        <v>43</v>
      </c>
      <c r="B46" s="45" t="s">
        <v>44</v>
      </c>
      <c r="C46" s="66" t="n">
        <v>88</v>
      </c>
      <c r="D46" s="67" t="n">
        <v>3.68</v>
      </c>
      <c r="E46" s="68" t="n">
        <f aca="false">IFERROR(D46/C6,0)</f>
        <v>0.736</v>
      </c>
      <c r="F46" s="69" t="n">
        <f aca="false">IF(E46&gt;=0.6,3,IF(E46&gt;=0.4,2,1))</f>
        <v>3</v>
      </c>
      <c r="G46" s="70" t="str">
        <f aca="false">IF(E46&gt;=0.6,"✔ Yes","✘ No")</f>
        <v>✔ Yes</v>
      </c>
      <c r="H46" s="71"/>
    </row>
    <row r="47" customFormat="false" ht="18" hidden="false" customHeight="true" outlineLevel="0" collapsed="false">
      <c r="A47" s="7" t="s">
        <v>45</v>
      </c>
      <c r="B47" s="39" t="s">
        <v>46</v>
      </c>
      <c r="C47" s="66" t="n">
        <v>113</v>
      </c>
      <c r="D47" s="67" t="n">
        <v>4.21</v>
      </c>
      <c r="E47" s="68" t="n">
        <f aca="false">IFERROR(D47/C6,0)</f>
        <v>0.842</v>
      </c>
      <c r="F47" s="69" t="n">
        <f aca="false">IF(E47&gt;=0.6,3,IF(E47&gt;=0.4,2,1))</f>
        <v>3</v>
      </c>
      <c r="G47" s="70" t="str">
        <f aca="false">IF(E47&gt;=0.6,"✔ Yes","✘ No")</f>
        <v>✔ Yes</v>
      </c>
      <c r="H47" s="61"/>
    </row>
    <row r="48" customFormat="false" ht="7.5" hidden="false" customHeight="true" outlineLevel="0" collapsed="false"/>
    <row r="50" customFormat="false" ht="27.75" hidden="false" customHeight="true" outlineLevel="0" collapsed="false">
      <c r="A50" s="35" t="s">
        <v>108</v>
      </c>
      <c r="B50" s="35"/>
      <c r="C50" s="35"/>
      <c r="D50" s="35"/>
      <c r="E50" s="35"/>
      <c r="F50" s="35"/>
      <c r="G50" s="35"/>
      <c r="H50" s="35"/>
    </row>
    <row r="51" customFormat="false" ht="19.5" hidden="false" customHeight="true" outlineLevel="0" collapsed="false">
      <c r="A51" s="65" t="s">
        <v>55</v>
      </c>
      <c r="B51" s="65" t="s">
        <v>56</v>
      </c>
      <c r="C51" s="65" t="s">
        <v>102</v>
      </c>
      <c r="D51" s="65" t="s">
        <v>103</v>
      </c>
      <c r="E51" s="65" t="s">
        <v>104</v>
      </c>
      <c r="F51" s="65" t="s">
        <v>14</v>
      </c>
      <c r="G51" s="65" t="s">
        <v>105</v>
      </c>
      <c r="H51" s="65" t="s">
        <v>106</v>
      </c>
    </row>
    <row r="52" customFormat="false" ht="18" hidden="false" customHeight="true" outlineLevel="0" collapsed="false">
      <c r="A52" s="5" t="s">
        <v>17</v>
      </c>
      <c r="B52" s="39" t="s">
        <v>18</v>
      </c>
      <c r="C52" s="66" t="n">
        <v>116</v>
      </c>
      <c r="D52" s="67" t="n">
        <v>2.95</v>
      </c>
      <c r="E52" s="68" t="n">
        <f aca="false">IFERROR(D52/C7,0)</f>
        <v>0.59</v>
      </c>
      <c r="F52" s="69" t="n">
        <f aca="false">IF(E52&gt;=0.6,3,IF(E52&gt;=0.4,2,1))</f>
        <v>2</v>
      </c>
      <c r="G52" s="70" t="str">
        <f aca="false">IF(E52&gt;=0.6,"✔ Yes","✘ No")</f>
        <v>✘ No</v>
      </c>
      <c r="H52" s="61"/>
    </row>
    <row r="53" customFormat="false" ht="18" hidden="false" customHeight="true" outlineLevel="0" collapsed="false">
      <c r="A53" s="5" t="s">
        <v>19</v>
      </c>
      <c r="B53" s="45" t="s">
        <v>20</v>
      </c>
      <c r="C53" s="66" t="n">
        <v>93</v>
      </c>
      <c r="D53" s="67" t="n">
        <v>4.48</v>
      </c>
      <c r="E53" s="68" t="n">
        <f aca="false">IFERROR(D53/C7,0)</f>
        <v>0.896</v>
      </c>
      <c r="F53" s="69" t="n">
        <f aca="false">IF(E53&gt;=0.6,3,IF(E53&gt;=0.4,2,1))</f>
        <v>3</v>
      </c>
      <c r="G53" s="70" t="str">
        <f aca="false">IF(E53&gt;=0.6,"✔ Yes","✘ No")</f>
        <v>✔ Yes</v>
      </c>
      <c r="H53" s="71"/>
    </row>
    <row r="54" customFormat="false" ht="18" hidden="false" customHeight="true" outlineLevel="0" collapsed="false">
      <c r="A54" s="5" t="s">
        <v>21</v>
      </c>
      <c r="B54" s="39" t="s">
        <v>22</v>
      </c>
      <c r="C54" s="66" t="n">
        <v>102</v>
      </c>
      <c r="D54" s="67" t="n">
        <v>4.76</v>
      </c>
      <c r="E54" s="68" t="n">
        <f aca="false">IFERROR(D54/C7,0)</f>
        <v>0.952</v>
      </c>
      <c r="F54" s="69" t="n">
        <f aca="false">IF(E54&gt;=0.6,3,IF(E54&gt;=0.4,2,1))</f>
        <v>3</v>
      </c>
      <c r="G54" s="70" t="str">
        <f aca="false">IF(E54&gt;=0.6,"✔ Yes","✘ No")</f>
        <v>✔ Yes</v>
      </c>
      <c r="H54" s="61"/>
    </row>
    <row r="55" customFormat="false" ht="18" hidden="false" customHeight="true" outlineLevel="0" collapsed="false">
      <c r="A55" s="5" t="s">
        <v>23</v>
      </c>
      <c r="B55" s="45" t="s">
        <v>24</v>
      </c>
      <c r="C55" s="66" t="n">
        <v>104</v>
      </c>
      <c r="D55" s="67" t="n">
        <v>4.28</v>
      </c>
      <c r="E55" s="68" t="n">
        <f aca="false">IFERROR(D55/C7,0)</f>
        <v>0.856</v>
      </c>
      <c r="F55" s="69" t="n">
        <f aca="false">IF(E55&gt;=0.6,3,IF(E55&gt;=0.4,2,1))</f>
        <v>3</v>
      </c>
      <c r="G55" s="70" t="str">
        <f aca="false">IF(E55&gt;=0.6,"✔ Yes","✘ No")</f>
        <v>✔ Yes</v>
      </c>
      <c r="H55" s="71"/>
    </row>
    <row r="56" customFormat="false" ht="18" hidden="false" customHeight="true" outlineLevel="0" collapsed="false">
      <c r="A56" s="5" t="s">
        <v>25</v>
      </c>
      <c r="B56" s="39" t="s">
        <v>26</v>
      </c>
      <c r="C56" s="66" t="n">
        <v>74</v>
      </c>
      <c r="D56" s="67" t="n">
        <v>4.29</v>
      </c>
      <c r="E56" s="68" t="n">
        <f aca="false">IFERROR(D56/C7,0)</f>
        <v>0.858</v>
      </c>
      <c r="F56" s="69" t="n">
        <f aca="false">IF(E56&gt;=0.6,3,IF(E56&gt;=0.4,2,1))</f>
        <v>3</v>
      </c>
      <c r="G56" s="70" t="str">
        <f aca="false">IF(E56&gt;=0.6,"✔ Yes","✘ No")</f>
        <v>✔ Yes</v>
      </c>
      <c r="H56" s="61"/>
    </row>
    <row r="57" customFormat="false" ht="18" hidden="false" customHeight="true" outlineLevel="0" collapsed="false">
      <c r="A57" s="5" t="s">
        <v>27</v>
      </c>
      <c r="B57" s="45" t="s">
        <v>28</v>
      </c>
      <c r="C57" s="66" t="n">
        <v>116</v>
      </c>
      <c r="D57" s="67" t="n">
        <v>4.5</v>
      </c>
      <c r="E57" s="68" t="n">
        <f aca="false">IFERROR(D57/C7,0)</f>
        <v>0.9</v>
      </c>
      <c r="F57" s="69" t="n">
        <f aca="false">IF(E57&gt;=0.6,3,IF(E57&gt;=0.4,2,1))</f>
        <v>3</v>
      </c>
      <c r="G57" s="70" t="str">
        <f aca="false">IF(E57&gt;=0.6,"✔ Yes","✘ No")</f>
        <v>✔ Yes</v>
      </c>
      <c r="H57" s="71"/>
    </row>
    <row r="58" customFormat="false" ht="18" hidden="false" customHeight="true" outlineLevel="0" collapsed="false">
      <c r="A58" s="5" t="s">
        <v>29</v>
      </c>
      <c r="B58" s="39" t="s">
        <v>30</v>
      </c>
      <c r="C58" s="66" t="n">
        <v>53</v>
      </c>
      <c r="D58" s="67" t="n">
        <v>2.99</v>
      </c>
      <c r="E58" s="68" t="n">
        <f aca="false">IFERROR(D58/C7,0)</f>
        <v>0.598</v>
      </c>
      <c r="F58" s="69" t="n">
        <f aca="false">IF(E58&gt;=0.6,3,IF(E58&gt;=0.4,2,1))</f>
        <v>2</v>
      </c>
      <c r="G58" s="70" t="str">
        <f aca="false">IF(E58&gt;=0.6,"✔ Yes","✘ No")</f>
        <v>✘ No</v>
      </c>
      <c r="H58" s="61"/>
    </row>
    <row r="59" customFormat="false" ht="18" hidden="false" customHeight="true" outlineLevel="0" collapsed="false">
      <c r="A59" s="5" t="s">
        <v>31</v>
      </c>
      <c r="B59" s="45" t="s">
        <v>32</v>
      </c>
      <c r="C59" s="66" t="n">
        <v>100</v>
      </c>
      <c r="D59" s="67" t="n">
        <v>3.72</v>
      </c>
      <c r="E59" s="68" t="n">
        <f aca="false">IFERROR(D59/C7,0)</f>
        <v>0.744</v>
      </c>
      <c r="F59" s="69" t="n">
        <f aca="false">IF(E59&gt;=0.6,3,IF(E59&gt;=0.4,2,1))</f>
        <v>3</v>
      </c>
      <c r="G59" s="70" t="str">
        <f aca="false">IF(E59&gt;=0.6,"✔ Yes","✘ No")</f>
        <v>✔ Yes</v>
      </c>
      <c r="H59" s="71"/>
    </row>
    <row r="60" customFormat="false" ht="18" hidden="false" customHeight="true" outlineLevel="0" collapsed="false">
      <c r="A60" s="5" t="s">
        <v>33</v>
      </c>
      <c r="B60" s="39" t="s">
        <v>34</v>
      </c>
      <c r="C60" s="66" t="n">
        <v>119</v>
      </c>
      <c r="D60" s="67" t="n">
        <v>2.96</v>
      </c>
      <c r="E60" s="68" t="n">
        <f aca="false">IFERROR(D60/C7,0)</f>
        <v>0.592</v>
      </c>
      <c r="F60" s="69" t="n">
        <f aca="false">IF(E60&gt;=0.6,3,IF(E60&gt;=0.4,2,1))</f>
        <v>2</v>
      </c>
      <c r="G60" s="70" t="str">
        <f aca="false">IF(E60&gt;=0.6,"✔ Yes","✘ No")</f>
        <v>✘ No</v>
      </c>
      <c r="H60" s="61"/>
    </row>
    <row r="61" customFormat="false" ht="18" hidden="false" customHeight="true" outlineLevel="0" collapsed="false">
      <c r="A61" s="5" t="s">
        <v>35</v>
      </c>
      <c r="B61" s="45" t="s">
        <v>36</v>
      </c>
      <c r="C61" s="66" t="n">
        <v>93</v>
      </c>
      <c r="D61" s="67" t="n">
        <v>4.36</v>
      </c>
      <c r="E61" s="68" t="n">
        <f aca="false">IFERROR(D61/C7,0)</f>
        <v>0.872</v>
      </c>
      <c r="F61" s="69" t="n">
        <f aca="false">IF(E61&gt;=0.6,3,IF(E61&gt;=0.4,2,1))</f>
        <v>3</v>
      </c>
      <c r="G61" s="70" t="str">
        <f aca="false">IF(E61&gt;=0.6,"✔ Yes","✘ No")</f>
        <v>✔ Yes</v>
      </c>
      <c r="H61" s="71"/>
    </row>
    <row r="62" customFormat="false" ht="18" hidden="false" customHeight="true" outlineLevel="0" collapsed="false">
      <c r="A62" s="5" t="s">
        <v>37</v>
      </c>
      <c r="B62" s="39" t="s">
        <v>38</v>
      </c>
      <c r="C62" s="66" t="n">
        <v>77</v>
      </c>
      <c r="D62" s="67" t="n">
        <v>3.88</v>
      </c>
      <c r="E62" s="68" t="n">
        <f aca="false">IFERROR(D62/C7,0)</f>
        <v>0.776</v>
      </c>
      <c r="F62" s="69" t="n">
        <f aca="false">IF(E62&gt;=0.6,3,IF(E62&gt;=0.4,2,1))</f>
        <v>3</v>
      </c>
      <c r="G62" s="70" t="str">
        <f aca="false">IF(E62&gt;=0.6,"✔ Yes","✘ No")</f>
        <v>✔ Yes</v>
      </c>
      <c r="H62" s="61"/>
    </row>
    <row r="63" customFormat="false" ht="18" hidden="false" customHeight="true" outlineLevel="0" collapsed="false">
      <c r="A63" s="5" t="s">
        <v>39</v>
      </c>
      <c r="B63" s="45" t="s">
        <v>40</v>
      </c>
      <c r="C63" s="66" t="n">
        <v>109</v>
      </c>
      <c r="D63" s="67" t="n">
        <v>3.01</v>
      </c>
      <c r="E63" s="68" t="n">
        <f aca="false">IFERROR(D63/C7,0)</f>
        <v>0.602</v>
      </c>
      <c r="F63" s="69" t="n">
        <f aca="false">IF(E63&gt;=0.6,3,IF(E63&gt;=0.4,2,1))</f>
        <v>3</v>
      </c>
      <c r="G63" s="70" t="str">
        <f aca="false">IF(E63&gt;=0.6,"✔ Yes","✘ No")</f>
        <v>✔ Yes</v>
      </c>
      <c r="H63" s="71"/>
    </row>
    <row r="64" customFormat="false" ht="18" hidden="false" customHeight="true" outlineLevel="0" collapsed="false">
      <c r="A64" s="7" t="s">
        <v>41</v>
      </c>
      <c r="B64" s="39" t="s">
        <v>42</v>
      </c>
      <c r="C64" s="66" t="n">
        <v>75</v>
      </c>
      <c r="D64" s="67" t="n">
        <v>3.69</v>
      </c>
      <c r="E64" s="68" t="n">
        <f aca="false">IFERROR(D64/C7,0)</f>
        <v>0.738</v>
      </c>
      <c r="F64" s="69" t="n">
        <f aca="false">IF(E64&gt;=0.6,3,IF(E64&gt;=0.4,2,1))</f>
        <v>3</v>
      </c>
      <c r="G64" s="70" t="str">
        <f aca="false">IF(E64&gt;=0.6,"✔ Yes","✘ No")</f>
        <v>✔ Yes</v>
      </c>
      <c r="H64" s="61"/>
    </row>
    <row r="65" customFormat="false" ht="18" hidden="false" customHeight="true" outlineLevel="0" collapsed="false">
      <c r="A65" s="7" t="s">
        <v>43</v>
      </c>
      <c r="B65" s="45" t="s">
        <v>44</v>
      </c>
      <c r="C65" s="66" t="n">
        <v>76</v>
      </c>
      <c r="D65" s="67" t="n">
        <v>4.35</v>
      </c>
      <c r="E65" s="68" t="n">
        <f aca="false">IFERROR(D65/C7,0)</f>
        <v>0.87</v>
      </c>
      <c r="F65" s="69" t="n">
        <f aca="false">IF(E65&gt;=0.6,3,IF(E65&gt;=0.4,2,1))</f>
        <v>3</v>
      </c>
      <c r="G65" s="70" t="str">
        <f aca="false">IF(E65&gt;=0.6,"✔ Yes","✘ No")</f>
        <v>✔ Yes</v>
      </c>
      <c r="H65" s="71"/>
    </row>
    <row r="66" customFormat="false" ht="18" hidden="false" customHeight="true" outlineLevel="0" collapsed="false">
      <c r="A66" s="7" t="s">
        <v>45</v>
      </c>
      <c r="B66" s="39" t="s">
        <v>46</v>
      </c>
      <c r="C66" s="66" t="n">
        <v>98</v>
      </c>
      <c r="D66" s="67" t="n">
        <v>3.9</v>
      </c>
      <c r="E66" s="68" t="n">
        <f aca="false">IFERROR(D66/C7,0)</f>
        <v>0.78</v>
      </c>
      <c r="F66" s="69" t="n">
        <f aca="false">IF(E66&gt;=0.6,3,IF(E66&gt;=0.4,2,1))</f>
        <v>3</v>
      </c>
      <c r="G66" s="70" t="str">
        <f aca="false">IF(E66&gt;=0.6,"✔ Yes","✘ No")</f>
        <v>✔ Yes</v>
      </c>
      <c r="H66" s="61"/>
    </row>
    <row r="67" customFormat="false" ht="7.5" hidden="false" customHeight="true" outlineLevel="0" collapsed="false"/>
    <row r="69" customFormat="false" ht="27.75" hidden="false" customHeight="true" outlineLevel="0" collapsed="false">
      <c r="A69" s="50" t="s">
        <v>109</v>
      </c>
      <c r="B69" s="50"/>
      <c r="C69" s="50"/>
      <c r="D69" s="50"/>
      <c r="E69" s="50"/>
      <c r="F69" s="50"/>
      <c r="G69" s="50"/>
      <c r="H69" s="50"/>
    </row>
    <row r="70" customFormat="false" ht="19.5" hidden="false" customHeight="true" outlineLevel="0" collapsed="false">
      <c r="A70" s="65" t="s">
        <v>55</v>
      </c>
      <c r="B70" s="65" t="s">
        <v>56</v>
      </c>
      <c r="C70" s="65" t="s">
        <v>102</v>
      </c>
      <c r="D70" s="65" t="s">
        <v>103</v>
      </c>
      <c r="E70" s="65" t="s">
        <v>104</v>
      </c>
      <c r="F70" s="65" t="s">
        <v>14</v>
      </c>
      <c r="G70" s="65" t="s">
        <v>105</v>
      </c>
      <c r="H70" s="65" t="s">
        <v>106</v>
      </c>
    </row>
    <row r="71" customFormat="false" ht="18" hidden="false" customHeight="true" outlineLevel="0" collapsed="false">
      <c r="A71" s="5" t="s">
        <v>17</v>
      </c>
      <c r="B71" s="39" t="s">
        <v>18</v>
      </c>
      <c r="C71" s="66" t="n">
        <v>64</v>
      </c>
      <c r="D71" s="67" t="n">
        <v>3.04</v>
      </c>
      <c r="E71" s="68" t="n">
        <f aca="false">IFERROR(D71/C8,0)</f>
        <v>0.608</v>
      </c>
      <c r="F71" s="69" t="n">
        <f aca="false">IF(E71&gt;=0.6,3,IF(E71&gt;=0.4,2,1))</f>
        <v>3</v>
      </c>
      <c r="G71" s="70" t="str">
        <f aca="false">IF(E71&gt;=0.6,"✔ Yes","✘ No")</f>
        <v>✔ Yes</v>
      </c>
      <c r="H71" s="61"/>
    </row>
    <row r="72" customFormat="false" ht="18" hidden="false" customHeight="true" outlineLevel="0" collapsed="false">
      <c r="A72" s="5" t="s">
        <v>19</v>
      </c>
      <c r="B72" s="45" t="s">
        <v>20</v>
      </c>
      <c r="C72" s="66" t="n">
        <v>42</v>
      </c>
      <c r="D72" s="67" t="n">
        <v>4.67</v>
      </c>
      <c r="E72" s="68" t="n">
        <f aca="false">IFERROR(D72/C8,0)</f>
        <v>0.934</v>
      </c>
      <c r="F72" s="69" t="n">
        <f aca="false">IF(E72&gt;=0.6,3,IF(E72&gt;=0.4,2,1))</f>
        <v>3</v>
      </c>
      <c r="G72" s="70" t="str">
        <f aca="false">IF(E72&gt;=0.6,"✔ Yes","✘ No")</f>
        <v>✔ Yes</v>
      </c>
      <c r="H72" s="71"/>
    </row>
    <row r="73" customFormat="false" ht="18" hidden="false" customHeight="true" outlineLevel="0" collapsed="false">
      <c r="A73" s="5" t="s">
        <v>21</v>
      </c>
      <c r="B73" s="39" t="s">
        <v>22</v>
      </c>
      <c r="C73" s="66" t="n">
        <v>115</v>
      </c>
      <c r="D73" s="67" t="n">
        <v>2.91</v>
      </c>
      <c r="E73" s="68" t="n">
        <f aca="false">IFERROR(D73/C8,0)</f>
        <v>0.582</v>
      </c>
      <c r="F73" s="69" t="n">
        <f aca="false">IF(E73&gt;=0.6,3,IF(E73&gt;=0.4,2,1))</f>
        <v>2</v>
      </c>
      <c r="G73" s="70" t="str">
        <f aca="false">IF(E73&gt;=0.6,"✔ Yes","✘ No")</f>
        <v>✘ No</v>
      </c>
      <c r="H73" s="61"/>
    </row>
    <row r="74" customFormat="false" ht="18" hidden="false" customHeight="true" outlineLevel="0" collapsed="false">
      <c r="A74" s="5" t="s">
        <v>23</v>
      </c>
      <c r="B74" s="45" t="s">
        <v>24</v>
      </c>
      <c r="C74" s="66" t="n">
        <v>102</v>
      </c>
      <c r="D74" s="67" t="n">
        <v>4.49</v>
      </c>
      <c r="E74" s="68" t="n">
        <f aca="false">IFERROR(D74/C8,0)</f>
        <v>0.898</v>
      </c>
      <c r="F74" s="69" t="n">
        <f aca="false">IF(E74&gt;=0.6,3,IF(E74&gt;=0.4,2,1))</f>
        <v>3</v>
      </c>
      <c r="G74" s="70" t="str">
        <f aca="false">IF(E74&gt;=0.6,"✔ Yes","✘ No")</f>
        <v>✔ Yes</v>
      </c>
      <c r="H74" s="71"/>
    </row>
    <row r="75" customFormat="false" ht="18" hidden="false" customHeight="true" outlineLevel="0" collapsed="false">
      <c r="A75" s="5" t="s">
        <v>25</v>
      </c>
      <c r="B75" s="39" t="s">
        <v>26</v>
      </c>
      <c r="C75" s="66" t="n">
        <v>49</v>
      </c>
      <c r="D75" s="67" t="n">
        <v>4.75</v>
      </c>
      <c r="E75" s="68" t="n">
        <f aca="false">IFERROR(D75/C8,0)</f>
        <v>0.95</v>
      </c>
      <c r="F75" s="69" t="n">
        <f aca="false">IF(E75&gt;=0.6,3,IF(E75&gt;=0.4,2,1))</f>
        <v>3</v>
      </c>
      <c r="G75" s="70" t="str">
        <f aca="false">IF(E75&gt;=0.6,"✔ Yes","✘ No")</f>
        <v>✔ Yes</v>
      </c>
      <c r="H75" s="61"/>
    </row>
    <row r="76" customFormat="false" ht="18" hidden="false" customHeight="true" outlineLevel="0" collapsed="false">
      <c r="A76" s="5" t="s">
        <v>27</v>
      </c>
      <c r="B76" s="45" t="s">
        <v>28</v>
      </c>
      <c r="C76" s="66" t="n">
        <v>44</v>
      </c>
      <c r="D76" s="67" t="n">
        <v>4.3</v>
      </c>
      <c r="E76" s="68" t="n">
        <f aca="false">IFERROR(D76/C8,0)</f>
        <v>0.86</v>
      </c>
      <c r="F76" s="69" t="n">
        <f aca="false">IF(E76&gt;=0.6,3,IF(E76&gt;=0.4,2,1))</f>
        <v>3</v>
      </c>
      <c r="G76" s="70" t="str">
        <f aca="false">IF(E76&gt;=0.6,"✔ Yes","✘ No")</f>
        <v>✔ Yes</v>
      </c>
      <c r="H76" s="71"/>
    </row>
    <row r="77" customFormat="false" ht="18" hidden="false" customHeight="true" outlineLevel="0" collapsed="false">
      <c r="A77" s="5" t="s">
        <v>29</v>
      </c>
      <c r="B77" s="39" t="s">
        <v>30</v>
      </c>
      <c r="C77" s="66" t="n">
        <v>42</v>
      </c>
      <c r="D77" s="67" t="n">
        <v>4.69</v>
      </c>
      <c r="E77" s="68" t="n">
        <f aca="false">IFERROR(D77/C8,0)</f>
        <v>0.938</v>
      </c>
      <c r="F77" s="69" t="n">
        <f aca="false">IF(E77&gt;=0.6,3,IF(E77&gt;=0.4,2,1))</f>
        <v>3</v>
      </c>
      <c r="G77" s="70" t="str">
        <f aca="false">IF(E77&gt;=0.6,"✔ Yes","✘ No")</f>
        <v>✔ Yes</v>
      </c>
      <c r="H77" s="61"/>
    </row>
    <row r="78" customFormat="false" ht="18" hidden="false" customHeight="true" outlineLevel="0" collapsed="false">
      <c r="A78" s="5" t="s">
        <v>31</v>
      </c>
      <c r="B78" s="45" t="s">
        <v>32</v>
      </c>
      <c r="C78" s="66" t="n">
        <v>58</v>
      </c>
      <c r="D78" s="67" t="n">
        <v>3.86</v>
      </c>
      <c r="E78" s="68" t="n">
        <f aca="false">IFERROR(D78/C8,0)</f>
        <v>0.772</v>
      </c>
      <c r="F78" s="69" t="n">
        <f aca="false">IF(E78&gt;=0.6,3,IF(E78&gt;=0.4,2,1))</f>
        <v>3</v>
      </c>
      <c r="G78" s="70" t="str">
        <f aca="false">IF(E78&gt;=0.6,"✔ Yes","✘ No")</f>
        <v>✔ Yes</v>
      </c>
      <c r="H78" s="71"/>
    </row>
    <row r="79" customFormat="false" ht="18" hidden="false" customHeight="true" outlineLevel="0" collapsed="false">
      <c r="A79" s="5" t="s">
        <v>33</v>
      </c>
      <c r="B79" s="39" t="s">
        <v>34</v>
      </c>
      <c r="C79" s="66" t="n">
        <v>41</v>
      </c>
      <c r="D79" s="67" t="n">
        <v>3.24</v>
      </c>
      <c r="E79" s="68" t="n">
        <f aca="false">IFERROR(D79/C8,0)</f>
        <v>0.648</v>
      </c>
      <c r="F79" s="69" t="n">
        <f aca="false">IF(E79&gt;=0.6,3,IF(E79&gt;=0.4,2,1))</f>
        <v>3</v>
      </c>
      <c r="G79" s="70" t="str">
        <f aca="false">IF(E79&gt;=0.6,"✔ Yes","✘ No")</f>
        <v>✔ Yes</v>
      </c>
      <c r="H79" s="61"/>
    </row>
    <row r="80" customFormat="false" ht="18" hidden="false" customHeight="true" outlineLevel="0" collapsed="false">
      <c r="A80" s="5" t="s">
        <v>35</v>
      </c>
      <c r="B80" s="45" t="s">
        <v>36</v>
      </c>
      <c r="C80" s="66" t="n">
        <v>51</v>
      </c>
      <c r="D80" s="67" t="n">
        <v>3.74</v>
      </c>
      <c r="E80" s="68" t="n">
        <f aca="false">IFERROR(D80/C8,0)</f>
        <v>0.748</v>
      </c>
      <c r="F80" s="69" t="n">
        <f aca="false">IF(E80&gt;=0.6,3,IF(E80&gt;=0.4,2,1))</f>
        <v>3</v>
      </c>
      <c r="G80" s="70" t="str">
        <f aca="false">IF(E80&gt;=0.6,"✔ Yes","✘ No")</f>
        <v>✔ Yes</v>
      </c>
      <c r="H80" s="71"/>
    </row>
    <row r="81" customFormat="false" ht="18" hidden="false" customHeight="true" outlineLevel="0" collapsed="false">
      <c r="A81" s="5" t="s">
        <v>37</v>
      </c>
      <c r="B81" s="39" t="s">
        <v>38</v>
      </c>
      <c r="C81" s="66" t="n">
        <v>53</v>
      </c>
      <c r="D81" s="67" t="n">
        <v>4.28</v>
      </c>
      <c r="E81" s="68" t="n">
        <f aca="false">IFERROR(D81/C8,0)</f>
        <v>0.856</v>
      </c>
      <c r="F81" s="69" t="n">
        <f aca="false">IF(E81&gt;=0.6,3,IF(E81&gt;=0.4,2,1))</f>
        <v>3</v>
      </c>
      <c r="G81" s="70" t="str">
        <f aca="false">IF(E81&gt;=0.6,"✔ Yes","✘ No")</f>
        <v>✔ Yes</v>
      </c>
      <c r="H81" s="61"/>
    </row>
    <row r="82" customFormat="false" ht="18" hidden="false" customHeight="true" outlineLevel="0" collapsed="false">
      <c r="A82" s="5" t="s">
        <v>39</v>
      </c>
      <c r="B82" s="45" t="s">
        <v>40</v>
      </c>
      <c r="C82" s="66" t="n">
        <v>105</v>
      </c>
      <c r="D82" s="67" t="n">
        <v>4.34</v>
      </c>
      <c r="E82" s="68" t="n">
        <f aca="false">IFERROR(D82/C8,0)</f>
        <v>0.868</v>
      </c>
      <c r="F82" s="69" t="n">
        <f aca="false">IF(E82&gt;=0.6,3,IF(E82&gt;=0.4,2,1))</f>
        <v>3</v>
      </c>
      <c r="G82" s="70" t="str">
        <f aca="false">IF(E82&gt;=0.6,"✔ Yes","✘ No")</f>
        <v>✔ Yes</v>
      </c>
      <c r="H82" s="71"/>
    </row>
    <row r="83" customFormat="false" ht="18" hidden="false" customHeight="true" outlineLevel="0" collapsed="false">
      <c r="A83" s="7" t="s">
        <v>41</v>
      </c>
      <c r="B83" s="39" t="s">
        <v>42</v>
      </c>
      <c r="C83" s="66" t="n">
        <v>66</v>
      </c>
      <c r="D83" s="67" t="n">
        <v>3.57</v>
      </c>
      <c r="E83" s="68" t="n">
        <f aca="false">IFERROR(D83/C8,0)</f>
        <v>0.714</v>
      </c>
      <c r="F83" s="69" t="n">
        <f aca="false">IF(E83&gt;=0.6,3,IF(E83&gt;=0.4,2,1))</f>
        <v>3</v>
      </c>
      <c r="G83" s="70" t="str">
        <f aca="false">IF(E83&gt;=0.6,"✔ Yes","✘ No")</f>
        <v>✔ Yes</v>
      </c>
      <c r="H83" s="61"/>
    </row>
    <row r="84" customFormat="false" ht="18" hidden="false" customHeight="true" outlineLevel="0" collapsed="false">
      <c r="A84" s="7" t="s">
        <v>43</v>
      </c>
      <c r="B84" s="45" t="s">
        <v>44</v>
      </c>
      <c r="C84" s="66" t="n">
        <v>50</v>
      </c>
      <c r="D84" s="67" t="n">
        <v>4.69</v>
      </c>
      <c r="E84" s="68" t="n">
        <f aca="false">IFERROR(D84/C8,0)</f>
        <v>0.938</v>
      </c>
      <c r="F84" s="69" t="n">
        <f aca="false">IF(E84&gt;=0.6,3,IF(E84&gt;=0.4,2,1))</f>
        <v>3</v>
      </c>
      <c r="G84" s="70" t="str">
        <f aca="false">IF(E84&gt;=0.6,"✔ Yes","✘ No")</f>
        <v>✔ Yes</v>
      </c>
      <c r="H84" s="71"/>
    </row>
    <row r="85" customFormat="false" ht="18" hidden="false" customHeight="true" outlineLevel="0" collapsed="false">
      <c r="A85" s="7" t="s">
        <v>45</v>
      </c>
      <c r="B85" s="39" t="s">
        <v>46</v>
      </c>
      <c r="C85" s="66" t="n">
        <v>94</v>
      </c>
      <c r="D85" s="67" t="n">
        <v>2.87</v>
      </c>
      <c r="E85" s="68" t="n">
        <f aca="false">IFERROR(D85/C8,0)</f>
        <v>0.574</v>
      </c>
      <c r="F85" s="69" t="n">
        <f aca="false">IF(E85&gt;=0.6,3,IF(E85&gt;=0.4,2,1))</f>
        <v>2</v>
      </c>
      <c r="G85" s="70" t="str">
        <f aca="false">IF(E85&gt;=0.6,"✔ Yes","✘ No")</f>
        <v>✘ No</v>
      </c>
      <c r="H85" s="61"/>
    </row>
    <row r="86" customFormat="false" ht="7.5" hidden="false" customHeight="true" outlineLevel="0" collapsed="false"/>
    <row r="88" customFormat="false" ht="27.75" hidden="false" customHeight="true" outlineLevel="0" collapsed="false">
      <c r="A88" s="35" t="s">
        <v>110</v>
      </c>
      <c r="B88" s="35"/>
      <c r="C88" s="35"/>
      <c r="D88" s="35"/>
      <c r="E88" s="35"/>
      <c r="F88" s="35"/>
      <c r="G88" s="35"/>
      <c r="H88" s="35"/>
    </row>
    <row r="89" customFormat="false" ht="19.5" hidden="false" customHeight="true" outlineLevel="0" collapsed="false">
      <c r="A89" s="65" t="s">
        <v>55</v>
      </c>
      <c r="B89" s="65" t="s">
        <v>56</v>
      </c>
      <c r="C89" s="65" t="s">
        <v>102</v>
      </c>
      <c r="D89" s="65" t="s">
        <v>103</v>
      </c>
      <c r="E89" s="65" t="s">
        <v>104</v>
      </c>
      <c r="F89" s="65" t="s">
        <v>14</v>
      </c>
      <c r="G89" s="65" t="s">
        <v>105</v>
      </c>
      <c r="H89" s="65" t="s">
        <v>106</v>
      </c>
    </row>
    <row r="90" customFormat="false" ht="18" hidden="false" customHeight="true" outlineLevel="0" collapsed="false">
      <c r="A90" s="5" t="s">
        <v>17</v>
      </c>
      <c r="B90" s="39" t="s">
        <v>18</v>
      </c>
      <c r="C90" s="66" t="n">
        <v>61</v>
      </c>
      <c r="D90" s="67" t="n">
        <v>3.79</v>
      </c>
      <c r="E90" s="68" t="n">
        <f aca="false">IFERROR(D90/C9,0)</f>
        <v>0.758</v>
      </c>
      <c r="F90" s="69" t="n">
        <f aca="false">IF(E90&gt;=0.6,3,IF(E90&gt;=0.4,2,1))</f>
        <v>3</v>
      </c>
      <c r="G90" s="70" t="str">
        <f aca="false">IF(E90&gt;=0.6,"✔ Yes","✘ No")</f>
        <v>✔ Yes</v>
      </c>
      <c r="H90" s="61"/>
    </row>
    <row r="91" customFormat="false" ht="18" hidden="false" customHeight="true" outlineLevel="0" collapsed="false">
      <c r="A91" s="5" t="s">
        <v>19</v>
      </c>
      <c r="B91" s="45" t="s">
        <v>20</v>
      </c>
      <c r="C91" s="66" t="n">
        <v>53</v>
      </c>
      <c r="D91" s="67" t="n">
        <v>2.88</v>
      </c>
      <c r="E91" s="68" t="n">
        <f aca="false">IFERROR(D91/C9,0)</f>
        <v>0.576</v>
      </c>
      <c r="F91" s="69" t="n">
        <f aca="false">IF(E91&gt;=0.6,3,IF(E91&gt;=0.4,2,1))</f>
        <v>2</v>
      </c>
      <c r="G91" s="70" t="str">
        <f aca="false">IF(E91&gt;=0.6,"✔ Yes","✘ No")</f>
        <v>✘ No</v>
      </c>
      <c r="H91" s="71"/>
    </row>
    <row r="92" customFormat="false" ht="18" hidden="false" customHeight="true" outlineLevel="0" collapsed="false">
      <c r="A92" s="5" t="s">
        <v>21</v>
      </c>
      <c r="B92" s="39" t="s">
        <v>22</v>
      </c>
      <c r="C92" s="66" t="n">
        <v>89</v>
      </c>
      <c r="D92" s="67" t="n">
        <v>3.52</v>
      </c>
      <c r="E92" s="68" t="n">
        <f aca="false">IFERROR(D92/C9,0)</f>
        <v>0.704</v>
      </c>
      <c r="F92" s="69" t="n">
        <f aca="false">IF(E92&gt;=0.6,3,IF(E92&gt;=0.4,2,1))</f>
        <v>3</v>
      </c>
      <c r="G92" s="70" t="str">
        <f aca="false">IF(E92&gt;=0.6,"✔ Yes","✘ No")</f>
        <v>✔ Yes</v>
      </c>
      <c r="H92" s="61"/>
    </row>
    <row r="93" customFormat="false" ht="18" hidden="false" customHeight="true" outlineLevel="0" collapsed="false">
      <c r="A93" s="5" t="s">
        <v>23</v>
      </c>
      <c r="B93" s="45" t="s">
        <v>24</v>
      </c>
      <c r="C93" s="66" t="n">
        <v>76</v>
      </c>
      <c r="D93" s="67" t="n">
        <v>4.78</v>
      </c>
      <c r="E93" s="68" t="n">
        <f aca="false">IFERROR(D93/C9,0)</f>
        <v>0.956</v>
      </c>
      <c r="F93" s="69" t="n">
        <f aca="false">IF(E93&gt;=0.6,3,IF(E93&gt;=0.4,2,1))</f>
        <v>3</v>
      </c>
      <c r="G93" s="70" t="str">
        <f aca="false">IF(E93&gt;=0.6,"✔ Yes","✘ No")</f>
        <v>✔ Yes</v>
      </c>
      <c r="H93" s="71"/>
    </row>
    <row r="94" customFormat="false" ht="18" hidden="false" customHeight="true" outlineLevel="0" collapsed="false">
      <c r="A94" s="5" t="s">
        <v>25</v>
      </c>
      <c r="B94" s="39" t="s">
        <v>26</v>
      </c>
      <c r="C94" s="66" t="n">
        <v>98</v>
      </c>
      <c r="D94" s="67" t="n">
        <v>3.04</v>
      </c>
      <c r="E94" s="68" t="n">
        <f aca="false">IFERROR(D94/C9,0)</f>
        <v>0.608</v>
      </c>
      <c r="F94" s="69" t="n">
        <f aca="false">IF(E94&gt;=0.6,3,IF(E94&gt;=0.4,2,1))</f>
        <v>3</v>
      </c>
      <c r="G94" s="70" t="str">
        <f aca="false">IF(E94&gt;=0.6,"✔ Yes","✘ No")</f>
        <v>✔ Yes</v>
      </c>
      <c r="H94" s="61"/>
    </row>
    <row r="95" customFormat="false" ht="18" hidden="false" customHeight="true" outlineLevel="0" collapsed="false">
      <c r="A95" s="5" t="s">
        <v>27</v>
      </c>
      <c r="B95" s="45" t="s">
        <v>28</v>
      </c>
      <c r="C95" s="66" t="n">
        <v>102</v>
      </c>
      <c r="D95" s="67" t="n">
        <v>4.77</v>
      </c>
      <c r="E95" s="68" t="n">
        <f aca="false">IFERROR(D95/C9,0)</f>
        <v>0.954</v>
      </c>
      <c r="F95" s="69" t="n">
        <f aca="false">IF(E95&gt;=0.6,3,IF(E95&gt;=0.4,2,1))</f>
        <v>3</v>
      </c>
      <c r="G95" s="70" t="str">
        <f aca="false">IF(E95&gt;=0.6,"✔ Yes","✘ No")</f>
        <v>✔ Yes</v>
      </c>
      <c r="H95" s="71"/>
    </row>
    <row r="96" customFormat="false" ht="18" hidden="false" customHeight="true" outlineLevel="0" collapsed="false">
      <c r="A96" s="5" t="s">
        <v>29</v>
      </c>
      <c r="B96" s="39" t="s">
        <v>30</v>
      </c>
      <c r="C96" s="66" t="n">
        <v>108</v>
      </c>
      <c r="D96" s="67" t="n">
        <v>4.61</v>
      </c>
      <c r="E96" s="68" t="n">
        <f aca="false">IFERROR(D96/C9,0)</f>
        <v>0.922</v>
      </c>
      <c r="F96" s="69" t="n">
        <f aca="false">IF(E96&gt;=0.6,3,IF(E96&gt;=0.4,2,1))</f>
        <v>3</v>
      </c>
      <c r="G96" s="70" t="str">
        <f aca="false">IF(E96&gt;=0.6,"✔ Yes","✘ No")</f>
        <v>✔ Yes</v>
      </c>
      <c r="H96" s="61"/>
    </row>
    <row r="97" customFormat="false" ht="18" hidden="false" customHeight="true" outlineLevel="0" collapsed="false">
      <c r="A97" s="5" t="s">
        <v>31</v>
      </c>
      <c r="B97" s="45" t="s">
        <v>32</v>
      </c>
      <c r="C97" s="66" t="n">
        <v>91</v>
      </c>
      <c r="D97" s="67" t="n">
        <v>4.18</v>
      </c>
      <c r="E97" s="68" t="n">
        <f aca="false">IFERROR(D97/C9,0)</f>
        <v>0.836</v>
      </c>
      <c r="F97" s="69" t="n">
        <f aca="false">IF(E97&gt;=0.6,3,IF(E97&gt;=0.4,2,1))</f>
        <v>3</v>
      </c>
      <c r="G97" s="70" t="str">
        <f aca="false">IF(E97&gt;=0.6,"✔ Yes","✘ No")</f>
        <v>✔ Yes</v>
      </c>
      <c r="H97" s="71"/>
    </row>
    <row r="98" customFormat="false" ht="18" hidden="false" customHeight="true" outlineLevel="0" collapsed="false">
      <c r="A98" s="5" t="s">
        <v>33</v>
      </c>
      <c r="B98" s="39" t="s">
        <v>34</v>
      </c>
      <c r="C98" s="66" t="n">
        <v>64</v>
      </c>
      <c r="D98" s="67" t="n">
        <v>2.91</v>
      </c>
      <c r="E98" s="68" t="n">
        <f aca="false">IFERROR(D98/C9,0)</f>
        <v>0.582</v>
      </c>
      <c r="F98" s="69" t="n">
        <f aca="false">IF(E98&gt;=0.6,3,IF(E98&gt;=0.4,2,1))</f>
        <v>2</v>
      </c>
      <c r="G98" s="70" t="str">
        <f aca="false">IF(E98&gt;=0.6,"✔ Yes","✘ No")</f>
        <v>✘ No</v>
      </c>
      <c r="H98" s="61"/>
    </row>
    <row r="99" customFormat="false" ht="18" hidden="false" customHeight="true" outlineLevel="0" collapsed="false">
      <c r="A99" s="5" t="s">
        <v>35</v>
      </c>
      <c r="B99" s="45" t="s">
        <v>36</v>
      </c>
      <c r="C99" s="66" t="n">
        <v>94</v>
      </c>
      <c r="D99" s="67" t="n">
        <v>3.74</v>
      </c>
      <c r="E99" s="68" t="n">
        <f aca="false">IFERROR(D99/C9,0)</f>
        <v>0.748</v>
      </c>
      <c r="F99" s="69" t="n">
        <f aca="false">IF(E99&gt;=0.6,3,IF(E99&gt;=0.4,2,1))</f>
        <v>3</v>
      </c>
      <c r="G99" s="70" t="str">
        <f aca="false">IF(E99&gt;=0.6,"✔ Yes","✘ No")</f>
        <v>✔ Yes</v>
      </c>
      <c r="H99" s="71"/>
    </row>
    <row r="100" customFormat="false" ht="18" hidden="false" customHeight="true" outlineLevel="0" collapsed="false">
      <c r="A100" s="5" t="s">
        <v>37</v>
      </c>
      <c r="B100" s="39" t="s">
        <v>38</v>
      </c>
      <c r="C100" s="66" t="n">
        <v>72</v>
      </c>
      <c r="D100" s="67" t="n">
        <v>4.18</v>
      </c>
      <c r="E100" s="68" t="n">
        <f aca="false">IFERROR(D100/C9,0)</f>
        <v>0.836</v>
      </c>
      <c r="F100" s="69" t="n">
        <f aca="false">IF(E100&gt;=0.6,3,IF(E100&gt;=0.4,2,1))</f>
        <v>3</v>
      </c>
      <c r="G100" s="70" t="str">
        <f aca="false">IF(E100&gt;=0.6,"✔ Yes","✘ No")</f>
        <v>✔ Yes</v>
      </c>
      <c r="H100" s="61"/>
    </row>
    <row r="101" customFormat="false" ht="18" hidden="false" customHeight="true" outlineLevel="0" collapsed="false">
      <c r="A101" s="5" t="s">
        <v>39</v>
      </c>
      <c r="B101" s="45" t="s">
        <v>40</v>
      </c>
      <c r="C101" s="66" t="n">
        <v>76</v>
      </c>
      <c r="D101" s="67" t="n">
        <v>2.99</v>
      </c>
      <c r="E101" s="68" t="n">
        <f aca="false">IFERROR(D101/C9,0)</f>
        <v>0.598</v>
      </c>
      <c r="F101" s="69" t="n">
        <f aca="false">IF(E101&gt;=0.6,3,IF(E101&gt;=0.4,2,1))</f>
        <v>2</v>
      </c>
      <c r="G101" s="70" t="str">
        <f aca="false">IF(E101&gt;=0.6,"✔ Yes","✘ No")</f>
        <v>✘ No</v>
      </c>
      <c r="H101" s="71"/>
    </row>
    <row r="102" customFormat="false" ht="18" hidden="false" customHeight="true" outlineLevel="0" collapsed="false">
      <c r="A102" s="7" t="s">
        <v>41</v>
      </c>
      <c r="B102" s="39" t="s">
        <v>42</v>
      </c>
      <c r="C102" s="66" t="n">
        <v>51</v>
      </c>
      <c r="D102" s="67" t="n">
        <v>3.4</v>
      </c>
      <c r="E102" s="68" t="n">
        <f aca="false">IFERROR(D102/C9,0)</f>
        <v>0.68</v>
      </c>
      <c r="F102" s="69" t="n">
        <f aca="false">IF(E102&gt;=0.6,3,IF(E102&gt;=0.4,2,1))</f>
        <v>3</v>
      </c>
      <c r="G102" s="70" t="str">
        <f aca="false">IF(E102&gt;=0.6,"✔ Yes","✘ No")</f>
        <v>✔ Yes</v>
      </c>
      <c r="H102" s="61"/>
    </row>
    <row r="103" customFormat="false" ht="18" hidden="false" customHeight="true" outlineLevel="0" collapsed="false">
      <c r="A103" s="7" t="s">
        <v>43</v>
      </c>
      <c r="B103" s="45" t="s">
        <v>44</v>
      </c>
      <c r="C103" s="66" t="n">
        <v>107</v>
      </c>
      <c r="D103" s="67" t="n">
        <v>2.98</v>
      </c>
      <c r="E103" s="68" t="n">
        <f aca="false">IFERROR(D103/C9,0)</f>
        <v>0.596</v>
      </c>
      <c r="F103" s="69" t="n">
        <f aca="false">IF(E103&gt;=0.6,3,IF(E103&gt;=0.4,2,1))</f>
        <v>2</v>
      </c>
      <c r="G103" s="70" t="str">
        <f aca="false">IF(E103&gt;=0.6,"✔ Yes","✘ No")</f>
        <v>✘ No</v>
      </c>
      <c r="H103" s="71"/>
    </row>
    <row r="104" customFormat="false" ht="18" hidden="false" customHeight="true" outlineLevel="0" collapsed="false">
      <c r="A104" s="7" t="s">
        <v>45</v>
      </c>
      <c r="B104" s="39" t="s">
        <v>46</v>
      </c>
      <c r="C104" s="66" t="n">
        <v>81</v>
      </c>
      <c r="D104" s="67" t="n">
        <v>4.49</v>
      </c>
      <c r="E104" s="68" t="n">
        <f aca="false">IFERROR(D104/C9,0)</f>
        <v>0.898</v>
      </c>
      <c r="F104" s="69" t="n">
        <f aca="false">IF(E104&gt;=0.6,3,IF(E104&gt;=0.4,2,1))</f>
        <v>3</v>
      </c>
      <c r="G104" s="70" t="str">
        <f aca="false">IF(E104&gt;=0.6,"✔ Yes","✘ No")</f>
        <v>✔ Yes</v>
      </c>
      <c r="H104" s="61"/>
    </row>
    <row r="105" customFormat="false" ht="7.5" hidden="false" customHeight="true" outlineLevel="0" collapsed="false"/>
  </sheetData>
  <mergeCells count="13">
    <mergeCell ref="A1:H1"/>
    <mergeCell ref="A2:H2"/>
    <mergeCell ref="D4:H4"/>
    <mergeCell ref="D5:H5"/>
    <mergeCell ref="D6:H6"/>
    <mergeCell ref="D7:H7"/>
    <mergeCell ref="D8:H8"/>
    <mergeCell ref="D9:H9"/>
    <mergeCell ref="A12:H12"/>
    <mergeCell ref="A31:H31"/>
    <mergeCell ref="A50:H50"/>
    <mergeCell ref="A69:H69"/>
    <mergeCell ref="A88:H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2026-04-25T06:45:36Z</dcterms:created>
  <dc:creator>openpyxl</dc:creator>
  <dc:description/>
  <dc:language>en-US</dc:language>
  <cp:lastModifiedBy/>
  <dcterms:modified xsi:type="dcterms:W3CDTF">2026-04-25T06:45:36Z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