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lines" sheetId="1" state="visible" r:id="rId3"/>
    <sheet name="CS301" sheetId="2" state="visible" r:id="rId4"/>
    <sheet name="CS302" sheetId="3" state="visible" r:id="rId5"/>
    <sheet name="CO-PO Mapping" sheetId="4" state="visible" r:id="rId6"/>
    <sheet name="CS303" sheetId="5" state="visible" r:id="rId7"/>
    <sheet name="Keyword Analysis" sheetId="6" state="visible" r:id="rId8"/>
    <sheet name="CS304" sheetId="7" state="visible" r:id="rId9"/>
    <sheet name="CS305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<sst xmlns="http://schemas.openxmlformats.org/spreadsheetml/2006/main" count="1004" uniqueCount="442">
  <si>
    <t xml:space="preserve">CO–PO MAPPING: KEYWORDS / ACTION VERBS METHOD  —  Auto-Calculation Workbook</t>
  </si>
  <si>
    <t xml:space="preserve">Based on: NBA OBE Guidelines  |  Method D: Keyword-Based CO–PO Mapping  |  Action verbs in CO statements determine mapping strength</t>
  </si>
  <si>
    <t xml:space="preserve">MAPPING LEVEL CRITERIA  (from CO-PO Mapping Guidelines Document — Section D: Keywords Method)</t>
  </si>
  <si>
    <t xml:space="preserve">Level</t>
  </si>
  <si>
    <t xml:space="preserve">Symbol</t>
  </si>
  <si>
    <t xml:space="preserve">Bloom's Level</t>
  </si>
  <si>
    <t xml:space="preserve">CO Keyword Match</t>
  </si>
  <si>
    <t xml:space="preserve">Meaning</t>
  </si>
  <si>
    <t xml:space="preserve">Example</t>
  </si>
  <si>
    <t xml:space="preserve">No Mapping</t>
  </si>
  <si>
    <t xml:space="preserve">—</t>
  </si>
  <si>
    <t xml:space="preserve">LOTS (1–2)</t>
  </si>
  <si>
    <t xml:space="preserve">Keywords unrelated to PO</t>
  </si>
  <si>
    <t xml:space="preserve">CO keyword has no connection to PO competency</t>
  </si>
  <si>
    <t xml:space="preserve">CO: 'List definitions of microwave components' → PO3(Design): No Mapping</t>
  </si>
  <si>
    <t xml:space="preserve">Low</t>
  </si>
  <si>
    <t xml:space="preserve">1</t>
  </si>
  <si>
    <t xml:space="preserve">Partial PO reflection through action verbs</t>
  </si>
  <si>
    <t xml:space="preserve">Small portion of PO reflected through keyword</t>
  </si>
  <si>
    <t xml:space="preserve">CO: 'Explain MATLAB tools' → PO5(Modern Tool): Low (explain is partial, not using)</t>
  </si>
  <si>
    <t xml:space="preserve">Medium</t>
  </si>
  <si>
    <t xml:space="preserve">2</t>
  </si>
  <si>
    <t xml:space="preserve">HOTS (3–4)</t>
  </si>
  <si>
    <t xml:space="preserve">Major part of PO reflected, moderate performance</t>
  </si>
  <si>
    <t xml:space="preserve">Action verb matches major PO competency</t>
  </si>
  <si>
    <t xml:space="preserve">CO: 'Analyze segmentation techniques' → PO2(Problem Analysis): Medium</t>
  </si>
  <si>
    <t xml:space="preserve">High</t>
  </si>
  <si>
    <t xml:space="preserve">3</t>
  </si>
  <si>
    <t xml:space="preserve">HOTS (5–6)</t>
  </si>
  <si>
    <t xml:space="preserve">Exact PO action verb + critical performance</t>
  </si>
  <si>
    <t xml:space="preserve">Exact keyword of PO and high-level performance expected</t>
  </si>
  <si>
    <t xml:space="preserve">CO: 'Design a digital system' → PO3(Design/Development): High</t>
  </si>
  <si>
    <t xml:space="preserve">BLOOM'S TAXONOMY — ACTION VERBS REFERENCE</t>
  </si>
  <si>
    <t xml:space="preserve">Name</t>
  </si>
  <si>
    <t xml:space="preserve">Order</t>
  </si>
  <si>
    <t xml:space="preserve">Action Verbs</t>
  </si>
  <si>
    <t xml:space="preserve">Typical Mapping</t>
  </si>
  <si>
    <t xml:space="preserve">L1</t>
  </si>
  <si>
    <t xml:space="preserve">Remember</t>
  </si>
  <si>
    <t xml:space="preserve">LOTS</t>
  </si>
  <si>
    <t xml:space="preserve">Define  |  List  |  Recall  |  State  |  Identify  |  Name  |  Label  |  Describe  |  Recognize</t>
  </si>
  <si>
    <t xml:space="preserve">Low (1) or No Map</t>
  </si>
  <si>
    <t xml:space="preserve">L2</t>
  </si>
  <si>
    <t xml:space="preserve">Understand</t>
  </si>
  <si>
    <t xml:space="preserve">Explain  |  Summarize  |  Interpret  |  Classify  |  Compare  |  Discuss  |  Paraphrase  |  Predict</t>
  </si>
  <si>
    <t xml:space="preserve">L3</t>
  </si>
  <si>
    <t xml:space="preserve">Apply</t>
  </si>
  <si>
    <t xml:space="preserve">HOTS</t>
  </si>
  <si>
    <t xml:space="preserve">Apply  |  Use  |  Implement  |  Solve  |  Demonstrate  |  Calculate  |  Execute  |  Operate</t>
  </si>
  <si>
    <t xml:space="preserve">Medium (2)</t>
  </si>
  <si>
    <t xml:space="preserve">L4</t>
  </si>
  <si>
    <t xml:space="preserve">Analyze</t>
  </si>
  <si>
    <t xml:space="preserve">Analyze  |  Differentiate  |  Examine  |  Compare  |  Contrast  |  Break down  |  Organize  |  Attribute</t>
  </si>
  <si>
    <t xml:space="preserve">L5</t>
  </si>
  <si>
    <t xml:space="preserve">Evaluate</t>
  </si>
  <si>
    <t xml:space="preserve">Evaluate  |  Assess  |  Judge  |  Justify  |  Critique  |  Test  |  Defend  |  Prioritize</t>
  </si>
  <si>
    <t xml:space="preserve">High (3)</t>
  </si>
  <si>
    <t xml:space="preserve">L6</t>
  </si>
  <si>
    <t xml:space="preserve">Create</t>
  </si>
  <si>
    <t xml:space="preserve">Design  |  Develop  |  Construct  |  Formulate  |  Produce  |  Plan  |  Create  |  Invent  |  Build</t>
  </si>
  <si>
    <t xml:space="preserve">PO KEYWORDS REFERENCE  (Key competency verbs per Programme Outcome)</t>
  </si>
  <si>
    <t xml:space="preserve">PO</t>
  </si>
  <si>
    <t xml:space="preserve">Description</t>
  </si>
  <si>
    <t xml:space="preserve">Key Matching Keywords</t>
  </si>
  <si>
    <t xml:space="preserve">PO1</t>
  </si>
  <si>
    <t xml:space="preserve">Engineering Knowledge</t>
  </si>
  <si>
    <t xml:space="preserve">Apply  |  Knowledge  |  Engineering principles  |  Fundamentals  |  Concepts</t>
  </si>
  <si>
    <t xml:space="preserve">PO2</t>
  </si>
  <si>
    <t xml:space="preserve">Problem Analysis</t>
  </si>
  <si>
    <t xml:space="preserve">Analyze  |  Problem  |  Complex  |  Investigate  |  Identify</t>
  </si>
  <si>
    <t xml:space="preserve">PO3</t>
  </si>
  <si>
    <t xml:space="preserve">Design/Development of Solutions</t>
  </si>
  <si>
    <t xml:space="preserve">Design  |  Develop  |  Construct  |  Formulate  |  Create solutions</t>
  </si>
  <si>
    <t xml:space="preserve">PO4</t>
  </si>
  <si>
    <t xml:space="preserve">Conduct Investigations</t>
  </si>
  <si>
    <t xml:space="preserve">Investigate  |  Experiment  |  Analyze data  |  Research  |  Conduct</t>
  </si>
  <si>
    <t xml:space="preserve">PO5</t>
  </si>
  <si>
    <t xml:space="preserve">Modern Tool Usage</t>
  </si>
  <si>
    <t xml:space="preserve">Use tools  |  Implement  |  Simulate  |  Modern technology  |  Software</t>
  </si>
  <si>
    <t xml:space="preserve">PO6</t>
  </si>
  <si>
    <t xml:space="preserve">The Engineer and Society</t>
  </si>
  <si>
    <t xml:space="preserve">Evaluate society  |  Social impact  |  Professional practice  |  Responsibility</t>
  </si>
  <si>
    <t xml:space="preserve">PO7</t>
  </si>
  <si>
    <t xml:space="preserve">Environment and Sustainability</t>
  </si>
  <si>
    <t xml:space="preserve">Sustainability  |  Environment  |  Green  |  Eco-friendly  |  Conservation</t>
  </si>
  <si>
    <t xml:space="preserve">PO8</t>
  </si>
  <si>
    <t xml:space="preserve">Ethics</t>
  </si>
  <si>
    <t xml:space="preserve">Ethics  |  Professional ethics  |  Integrity  |  Responsibility  |  Ethical</t>
  </si>
  <si>
    <t xml:space="preserve">PO9</t>
  </si>
  <si>
    <t xml:space="preserve">Individual and Team Work</t>
  </si>
  <si>
    <t xml:space="preserve">Teamwork  |  Collaborate  |  Individual  |  Group  |  Lead</t>
  </si>
  <si>
    <t xml:space="preserve">PO10</t>
  </si>
  <si>
    <t xml:space="preserve">Communication</t>
  </si>
  <si>
    <t xml:space="preserve">Communicate  |  Present  |  Report  |  Document  |  Write</t>
  </si>
  <si>
    <t xml:space="preserve">PO11</t>
  </si>
  <si>
    <t xml:space="preserve">Project Management and Finance</t>
  </si>
  <si>
    <t xml:space="preserve">Project management  |  Plan  |  Finance  |  Schedule  |  Budget</t>
  </si>
  <si>
    <t xml:space="preserve">PO12</t>
  </si>
  <si>
    <t xml:space="preserve">Life-long Learning</t>
  </si>
  <si>
    <t xml:space="preserve">Lifelong learning  |  Self-learn  |  Research  |  Adapt  |  Explore</t>
  </si>
  <si>
    <t xml:space="preserve">EXCEL FORMULA LOGIC USED IN THIS WORKBOOK</t>
  </si>
  <si>
    <t xml:space="preserve">Step</t>
  </si>
  <si>
    <t xml:space="preserve">Logic / Formula</t>
  </si>
  <si>
    <t xml:space="preserve">Notes</t>
  </si>
  <si>
    <t xml:space="preserve">Bloom Level Input</t>
  </si>
  <si>
    <t xml:space="preserve">Faculty enters Bloom level (1–6) in yellow cell</t>
  </si>
  <si>
    <t xml:space="preserve">Based on primary action verb in CO statement</t>
  </si>
  <si>
    <t xml:space="preserve">Keyword Match Score</t>
  </si>
  <si>
    <t xml:space="preserve">Faculty enters 0–3 per PO in yellow cell</t>
  </si>
  <si>
    <t xml:space="preserve">0=No Match, 1=Partial, 2=Major, 3=Exact match</t>
  </si>
  <si>
    <t xml:space="preserve">Mapping Level</t>
  </si>
  <si>
    <t xml:space="preserve">IF(kw_score &gt;= 4, 3,  IF(kw_score &gt;= 3, 2,  IF(kw_score &gt;= 1, 1,  0)))</t>
  </si>
  <si>
    <t xml:space="preserve">Bloom level gates the maximum possible mapping level</t>
  </si>
  <si>
    <t xml:space="preserve">IF(bloom_level &lt;= 2,  MIN(kw_score, 1),  IF(bloom_level &lt;= 4,  MIN(kw_score, 2),  kw_score))</t>
  </si>
  <si>
    <t xml:space="preserve">Shown in CO-PO matrix</t>
  </si>
  <si>
    <t xml:space="preserve">Bloom Category</t>
  </si>
  <si>
    <t xml:space="preserve">IF(level = 0, "—",  TEXT(level, "0"))</t>
  </si>
  <si>
    <t xml:space="preserve">Low/High Order Thinking Skills</t>
  </si>
  <si>
    <t xml:space="preserve">Justification</t>
  </si>
  <si>
    <t xml:space="preserve">Faculty types justification text in dedicated cell</t>
  </si>
  <si>
    <t xml:space="preserve">Required for NBA documentation</t>
  </si>
  <si>
    <t xml:space="preserve">HOW TO USE THIS WORKBOOK</t>
  </si>
  <si>
    <t xml:space="preserve">1.  Open any course sheet (CS301–CS305)  →  Read the pre-filled CO statement and keyword</t>
  </si>
  <si>
    <t xml:space="preserve">2.  Enter Bloom Level (1–6) in the yellow BLOOM cell based on the primary action verb in the CO</t>
  </si>
  <si>
    <t xml:space="preserve">3.  Enter Keyword Match Score (0–3) per PO in yellow cells: 0=No Match, 1=Partial, 2=Major, 3=Exact</t>
  </si>
  <si>
    <t xml:space="preserve">4.  Mapping Level auto-calculates using:  Bloom level gates the maximum possible level</t>
  </si>
  <si>
    <t xml:space="preserve">5.  Type justification text in the Justification column for NBA documentation</t>
  </si>
  <si>
    <t xml:space="preserve">6.  'CO-PO Mapping' sheet — full matrix auto-linked; shows all levels with department averages</t>
  </si>
  <si>
    <t xml:space="preserve">7.  'Keyword Analysis' sheet — summary of keywords and Bloom levels across all courses</t>
  </si>
  <si>
    <t xml:space="preserve">8.  Change any keyword score or Bloom level → all levels, symbols, and summaries update instantly</t>
  </si>
  <si>
    <t xml:space="preserve">KEYWORDS CO–PO MAPPING — Data Structures &amp; Algorithms (CS301)</t>
  </si>
  <si>
    <t xml:space="preserve">Method D: Enter Bloom Level (1–6) and Keyword Match Score (0–3) per PO in YELLOW cells  |  Level = IF(score=0, 0, IF(bloom≤2, min(score,1), IF(bloom≤4, min(score,2), score)))</t>
  </si>
  <si>
    <t xml:space="preserve">Score Guide →</t>
  </si>
  <si>
    <t xml:space="preserve">0 = No Match</t>
  </si>
  <si>
    <t xml:space="preserve">1 = Partial Match</t>
  </si>
  <si>
    <t xml:space="preserve">2 = Major Match</t>
  </si>
  <si>
    <t xml:space="preserve">3 = Exact Match</t>
  </si>
  <si>
    <t xml:space="preserve">Bloom: 1=Remember  2=Understand  3=Apply  4=Analyze  5=Evaluate  6=Create</t>
  </si>
  <si>
    <t xml:space="preserve">SECTION 1 — CO INFORMATION  (Enter Bloom Level in yellow cell)</t>
  </si>
  <si>
    <t xml:space="preserve">CO</t>
  </si>
  <si>
    <t xml:space="preserve">CO Statement / Description</t>
  </si>
  <si>
    <t xml:space="preserve">Primary
Keyword</t>
  </si>
  <si>
    <t xml:space="preserve">Bloom
Level
(1–6)</t>
  </si>
  <si>
    <t xml:space="preserve">Bloom
Name</t>
  </si>
  <si>
    <t xml:space="preserve">Order
(LOTS/HOTS)</t>
  </si>
  <si>
    <t xml:space="preserve">CO Statement Example justification</t>
  </si>
  <si>
    <t xml:space="preserve">CO1</t>
  </si>
  <si>
    <t xml:space="preserve">Apply fundamental data structures including arrays, linked lists, stacks and queues to solve computational problems</t>
  </si>
  <si>
    <t xml:space="preserve">Apply (Apply) — Apply + engineering knowledge → Major PO1 reflection</t>
  </si>
  <si>
    <t xml:space="preserve">CO2</t>
  </si>
  <si>
    <t xml:space="preserve">Analyze tree structures and binary search algorithms to evaluate their efficiency and performance</t>
  </si>
  <si>
    <t xml:space="preserve">Analyze (Analyze) — Analyze needs engineering knowledge</t>
  </si>
  <si>
    <t xml:space="preserve">CO3</t>
  </si>
  <si>
    <t xml:space="preserve">Design and implement graph algorithms including BFS, DFS and shortest path algorithms</t>
  </si>
  <si>
    <t xml:space="preserve">Design</t>
  </si>
  <si>
    <t xml:space="preserve">Design (Create) — Design requires engineering knowledge</t>
  </si>
  <si>
    <t xml:space="preserve">CO4</t>
  </si>
  <si>
    <t xml:space="preserve">Evaluate and compare sorting and searching algorithms based on time and space complexity</t>
  </si>
  <si>
    <t xml:space="preserve">Evaluate (Evaluate) — Evaluation needs engineering knowledge</t>
  </si>
  <si>
    <t xml:space="preserve">CO5</t>
  </si>
  <si>
    <t xml:space="preserve">Implement hashing techniques and analyze algorithm complexity for real-world applications</t>
  </si>
  <si>
    <t xml:space="preserve">Implement</t>
  </si>
  <si>
    <t xml:space="preserve">Implement (Apply) — Implementation needs engineering knowledge</t>
  </si>
  <si>
    <t xml:space="preserve">SECTION 2 — CO–PO/PSO KEYWORD MAPPING  (Enter Keyword Match Score 0–3 in YELLOW cells per PO per CO)</t>
  </si>
  <si>
    <t xml:space="preserve">PO / PSO</t>
  </si>
  <si>
    <t xml:space="preserve">PO Description</t>
  </si>
  <si>
    <t xml:space="preserve">CO1
KW Score</t>
  </si>
  <si>
    <t xml:space="preserve">CO1
Level</t>
  </si>
  <si>
    <t xml:space="preserve">CO1
Justification</t>
  </si>
  <si>
    <t xml:space="preserve">CO2
KW Score</t>
  </si>
  <si>
    <t xml:space="preserve">CO2
Level</t>
  </si>
  <si>
    <t xml:space="preserve">CO2
Justification</t>
  </si>
  <si>
    <t xml:space="preserve">CO3
KW Score</t>
  </si>
  <si>
    <t xml:space="preserve">CO3
Level</t>
  </si>
  <si>
    <t xml:space="preserve">CO3
Justification</t>
  </si>
  <si>
    <t xml:space="preserve">CO4
KW Score</t>
  </si>
  <si>
    <t xml:space="preserve">CO4
Level</t>
  </si>
  <si>
    <t xml:space="preserve">CO4
Justification</t>
  </si>
  <si>
    <t xml:space="preserve">CO5
KW Score</t>
  </si>
  <si>
    <t xml:space="preserve">CO5
Level</t>
  </si>
  <si>
    <t xml:space="preserve">CO5
Justification</t>
  </si>
  <si>
    <t xml:space="preserve">Apply + engineering knowledge → Major PO1 reflection</t>
  </si>
  <si>
    <t xml:space="preserve">Analyze needs engineering knowledge</t>
  </si>
  <si>
    <t xml:space="preserve">Design requires engineering knowledge</t>
  </si>
  <si>
    <t xml:space="preserve">Evaluation needs engineering knowledge</t>
  </si>
  <si>
    <t xml:space="preserve">Implementation needs engineering knowledge</t>
  </si>
  <si>
    <t xml:space="preserve">Apply to solve problems → moderate PO2 contribution</t>
  </si>
  <si>
    <t xml:space="preserve">Analyze exactly matches PO2 — problem analysis</t>
  </si>
  <si>
    <t xml:space="preserve">Design involves problem analysis</t>
  </si>
  <si>
    <t xml:space="preserve">Evaluate complex problems → exact PO2 match</t>
  </si>
  <si>
    <t xml:space="preserve">Implementation for problem solving</t>
  </si>
  <si>
    <t xml:space="preserve">Design exactly matches PO3 — critical performance</t>
  </si>
  <si>
    <t xml:space="preserve">Analysis involves investigation methods</t>
  </si>
  <si>
    <t xml:space="preserve">Evaluate through investigation</t>
  </si>
  <si>
    <t xml:space="preserve">Partial tool usage through implementation</t>
  </si>
  <si>
    <t xml:space="preserve">Implement using modern tools</t>
  </si>
  <si>
    <t xml:space="preserve">Implement using modern CS tools</t>
  </si>
  <si>
    <t xml:space="preserve">Small contribution to lifelong learning</t>
  </si>
  <si>
    <t xml:space="preserve">Research orientation for lifelong learning</t>
  </si>
  <si>
    <t xml:space="preserve">Major lifelong learning contribution</t>
  </si>
  <si>
    <t xml:space="preserve">Research-based evaluation contributes to PO12</t>
  </si>
  <si>
    <t xml:space="preserve">Partial lifelong learning</t>
  </si>
  <si>
    <t xml:space="preserve">PSO1</t>
  </si>
  <si>
    <t xml:space="preserve">Apply core CS concepts to design software systems</t>
  </si>
  <si>
    <t xml:space="preserve">Direct CS concept application</t>
  </si>
  <si>
    <t xml:space="preserve">Core CS analysis skill</t>
  </si>
  <si>
    <t xml:space="preserve">Core design skill</t>
  </si>
  <si>
    <t xml:space="preserve">CS evaluation skill</t>
  </si>
  <si>
    <t xml:space="preserve">CS implementation</t>
  </si>
  <si>
    <t xml:space="preserve">PSO2</t>
  </si>
  <si>
    <t xml:space="preserve">Use modern tools to solve real-world engineering problems</t>
  </si>
  <si>
    <t xml:space="preserve">Tool implementation</t>
  </si>
  <si>
    <t xml:space="preserve">Partial tool relevance</t>
  </si>
  <si>
    <t xml:space="preserve">Modern tool usage</t>
  </si>
  <si>
    <t xml:space="preserve">Tool-based evaluation</t>
  </si>
  <si>
    <t xml:space="preserve">Modern tool implementation</t>
  </si>
  <si>
    <t xml:space="preserve">PSO3</t>
  </si>
  <si>
    <t xml:space="preserve">Demonstrate professional skills for industry/research</t>
  </si>
  <si>
    <t xml:space="preserve">Professional skill</t>
  </si>
  <si>
    <t xml:space="preserve">Industry skill</t>
  </si>
  <si>
    <t xml:space="preserve">AVERAGE MAPPING LEVEL PER CO</t>
  </si>
  <si>
    <t xml:space="preserve">KEYWORDS CO–PO MAPPING — Database Management Systems (CS302)</t>
  </si>
  <si>
    <t xml:space="preserve">Explain the relational model and apply relational algebra to formulate database queries</t>
  </si>
  <si>
    <t xml:space="preserve">Explain</t>
  </si>
  <si>
    <t xml:space="preserve">Explain (Understand) — Explain is LOTS — partial PO1 reflection</t>
  </si>
  <si>
    <t xml:space="preserve">Design and implement SQL queries including DDL and DML statements for complex database operations</t>
  </si>
  <si>
    <t xml:space="preserve">Design (Create) — Design needs engineering knowledge</t>
  </si>
  <si>
    <t xml:space="preserve">Analyze functional dependencies and apply normalization techniques up to BCNF</t>
  </si>
  <si>
    <t xml:space="preserve">Analyze (Analyze) — Analysis needs engineering knowledge</t>
  </si>
  <si>
    <t xml:space="preserve">Evaluate transaction management techniques and implement concurrency control mechanisms</t>
  </si>
  <si>
    <t xml:space="preserve">Evaluate (Evaluate) — Evaluation uses engineering knowledge</t>
  </si>
  <si>
    <t xml:space="preserve">Design efficient database systems using indexing strategies and query optimization techniques</t>
  </si>
  <si>
    <t xml:space="preserve">Design (Create) — Design with engineering knowledge — high PO1</t>
  </si>
  <si>
    <t xml:space="preserve">Explain is LOTS — partial PO1 reflection</t>
  </si>
  <si>
    <t xml:space="preserve">Design needs engineering knowledge</t>
  </si>
  <si>
    <t xml:space="preserve">Analysis needs engineering knowledge</t>
  </si>
  <si>
    <t xml:space="preserve">Evaluation uses engineering knowledge</t>
  </si>
  <si>
    <t xml:space="preserve">Design with engineering knowledge — high PO1</t>
  </si>
  <si>
    <t xml:space="preserve">Low contribution to problem analysis</t>
  </si>
  <si>
    <t xml:space="preserve">Analyze exactly matches PO2</t>
  </si>
  <si>
    <t xml:space="preserve">Evaluate complex problems — exact PO2</t>
  </si>
  <si>
    <t xml:space="preserve">Design exactly matches PO3 — major performance</t>
  </si>
  <si>
    <t xml:space="preserve">Design exactly matches PO3</t>
  </si>
  <si>
    <t xml:space="preserve">Analysis involves investigation</t>
  </si>
  <si>
    <t xml:space="preserve">Investigation of concurrency issues</t>
  </si>
  <si>
    <t xml:space="preserve">Implement using modern DB tools — exact PO5 match</t>
  </si>
  <si>
    <t xml:space="preserve">Use modern optimization tools</t>
  </si>
  <si>
    <t xml:space="preserve">Small lifelong learning contribution</t>
  </si>
  <si>
    <t xml:space="preserve">Major lifelong learning</t>
  </si>
  <si>
    <t xml:space="preserve">Research and adaptation — PO12</t>
  </si>
  <si>
    <t xml:space="preserve">Lifelong learning through design</t>
  </si>
  <si>
    <t xml:space="preserve">Core DB concept</t>
  </si>
  <si>
    <t xml:space="preserve">Core DB design skill</t>
  </si>
  <si>
    <t xml:space="preserve">Core DB normalization</t>
  </si>
  <si>
    <t xml:space="preserve">Advanced DB technique</t>
  </si>
  <si>
    <t xml:space="preserve">Advanced DB design</t>
  </si>
  <si>
    <t xml:space="preserve">Partial tool understanding</t>
  </si>
  <si>
    <t xml:space="preserve">Modern DB tool usage</t>
  </si>
  <si>
    <t xml:space="preserve">Partial tool involvement</t>
  </si>
  <si>
    <t xml:space="preserve">Implementation skill</t>
  </si>
  <si>
    <t xml:space="preserve">Tool-based optimization</t>
  </si>
  <si>
    <t xml:space="preserve">Industry-level skill</t>
  </si>
  <si>
    <t xml:space="preserve">Professional design skill</t>
  </si>
  <si>
    <t xml:space="preserve">CO–PO MAPPING MATRIX  (Keywords Method)  —  Auto-linked from all course sheets</t>
  </si>
  <si>
    <t xml:space="preserve">Level: — No Mapping  |  1 Low (LOTS+partial)  |  2 Medium (HOTS+major)  |  3 High (Exact PO verb+critical performance)  |  Bloom level gates maximum possible mapping level</t>
  </si>
  <si>
    <t xml:space="preserve">LEGEND →</t>
  </si>
  <si>
    <t xml:space="preserve">— No Mapping</t>
  </si>
  <si>
    <t xml:space="preserve">1 Low (LOTS / partial)</t>
  </si>
  <si>
    <t xml:space="preserve">2 Medium (HOTS / major)</t>
  </si>
  <si>
    <t xml:space="preserve">3 High (Exact match)</t>
  </si>
  <si>
    <t xml:space="preserve">#</t>
  </si>
  <si>
    <t xml:space="preserve">Course</t>
  </si>
  <si>
    <t xml:space="preserve">Code</t>
  </si>
  <si>
    <t xml:space="preserve">Keyword</t>
  </si>
  <si>
    <t xml:space="preserve">Bloom</t>
  </si>
  <si>
    <t xml:space="preserve">PROGRAMME OUTCOMES (PO1–PO12)</t>
  </si>
  <si>
    <t xml:space="preserve">PSOs</t>
  </si>
  <si>
    <t xml:space="preserve">Data Structures &amp; Algorithms</t>
  </si>
  <si>
    <t xml:space="preserve">CS301</t>
  </si>
  <si>
    <t xml:space="preserve">Database Management Systems</t>
  </si>
  <si>
    <t xml:space="preserve">CS302</t>
  </si>
  <si>
    <t xml:space="preserve">Computer Networks</t>
  </si>
  <si>
    <t xml:space="preserve">CS303</t>
  </si>
  <si>
    <t xml:space="preserve">Describe</t>
  </si>
  <si>
    <t xml:space="preserve">Use tools</t>
  </si>
  <si>
    <t xml:space="preserve">Operating Systems</t>
  </si>
  <si>
    <t xml:space="preserve">CS304</t>
  </si>
  <si>
    <t xml:space="preserve">Machine Learning</t>
  </si>
  <si>
    <t xml:space="preserve">CS305</t>
  </si>
  <si>
    <t xml:space="preserve">Investigate</t>
  </si>
  <si>
    <t xml:space="preserve">CO6</t>
  </si>
  <si>
    <t xml:space="preserve">Develop</t>
  </si>
  <si>
    <t xml:space="preserve">DEPT AVERAGE</t>
  </si>
  <si>
    <t xml:space="preserve">KEYWORDS CO–PO MAPPING — Computer Networks (CS303)</t>
  </si>
  <si>
    <t xml:space="preserve">Describe the OSI and TCP/IP reference models and identify the functions of each layer</t>
  </si>
  <si>
    <t xml:space="preserve">Describe (Understand) — Describe is LOTS — partial PO1</t>
  </si>
  <si>
    <t xml:space="preserve">Analyze data link layer protocols and apply error detection and correction techniques</t>
  </si>
  <si>
    <t xml:space="preserve">Design and implement routing algorithms and analyze IP addressing and network layer protocols</t>
  </si>
  <si>
    <t xml:space="preserve">Evaluate transport layer protocols including TCP and UDP and implement flow control mechanisms</t>
  </si>
  <si>
    <t xml:space="preserve">Use modern network simulation tools to model and analyze application layer protocols and services</t>
  </si>
  <si>
    <t xml:space="preserve">Use tools (Apply) — Apply engineering knowledge in tools</t>
  </si>
  <si>
    <t xml:space="preserve">Describe is LOTS — partial PO1</t>
  </si>
  <si>
    <t xml:space="preserve">Apply engineering knowledge in tools</t>
  </si>
  <si>
    <t xml:space="preserve">Low problem analysis from description</t>
  </si>
  <si>
    <t xml:space="preserve">Problem analysis involved</t>
  </si>
  <si>
    <t xml:space="preserve">Evaluate exactly matches PO2</t>
  </si>
  <si>
    <t xml:space="preserve">Problem analysis through simulation</t>
  </si>
  <si>
    <t xml:space="preserve">Investigate routing behavior</t>
  </si>
  <si>
    <t xml:space="preserve">Investigation of protocol behavior</t>
  </si>
  <si>
    <t xml:space="preserve">Use modern protocol tools</t>
  </si>
  <si>
    <t xml:space="preserve">Implement using modern network tools</t>
  </si>
  <si>
    <t xml:space="preserve">Use tools exactly matches PO5 — high performance</t>
  </si>
  <si>
    <t xml:space="preserve">Small lifelong learning</t>
  </si>
  <si>
    <t xml:space="preserve">Research orientation — PO12</t>
  </si>
  <si>
    <t xml:space="preserve">Learning through tool usage</t>
  </si>
  <si>
    <t xml:space="preserve">Basic CS knowledge</t>
  </si>
  <si>
    <t xml:space="preserve">Protocol analysis</t>
  </si>
  <si>
    <t xml:space="preserve">Core CS networking design</t>
  </si>
  <si>
    <t xml:space="preserve">Protocol evaluation</t>
  </si>
  <si>
    <t xml:space="preserve">CS tool application</t>
  </si>
  <si>
    <t xml:space="preserve">Partial tool awareness</t>
  </si>
  <si>
    <t xml:space="preserve">Modern networking tools</t>
  </si>
  <si>
    <t xml:space="preserve">Modern tool usage — exact PSO2 match</t>
  </si>
  <si>
    <t xml:space="preserve">Professional networking</t>
  </si>
  <si>
    <t xml:space="preserve">KEYWORD &amp; BLOOM LEVEL ANALYSIS — ALL COURSES</t>
  </si>
  <si>
    <t xml:space="preserve">Summary of primary action verbs, Bloom levels, and mapping strength across all courses and COs.</t>
  </si>
  <si>
    <t xml:space="preserve">Primary Keyword</t>
  </si>
  <si>
    <t xml:space="preserve">Bloom
Level</t>
  </si>
  <si>
    <t xml:space="preserve">Max Possible
Mapping</t>
  </si>
  <si>
    <t xml:space="preserve">Avg Mapping Level per Course</t>
  </si>
  <si>
    <t xml:space="preserve">CS301-CO1</t>
  </si>
  <si>
    <t xml:space="preserve">CS301-CO2</t>
  </si>
  <si>
    <t xml:space="preserve">CS301-CO3</t>
  </si>
  <si>
    <t xml:space="preserve">CS301-CO4</t>
  </si>
  <si>
    <t xml:space="preserve">CS301-CO5</t>
  </si>
  <si>
    <t xml:space="preserve">CS302-CO1</t>
  </si>
  <si>
    <t xml:space="preserve">CS302-CO2</t>
  </si>
  <si>
    <t xml:space="preserve">CS302-CO3</t>
  </si>
  <si>
    <t xml:space="preserve">CS302-CO4</t>
  </si>
  <si>
    <t xml:space="preserve">CS302-CO5</t>
  </si>
  <si>
    <t xml:space="preserve">CS303-CO1</t>
  </si>
  <si>
    <t xml:space="preserve">CS303-CO2</t>
  </si>
  <si>
    <t xml:space="preserve">CS303-CO3</t>
  </si>
  <si>
    <t xml:space="preserve">CS303-CO4</t>
  </si>
  <si>
    <t xml:space="preserve">CS303-CO5</t>
  </si>
  <si>
    <t xml:space="preserve">CS304-CO1</t>
  </si>
  <si>
    <t xml:space="preserve">CS304-CO2</t>
  </si>
  <si>
    <t xml:space="preserve">CS304-CO3</t>
  </si>
  <si>
    <t xml:space="preserve">CS304-CO4</t>
  </si>
  <si>
    <t xml:space="preserve">CS304-CO5</t>
  </si>
  <si>
    <t xml:space="preserve">CS305-CO1</t>
  </si>
  <si>
    <t xml:space="preserve">CS305-CO2</t>
  </si>
  <si>
    <t xml:space="preserve">CS305-CO3</t>
  </si>
  <si>
    <t xml:space="preserve">CS305-CO4</t>
  </si>
  <si>
    <t xml:space="preserve">CS305-CO5</t>
  </si>
  <si>
    <t xml:space="preserve">CS305-CO6</t>
  </si>
  <si>
    <t xml:space="preserve">HOTS COs (Bloom ≥ 3)</t>
  </si>
  <si>
    <t xml:space="preserve">Avg Bloom Level (all COs)</t>
  </si>
  <si>
    <t xml:space="preserve">KEYWORDS CO–PO MAPPING — Operating Systems (CS304)</t>
  </si>
  <si>
    <t xml:space="preserve">Explain process management concepts and analyze various CPU scheduling algorithms</t>
  </si>
  <si>
    <t xml:space="preserve">Analyze (Analyze) — Analysis of OS engineering concepts</t>
  </si>
  <si>
    <t xml:space="preserve">Design synchronization mechanisms and evaluate deadlock detection and prevention strategies</t>
  </si>
  <si>
    <t xml:space="preserve">Design (Create) — Design OS mechanisms — engineering knowledge</t>
  </si>
  <si>
    <t xml:space="preserve">Analyze memory management techniques including paging, segmentation and virtual memory</t>
  </si>
  <si>
    <t xml:space="preserve">Analyze (Analyze) — Engineering knowledge of memory systems</t>
  </si>
  <si>
    <t xml:space="preserve">Evaluate file system organization and implement file management operations</t>
  </si>
  <si>
    <t xml:space="preserve">Evaluate (Evaluate) — Evaluation of file engineering systems</t>
  </si>
  <si>
    <t xml:space="preserve">Implement and analyze I/O management techniques and disk scheduling algorithms</t>
  </si>
  <si>
    <t xml:space="preserve">Analysis of OS engineering concepts</t>
  </si>
  <si>
    <t xml:space="preserve">Design OS mechanisms — engineering knowledge</t>
  </si>
  <si>
    <t xml:space="preserve">Engineering knowledge of memory systems</t>
  </si>
  <si>
    <t xml:space="preserve">Evaluation of file engineering systems</t>
  </si>
  <si>
    <t xml:space="preserve">Problem analysis in synchronization</t>
  </si>
  <si>
    <t xml:space="preserve">Implementation for OS problems</t>
  </si>
  <si>
    <t xml:space="preserve">Investigation of memory behavior</t>
  </si>
  <si>
    <t xml:space="preserve">Implement using OS tools</t>
  </si>
  <si>
    <t xml:space="preserve">Use modern OS tools for I/O</t>
  </si>
  <si>
    <t xml:space="preserve">Research interest — PO12</t>
  </si>
  <si>
    <t xml:space="preserve">Core OS analysis</t>
  </si>
  <si>
    <t xml:space="preserve">Core OS design</t>
  </si>
  <si>
    <t xml:space="preserve">Core CS memory management</t>
  </si>
  <si>
    <t xml:space="preserve">OS file management</t>
  </si>
  <si>
    <t xml:space="preserve">OS implementation skill</t>
  </si>
  <si>
    <t xml:space="preserve">Implementation of mechanisms</t>
  </si>
  <si>
    <t xml:space="preserve">Partial tool usage</t>
  </si>
  <si>
    <t xml:space="preserve">Tool-based implementation</t>
  </si>
  <si>
    <t xml:space="preserve">KEYWORDS CO–PO MAPPING — Machine Learning (CS305)</t>
  </si>
  <si>
    <t xml:space="preserve">Apply supervised learning algorithms including regression and SVM to real-world prediction problems</t>
  </si>
  <si>
    <t xml:space="preserve">Apply (Apply) — Apply engineering ML knowledge</t>
  </si>
  <si>
    <t xml:space="preserve">Analyze classification techniques including decision trees, random forests and KNN algorithms</t>
  </si>
  <si>
    <t xml:space="preserve">Analyze (Analyze) — Engineering knowledge of classifiers</t>
  </si>
  <si>
    <t xml:space="preserve">Design and implement neural network architectures and apply deep learning frameworks</t>
  </si>
  <si>
    <t xml:space="preserve">Design (Create) — Engineering knowledge of neural nets</t>
  </si>
  <si>
    <t xml:space="preserve">Evaluate unsupervised learning techniques including clustering algorithms and dimensionality reduction</t>
  </si>
  <si>
    <t xml:space="preserve">Evaluate (Evaluate) — Evaluate ML engineering concepts</t>
  </si>
  <si>
    <t xml:space="preserve">Investigate model evaluation metrics and apply optimization techniques for machine learning models</t>
  </si>
  <si>
    <t xml:space="preserve">Investigate (Analyze) — Engineering knowledge of model metrics</t>
  </si>
  <si>
    <t xml:space="preserve">Develop and present ML project solutions demonstrating teamwork, communication and professional skills</t>
  </si>
  <si>
    <t xml:space="preserve">Develop (Create) — Engineering knowledge in project</t>
  </si>
  <si>
    <t xml:space="preserve">CO6
KW Score</t>
  </si>
  <si>
    <t xml:space="preserve">CO6
Level</t>
  </si>
  <si>
    <t xml:space="preserve">CO6
Justification</t>
  </si>
  <si>
    <t xml:space="preserve">Apply engineering ML knowledge</t>
  </si>
  <si>
    <t xml:space="preserve">Engineering knowledge of classifiers</t>
  </si>
  <si>
    <t xml:space="preserve">Engineering knowledge of neural nets</t>
  </si>
  <si>
    <t xml:space="preserve">Evaluate ML engineering concepts</t>
  </si>
  <si>
    <t xml:space="preserve">Engineering knowledge of model metrics</t>
  </si>
  <si>
    <t xml:space="preserve">Engineering knowledge in project</t>
  </si>
  <si>
    <t xml:space="preserve">Problem analysis through ML</t>
  </si>
  <si>
    <t xml:space="preserve">Problem analysis in deep learning</t>
  </si>
  <si>
    <t xml:space="preserve">Problem analysis through investigation</t>
  </si>
  <si>
    <t xml:space="preserve">Develop exactly matches PO3</t>
  </si>
  <si>
    <t xml:space="preserve">Investigation of classifier performance</t>
  </si>
  <si>
    <t xml:space="preserve">Investigation through evaluation</t>
  </si>
  <si>
    <t xml:space="preserve">Investigate exactly matches PO4 — critical performance</t>
  </si>
  <si>
    <t xml:space="preserve">Apply using Python/sklearn tools</t>
  </si>
  <si>
    <t xml:space="preserve">Analyze using ML tools</t>
  </si>
  <si>
    <t xml:space="preserve">Implement using TensorFlow/PyTorch — exact PO5</t>
  </si>
  <si>
    <t xml:space="preserve">Evaluation using ML frameworks</t>
  </si>
  <si>
    <t xml:space="preserve">Use optimization tools</t>
  </si>
  <si>
    <t xml:space="preserve">Modern ML tools in project</t>
  </si>
  <si>
    <t xml:space="preserve">Teamwork — exact PO9 match</t>
  </si>
  <si>
    <t xml:space="preserve">Present — exact PO10 match</t>
  </si>
  <si>
    <t xml:space="preserve">Project management — major PO11</t>
  </si>
  <si>
    <t xml:space="preserve">Learning and applying ML — PO12</t>
  </si>
  <si>
    <t xml:space="preserve">Research-oriented — exact PO12</t>
  </si>
  <si>
    <t xml:space="preserve">Research and optimization — PO12</t>
  </si>
  <si>
    <t xml:space="preserve">Lifelong learning through project</t>
  </si>
  <si>
    <t xml:space="preserve">ML application skill</t>
  </si>
  <si>
    <t xml:space="preserve">Core ML analysis</t>
  </si>
  <si>
    <t xml:space="preserve">Core ML design</t>
  </si>
  <si>
    <t xml:space="preserve">ML evaluation skill</t>
  </si>
  <si>
    <t xml:space="preserve">Model investigation</t>
  </si>
  <si>
    <t xml:space="preserve">Advanced ML project</t>
  </si>
  <si>
    <t xml:space="preserve">Modern ML tool usage</t>
  </si>
  <si>
    <t xml:space="preserve">Tool-based analysis</t>
  </si>
  <si>
    <t xml:space="preserve">Modern deep learning tools</t>
  </si>
  <si>
    <t xml:space="preserve">Framework-based evaluation</t>
  </si>
  <si>
    <t xml:space="preserve">Tool application in project</t>
  </si>
  <si>
    <t xml:space="preserve">Industry ML skill</t>
  </si>
  <si>
    <t xml:space="preserve">Research-level skill</t>
  </si>
  <si>
    <t xml:space="preserve">Professional ML skill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</si>
</sst>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B03A2E"/>
      <name val="Arial"/>
      <family val="0"/>
      <charset val="1"/>
    </font>
    <font>
      <b val="true"/>
      <sz val="9"/>
      <color rgb="FF70AD47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11"/>
      <color rgb="FFAAAAAA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CCCCCC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8F5E9"/>
      </patternFill>
    </fill>
    <fill>
      <patternFill patternType="solid">
        <fgColor rgb="FFFCE4D6"/>
        <bgColor rgb="FFFFF2CC"/>
      </patternFill>
    </fill>
    <fill>
      <patternFill patternType="solid">
        <fgColor rgb="FFFFF8DC"/>
        <bgColor rgb="FFFFF8E1"/>
      </patternFill>
    </fill>
    <fill>
      <patternFill patternType="solid">
        <fgColor rgb="FFE2EFDA"/>
        <bgColor rgb="FFE8F5E9"/>
      </patternFill>
    </fill>
    <fill>
      <patternFill patternType="solid">
        <fgColor rgb="FF375623"/>
        <bgColor rgb="FF404040"/>
      </patternFill>
    </fill>
    <fill>
      <patternFill patternType="solid">
        <fgColor rgb="FFE8EAF6"/>
        <bgColor rgb="FFDEEAF1"/>
      </patternFill>
    </fill>
    <fill>
      <patternFill patternType="solid">
        <fgColor rgb="FFE3F2FD"/>
        <bgColor rgb="FFE8EAF6"/>
      </patternFill>
    </fill>
    <fill>
      <patternFill patternType="solid">
        <fgColor rgb="FFE8F5E9"/>
        <bgColor rgb="FFF2F2F2"/>
      </patternFill>
    </fill>
    <fill>
      <patternFill patternType="solid">
        <fgColor rgb="FFFFF8E1"/>
        <bgColor rgb="FFFFF8DC"/>
      </patternFill>
    </fill>
    <fill>
      <patternFill patternType="solid">
        <fgColor rgb="FFFFFFFF"/>
        <bgColor rgb="FFFFF8E1"/>
      </patternFill>
    </fill>
    <fill>
      <patternFill patternType="solid">
        <fgColor rgb="FF00695C"/>
        <bgColor rgb="FF008080"/>
      </patternFill>
    </fill>
    <fill>
      <patternFill patternType="solid">
        <fgColor rgb="FFBDD7EE"/>
        <bgColor rgb="FFCCCCCC"/>
      </patternFill>
    </fill>
    <fill>
      <patternFill patternType="solid">
        <fgColor rgb="FFC55A11"/>
        <bgColor rgb="FFB03A2E"/>
      </patternFill>
    </fill>
    <fill>
      <patternFill patternType="solid">
        <fgColor rgb="FFFFF2CC"/>
        <bgColor rgb="FFFFF8DC"/>
      </patternFill>
    </fill>
    <fill>
      <patternFill patternType="solid">
        <fgColor rgb="FFE2D9F3"/>
        <bgColor rgb="FFDEEAF1"/>
      </patternFill>
    </fill>
    <fill>
      <patternFill patternType="solid">
        <fgColor rgb="FFDEEAF1"/>
        <bgColor rgb="FFE8EAF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8E1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CCCCC"/>
      <rgbColor rgb="FF808080"/>
      <rgbColor rgb="FF9999FF"/>
      <rgbColor rgb="FF7030A0"/>
      <rgbColor rgb="FFFFF8DC"/>
      <rgbColor rgb="FFE3F2FD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2CC"/>
      <rgbColor rgb="FFE2D9F3"/>
      <rgbColor rgb="FFE8EAF6"/>
      <rgbColor rgb="FFDEEAF1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AAAAAA"/>
      <rgbColor rgb="FF1F3864"/>
      <rgbColor rgb="FF70AD47"/>
      <rgbColor rgb="FF003300"/>
      <rgbColor rgb="FF375623"/>
      <rgbColor rgb="FFB03A2E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10" min="6" style="1" width="16"/>
  </cols>
  <sheetData>
    <row r="1" customFormat="false" ht="4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6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30" hidden="false" customHeight="true" outlineLevel="0" collapsed="false">
      <c r="A6" s="6" t="s">
        <v>9</v>
      </c>
      <c r="B6" s="7" t="s">
        <v>10</v>
      </c>
      <c r="C6" s="6" t="s">
        <v>11</v>
      </c>
      <c r="D6" s="8" t="s">
        <v>12</v>
      </c>
      <c r="E6" s="8" t="s">
        <v>13</v>
      </c>
      <c r="F6" s="9" t="s">
        <v>14</v>
      </c>
      <c r="G6" s="9"/>
      <c r="H6" s="9"/>
      <c r="I6" s="9"/>
      <c r="J6" s="9"/>
    </row>
    <row r="7" customFormat="false" ht="30" hidden="false" customHeight="true" outlineLevel="0" collapsed="false">
      <c r="A7" s="10" t="s">
        <v>15</v>
      </c>
      <c r="B7" s="11" t="s">
        <v>16</v>
      </c>
      <c r="C7" s="10" t="s">
        <v>11</v>
      </c>
      <c r="D7" s="12" t="s">
        <v>17</v>
      </c>
      <c r="E7" s="12" t="s">
        <v>18</v>
      </c>
      <c r="F7" s="13" t="s">
        <v>19</v>
      </c>
      <c r="G7" s="13"/>
      <c r="H7" s="13"/>
      <c r="I7" s="13"/>
      <c r="J7" s="13"/>
    </row>
    <row r="8" customFormat="false" ht="30" hidden="false" customHeight="true" outlineLevel="0" collapsed="false">
      <c r="A8" s="14" t="s">
        <v>20</v>
      </c>
      <c r="B8" s="15" t="s">
        <v>21</v>
      </c>
      <c r="C8" s="14" t="s">
        <v>22</v>
      </c>
      <c r="D8" s="16" t="s">
        <v>23</v>
      </c>
      <c r="E8" s="16" t="s">
        <v>24</v>
      </c>
      <c r="F8" s="17" t="s">
        <v>25</v>
      </c>
      <c r="G8" s="17"/>
      <c r="H8" s="17"/>
      <c r="I8" s="17"/>
      <c r="J8" s="17"/>
    </row>
    <row r="9" customFormat="false" ht="30" hidden="false" customHeight="true" outlineLevel="0" collapsed="false">
      <c r="A9" s="18" t="s">
        <v>26</v>
      </c>
      <c r="B9" s="19" t="s">
        <v>27</v>
      </c>
      <c r="C9" s="18" t="s">
        <v>28</v>
      </c>
      <c r="D9" s="20" t="s">
        <v>29</v>
      </c>
      <c r="E9" s="20" t="s">
        <v>30</v>
      </c>
      <c r="F9" s="21" t="s">
        <v>31</v>
      </c>
      <c r="G9" s="21"/>
      <c r="H9" s="21"/>
      <c r="I9" s="21"/>
      <c r="J9" s="21"/>
    </row>
    <row r="11" customFormat="false" ht="21.75" hidden="false" customHeight="true" outlineLevel="0" collapsed="false">
      <c r="A11" s="22" t="s">
        <v>32</v>
      </c>
      <c r="B11" s="22"/>
      <c r="C11" s="22"/>
      <c r="D11" s="22"/>
      <c r="E11" s="22"/>
      <c r="F11" s="22"/>
      <c r="G11" s="22"/>
      <c r="H11" s="22"/>
      <c r="I11" s="22"/>
      <c r="J11" s="22"/>
    </row>
    <row r="12" customFormat="false" ht="18" hidden="false" customHeight="true" outlineLevel="0" collapsed="false">
      <c r="A12" s="5" t="s">
        <v>3</v>
      </c>
      <c r="B12" s="5" t="s">
        <v>33</v>
      </c>
      <c r="C12" s="5" t="s">
        <v>34</v>
      </c>
      <c r="D12" s="5" t="s">
        <v>35</v>
      </c>
      <c r="E12" s="5" t="s">
        <v>36</v>
      </c>
    </row>
    <row r="13" customFormat="false" ht="19.5" hidden="false" customHeight="true" outlineLevel="0" collapsed="false">
      <c r="A13" s="5" t="s">
        <v>37</v>
      </c>
      <c r="B13" s="6" t="s">
        <v>38</v>
      </c>
      <c r="C13" s="23" t="s">
        <v>39</v>
      </c>
      <c r="D13" s="24" t="s">
        <v>40</v>
      </c>
      <c r="E13" s="24"/>
      <c r="F13" s="24"/>
      <c r="G13" s="24"/>
      <c r="H13" s="24"/>
      <c r="I13" s="25" t="s">
        <v>41</v>
      </c>
      <c r="J13" s="25"/>
    </row>
    <row r="14" customFormat="false" ht="19.5" hidden="false" customHeight="true" outlineLevel="0" collapsed="false">
      <c r="A14" s="5" t="s">
        <v>42</v>
      </c>
      <c r="B14" s="26" t="s">
        <v>43</v>
      </c>
      <c r="C14" s="27" t="s">
        <v>39</v>
      </c>
      <c r="D14" s="28" t="s">
        <v>44</v>
      </c>
      <c r="E14" s="28"/>
      <c r="F14" s="28"/>
      <c r="G14" s="28"/>
      <c r="H14" s="28"/>
      <c r="I14" s="25" t="s">
        <v>41</v>
      </c>
      <c r="J14" s="25"/>
    </row>
    <row r="15" customFormat="false" ht="19.5" hidden="false" customHeight="true" outlineLevel="0" collapsed="false">
      <c r="A15" s="29" t="s">
        <v>45</v>
      </c>
      <c r="B15" s="30" t="s">
        <v>46</v>
      </c>
      <c r="C15" s="31" t="s">
        <v>47</v>
      </c>
      <c r="D15" s="32" t="s">
        <v>48</v>
      </c>
      <c r="E15" s="32"/>
      <c r="F15" s="32"/>
      <c r="G15" s="32"/>
      <c r="H15" s="32"/>
      <c r="I15" s="33" t="s">
        <v>49</v>
      </c>
      <c r="J15" s="33"/>
    </row>
    <row r="16" customFormat="false" ht="19.5" hidden="false" customHeight="true" outlineLevel="0" collapsed="false">
      <c r="A16" s="29" t="s">
        <v>50</v>
      </c>
      <c r="B16" s="34" t="s">
        <v>51</v>
      </c>
      <c r="C16" s="35" t="s">
        <v>47</v>
      </c>
      <c r="D16" s="36" t="s">
        <v>52</v>
      </c>
      <c r="E16" s="36"/>
      <c r="F16" s="36"/>
      <c r="G16" s="36"/>
      <c r="H16" s="36"/>
      <c r="I16" s="33" t="s">
        <v>49</v>
      </c>
      <c r="J16" s="33"/>
    </row>
    <row r="17" customFormat="false" ht="19.5" hidden="false" customHeight="true" outlineLevel="0" collapsed="false">
      <c r="A17" s="29" t="s">
        <v>53</v>
      </c>
      <c r="B17" s="37" t="s">
        <v>54</v>
      </c>
      <c r="C17" s="38" t="s">
        <v>47</v>
      </c>
      <c r="D17" s="39" t="s">
        <v>55</v>
      </c>
      <c r="E17" s="39"/>
      <c r="F17" s="39"/>
      <c r="G17" s="39"/>
      <c r="H17" s="39"/>
      <c r="I17" s="40" t="s">
        <v>56</v>
      </c>
      <c r="J17" s="40"/>
    </row>
    <row r="18" customFormat="false" ht="19.5" hidden="false" customHeight="true" outlineLevel="0" collapsed="false">
      <c r="A18" s="29" t="s">
        <v>57</v>
      </c>
      <c r="B18" s="10" t="s">
        <v>58</v>
      </c>
      <c r="C18" s="41" t="s">
        <v>47</v>
      </c>
      <c r="D18" s="42" t="s">
        <v>59</v>
      </c>
      <c r="E18" s="42"/>
      <c r="F18" s="42"/>
      <c r="G18" s="42"/>
      <c r="H18" s="42"/>
      <c r="I18" s="40" t="s">
        <v>56</v>
      </c>
      <c r="J18" s="40"/>
    </row>
    <row r="20" customFormat="false" ht="21.75" hidden="false" customHeight="true" outlineLevel="0" collapsed="false">
      <c r="A20" s="43" t="s">
        <v>60</v>
      </c>
      <c r="B20" s="43"/>
      <c r="C20" s="43"/>
      <c r="D20" s="43"/>
      <c r="E20" s="43"/>
      <c r="F20" s="43"/>
      <c r="G20" s="43"/>
      <c r="H20" s="43"/>
      <c r="I20" s="43"/>
      <c r="J20" s="43"/>
    </row>
    <row r="21" customFormat="false" ht="18" hidden="false" customHeight="true" outlineLevel="0" collapsed="false">
      <c r="A21" s="5" t="s">
        <v>61</v>
      </c>
      <c r="B21" s="5" t="s">
        <v>62</v>
      </c>
      <c r="C21" s="5" t="s">
        <v>63</v>
      </c>
    </row>
    <row r="22" customFormat="false" ht="18" hidden="false" customHeight="true" outlineLevel="0" collapsed="false">
      <c r="A22" s="44" t="s">
        <v>64</v>
      </c>
      <c r="B22" s="8" t="s">
        <v>65</v>
      </c>
      <c r="C22" s="24" t="s">
        <v>66</v>
      </c>
      <c r="D22" s="24"/>
      <c r="E22" s="24"/>
      <c r="F22" s="24"/>
      <c r="G22" s="24"/>
      <c r="H22" s="24"/>
      <c r="I22" s="24"/>
      <c r="J22" s="24"/>
    </row>
    <row r="23" customFormat="false" ht="18" hidden="false" customHeight="true" outlineLevel="0" collapsed="false">
      <c r="A23" s="44" t="s">
        <v>67</v>
      </c>
      <c r="B23" s="45" t="s">
        <v>68</v>
      </c>
      <c r="C23" s="46" t="s">
        <v>69</v>
      </c>
      <c r="D23" s="46"/>
      <c r="E23" s="46"/>
      <c r="F23" s="46"/>
      <c r="G23" s="46"/>
      <c r="H23" s="46"/>
      <c r="I23" s="46"/>
      <c r="J23" s="46"/>
    </row>
    <row r="24" customFormat="false" ht="18" hidden="false" customHeight="true" outlineLevel="0" collapsed="false">
      <c r="A24" s="44" t="s">
        <v>70</v>
      </c>
      <c r="B24" s="8" t="s">
        <v>71</v>
      </c>
      <c r="C24" s="24" t="s">
        <v>72</v>
      </c>
      <c r="D24" s="24"/>
      <c r="E24" s="24"/>
      <c r="F24" s="24"/>
      <c r="G24" s="24"/>
      <c r="H24" s="24"/>
      <c r="I24" s="24"/>
      <c r="J24" s="24"/>
    </row>
    <row r="25" customFormat="false" ht="18" hidden="false" customHeight="true" outlineLevel="0" collapsed="false">
      <c r="A25" s="44" t="s">
        <v>73</v>
      </c>
      <c r="B25" s="45" t="s">
        <v>74</v>
      </c>
      <c r="C25" s="46" t="s">
        <v>75</v>
      </c>
      <c r="D25" s="46"/>
      <c r="E25" s="46"/>
      <c r="F25" s="46"/>
      <c r="G25" s="46"/>
      <c r="H25" s="46"/>
      <c r="I25" s="46"/>
      <c r="J25" s="46"/>
    </row>
    <row r="26" customFormat="false" ht="18" hidden="false" customHeight="true" outlineLevel="0" collapsed="false">
      <c r="A26" s="44" t="s">
        <v>76</v>
      </c>
      <c r="B26" s="8" t="s">
        <v>77</v>
      </c>
      <c r="C26" s="24" t="s">
        <v>78</v>
      </c>
      <c r="D26" s="24"/>
      <c r="E26" s="24"/>
      <c r="F26" s="24"/>
      <c r="G26" s="24"/>
      <c r="H26" s="24"/>
      <c r="I26" s="24"/>
      <c r="J26" s="24"/>
    </row>
    <row r="27" customFormat="false" ht="18" hidden="false" customHeight="true" outlineLevel="0" collapsed="false">
      <c r="A27" s="44" t="s">
        <v>79</v>
      </c>
      <c r="B27" s="45" t="s">
        <v>80</v>
      </c>
      <c r="C27" s="46" t="s">
        <v>81</v>
      </c>
      <c r="D27" s="46"/>
      <c r="E27" s="46"/>
      <c r="F27" s="46"/>
      <c r="G27" s="46"/>
      <c r="H27" s="46"/>
      <c r="I27" s="46"/>
      <c r="J27" s="46"/>
    </row>
    <row r="28" customFormat="false" ht="18" hidden="false" customHeight="true" outlineLevel="0" collapsed="false">
      <c r="A28" s="44" t="s">
        <v>82</v>
      </c>
      <c r="B28" s="8" t="s">
        <v>83</v>
      </c>
      <c r="C28" s="24" t="s">
        <v>84</v>
      </c>
      <c r="D28" s="24"/>
      <c r="E28" s="24"/>
      <c r="F28" s="24"/>
      <c r="G28" s="24"/>
      <c r="H28" s="24"/>
      <c r="I28" s="24"/>
      <c r="J28" s="24"/>
    </row>
    <row r="29" customFormat="false" ht="18" hidden="false" customHeight="true" outlineLevel="0" collapsed="false">
      <c r="A29" s="44" t="s">
        <v>85</v>
      </c>
      <c r="B29" s="45" t="s">
        <v>86</v>
      </c>
      <c r="C29" s="46" t="s">
        <v>87</v>
      </c>
      <c r="D29" s="46"/>
      <c r="E29" s="46"/>
      <c r="F29" s="46"/>
      <c r="G29" s="46"/>
      <c r="H29" s="46"/>
      <c r="I29" s="46"/>
      <c r="J29" s="46"/>
    </row>
    <row r="30" customFormat="false" ht="18" hidden="false" customHeight="true" outlineLevel="0" collapsed="false">
      <c r="A30" s="44" t="s">
        <v>88</v>
      </c>
      <c r="B30" s="8" t="s">
        <v>89</v>
      </c>
      <c r="C30" s="24" t="s">
        <v>90</v>
      </c>
      <c r="D30" s="24"/>
      <c r="E30" s="24"/>
      <c r="F30" s="24"/>
      <c r="G30" s="24"/>
      <c r="H30" s="24"/>
      <c r="I30" s="24"/>
      <c r="J30" s="24"/>
    </row>
    <row r="31" customFormat="false" ht="18" hidden="false" customHeight="true" outlineLevel="0" collapsed="false">
      <c r="A31" s="44" t="s">
        <v>91</v>
      </c>
      <c r="B31" s="45" t="s">
        <v>92</v>
      </c>
      <c r="C31" s="46" t="s">
        <v>93</v>
      </c>
      <c r="D31" s="46"/>
      <c r="E31" s="46"/>
      <c r="F31" s="46"/>
      <c r="G31" s="46"/>
      <c r="H31" s="46"/>
      <c r="I31" s="46"/>
      <c r="J31" s="46"/>
    </row>
    <row r="32" customFormat="false" ht="18" hidden="false" customHeight="true" outlineLevel="0" collapsed="false">
      <c r="A32" s="44" t="s">
        <v>94</v>
      </c>
      <c r="B32" s="8" t="s">
        <v>95</v>
      </c>
      <c r="C32" s="24" t="s">
        <v>96</v>
      </c>
      <c r="D32" s="24"/>
      <c r="E32" s="24"/>
      <c r="F32" s="24"/>
      <c r="G32" s="24"/>
      <c r="H32" s="24"/>
      <c r="I32" s="24"/>
      <c r="J32" s="24"/>
    </row>
    <row r="33" customFormat="false" ht="18" hidden="false" customHeight="true" outlineLevel="0" collapsed="false">
      <c r="A33" s="44" t="s">
        <v>97</v>
      </c>
      <c r="B33" s="45" t="s">
        <v>98</v>
      </c>
      <c r="C33" s="46" t="s">
        <v>99</v>
      </c>
      <c r="D33" s="46"/>
      <c r="E33" s="46"/>
      <c r="F33" s="46"/>
      <c r="G33" s="46"/>
      <c r="H33" s="46"/>
      <c r="I33" s="46"/>
      <c r="J33" s="46"/>
    </row>
    <row r="35" customFormat="false" ht="21.75" hidden="false" customHeight="true" outlineLevel="0" collapsed="false">
      <c r="A35" s="47" t="s">
        <v>100</v>
      </c>
      <c r="B35" s="47"/>
      <c r="C35" s="47"/>
      <c r="D35" s="47"/>
      <c r="E35" s="47"/>
      <c r="F35" s="47"/>
      <c r="G35" s="47"/>
      <c r="H35" s="47"/>
      <c r="I35" s="47"/>
      <c r="J35" s="47"/>
    </row>
    <row r="36" customFormat="false" ht="18" hidden="false" customHeight="true" outlineLevel="0" collapsed="false">
      <c r="A36" s="5" t="s">
        <v>101</v>
      </c>
      <c r="B36" s="5" t="s">
        <v>102</v>
      </c>
      <c r="C36" s="5" t="s">
        <v>103</v>
      </c>
    </row>
    <row r="37" customFormat="false" ht="19.5" hidden="false" customHeight="true" outlineLevel="0" collapsed="false">
      <c r="A37" s="48" t="s">
        <v>104</v>
      </c>
      <c r="B37" s="8" t="s">
        <v>105</v>
      </c>
      <c r="C37" s="49" t="s">
        <v>106</v>
      </c>
      <c r="D37" s="49"/>
      <c r="E37" s="49"/>
      <c r="F37" s="49"/>
      <c r="G37" s="49"/>
      <c r="H37" s="49"/>
      <c r="I37" s="49"/>
      <c r="J37" s="49"/>
    </row>
    <row r="38" customFormat="false" ht="19.5" hidden="false" customHeight="true" outlineLevel="0" collapsed="false">
      <c r="A38" s="50" t="s">
        <v>107</v>
      </c>
      <c r="B38" s="45" t="s">
        <v>108</v>
      </c>
      <c r="C38" s="51" t="s">
        <v>109</v>
      </c>
      <c r="D38" s="51"/>
      <c r="E38" s="51"/>
      <c r="F38" s="51"/>
      <c r="G38" s="51"/>
      <c r="H38" s="51"/>
      <c r="I38" s="51"/>
      <c r="J38" s="51"/>
    </row>
    <row r="39" customFormat="false" ht="19.5" hidden="false" customHeight="true" outlineLevel="0" collapsed="false">
      <c r="A39" s="48" t="s">
        <v>110</v>
      </c>
      <c r="B39" s="52" t="s">
        <v>111</v>
      </c>
      <c r="C39" s="49" t="s">
        <v>112</v>
      </c>
      <c r="D39" s="49"/>
      <c r="E39" s="49"/>
      <c r="F39" s="49"/>
      <c r="G39" s="49"/>
      <c r="H39" s="49"/>
      <c r="I39" s="49"/>
      <c r="J39" s="49"/>
    </row>
    <row r="40" customFormat="false" ht="19.5" hidden="false" customHeight="true" outlineLevel="0" collapsed="false">
      <c r="A40" s="50" t="s">
        <v>4</v>
      </c>
      <c r="B40" s="53" t="s">
        <v>113</v>
      </c>
      <c r="C40" s="51" t="s">
        <v>114</v>
      </c>
      <c r="D40" s="51"/>
      <c r="E40" s="51"/>
      <c r="F40" s="51"/>
      <c r="G40" s="51"/>
      <c r="H40" s="51"/>
      <c r="I40" s="51"/>
      <c r="J40" s="51"/>
    </row>
    <row r="41" customFormat="false" ht="19.5" hidden="false" customHeight="true" outlineLevel="0" collapsed="false">
      <c r="A41" s="48" t="s">
        <v>115</v>
      </c>
      <c r="B41" s="52" t="s">
        <v>116</v>
      </c>
      <c r="C41" s="49" t="s">
        <v>117</v>
      </c>
      <c r="D41" s="49"/>
      <c r="E41" s="49"/>
      <c r="F41" s="49"/>
      <c r="G41" s="49"/>
      <c r="H41" s="49"/>
      <c r="I41" s="49"/>
      <c r="J41" s="49"/>
    </row>
    <row r="42" customFormat="false" ht="19.5" hidden="false" customHeight="true" outlineLevel="0" collapsed="false">
      <c r="A42" s="50" t="s">
        <v>118</v>
      </c>
      <c r="B42" s="45" t="s">
        <v>119</v>
      </c>
      <c r="C42" s="51" t="s">
        <v>120</v>
      </c>
      <c r="D42" s="51"/>
      <c r="E42" s="51"/>
      <c r="F42" s="51"/>
      <c r="G42" s="51"/>
      <c r="H42" s="51"/>
      <c r="I42" s="51"/>
      <c r="J42" s="51"/>
    </row>
    <row r="44" customFormat="false" ht="21.75" hidden="false" customHeight="true" outlineLevel="0" collapsed="false">
      <c r="A44" s="22" t="s">
        <v>121</v>
      </c>
      <c r="B44" s="22"/>
      <c r="C44" s="22"/>
      <c r="D44" s="22"/>
      <c r="E44" s="22"/>
      <c r="F44" s="22"/>
      <c r="G44" s="22"/>
      <c r="H44" s="22"/>
      <c r="I44" s="22"/>
      <c r="J44" s="22"/>
    </row>
    <row r="45" customFormat="false" ht="18" hidden="false" customHeight="true" outlineLevel="0" collapsed="false">
      <c r="A45" s="54" t="s">
        <v>122</v>
      </c>
      <c r="B45" s="54"/>
      <c r="C45" s="54"/>
      <c r="D45" s="54"/>
      <c r="E45" s="54"/>
      <c r="F45" s="54"/>
      <c r="G45" s="54"/>
      <c r="H45" s="54"/>
      <c r="I45" s="54"/>
      <c r="J45" s="54"/>
    </row>
    <row r="46" customFormat="false" ht="18" hidden="false" customHeight="true" outlineLevel="0" collapsed="false">
      <c r="A46" s="55" t="s">
        <v>123</v>
      </c>
      <c r="B46" s="55"/>
      <c r="C46" s="55"/>
      <c r="D46" s="55"/>
      <c r="E46" s="55"/>
      <c r="F46" s="55"/>
      <c r="G46" s="55"/>
      <c r="H46" s="55"/>
      <c r="I46" s="55"/>
      <c r="J46" s="55"/>
    </row>
    <row r="47" customFormat="false" ht="18" hidden="false" customHeight="true" outlineLevel="0" collapsed="false">
      <c r="A47" s="54" t="s">
        <v>124</v>
      </c>
      <c r="B47" s="54"/>
      <c r="C47" s="54"/>
      <c r="D47" s="54"/>
      <c r="E47" s="54"/>
      <c r="F47" s="54"/>
      <c r="G47" s="54"/>
      <c r="H47" s="54"/>
      <c r="I47" s="54"/>
      <c r="J47" s="54"/>
    </row>
    <row r="48" customFormat="false" ht="18" hidden="false" customHeight="true" outlineLevel="0" collapsed="false">
      <c r="A48" s="55" t="s">
        <v>125</v>
      </c>
      <c r="B48" s="55"/>
      <c r="C48" s="55"/>
      <c r="D48" s="55"/>
      <c r="E48" s="55"/>
      <c r="F48" s="55"/>
      <c r="G48" s="55"/>
      <c r="H48" s="55"/>
      <c r="I48" s="55"/>
      <c r="J48" s="55"/>
    </row>
    <row r="49" customFormat="false" ht="18" hidden="false" customHeight="true" outlineLevel="0" collapsed="false">
      <c r="A49" s="54" t="s">
        <v>126</v>
      </c>
      <c r="B49" s="54"/>
      <c r="C49" s="54"/>
      <c r="D49" s="54"/>
      <c r="E49" s="54"/>
      <c r="F49" s="54"/>
      <c r="G49" s="54"/>
      <c r="H49" s="54"/>
      <c r="I49" s="54"/>
      <c r="J49" s="54"/>
    </row>
    <row r="50" customFormat="false" ht="18" hidden="false" customHeight="true" outlineLevel="0" collapsed="false">
      <c r="A50" s="55" t="s">
        <v>127</v>
      </c>
      <c r="B50" s="55"/>
      <c r="C50" s="55"/>
      <c r="D50" s="55"/>
      <c r="E50" s="55"/>
      <c r="F50" s="55"/>
      <c r="G50" s="55"/>
      <c r="H50" s="55"/>
      <c r="I50" s="55"/>
      <c r="J50" s="55"/>
    </row>
    <row r="51" customFormat="false" ht="18" hidden="false" customHeight="true" outlineLevel="0" collapsed="false">
      <c r="A51" s="54" t="s">
        <v>128</v>
      </c>
      <c r="B51" s="54"/>
      <c r="C51" s="54"/>
      <c r="D51" s="54"/>
      <c r="E51" s="54"/>
      <c r="F51" s="54"/>
      <c r="G51" s="54"/>
      <c r="H51" s="54"/>
      <c r="I51" s="54"/>
      <c r="J51" s="54"/>
    </row>
    <row r="52" customFormat="false" ht="18" hidden="false" customHeight="true" outlineLevel="0" collapsed="false">
      <c r="A52" s="55" t="s">
        <v>129</v>
      </c>
      <c r="B52" s="55"/>
      <c r="C52" s="55"/>
      <c r="D52" s="55"/>
      <c r="E52" s="55"/>
      <c r="F52" s="55"/>
      <c r="G52" s="55"/>
      <c r="H52" s="55"/>
      <c r="I52" s="55"/>
      <c r="J52" s="55"/>
    </row>
  </sheetData>
  <mergeCells count="49">
    <mergeCell ref="A1:J1"/>
    <mergeCell ref="A2:J2"/>
    <mergeCell ref="A4:J4"/>
    <mergeCell ref="F6:J6"/>
    <mergeCell ref="F7:J7"/>
    <mergeCell ref="F8:J8"/>
    <mergeCell ref="F9:J9"/>
    <mergeCell ref="A11:J11"/>
    <mergeCell ref="D13:H13"/>
    <mergeCell ref="I13:J13"/>
    <mergeCell ref="D14:H14"/>
    <mergeCell ref="I14:J14"/>
    <mergeCell ref="D15:H15"/>
    <mergeCell ref="I15:J15"/>
    <mergeCell ref="D16:H16"/>
    <mergeCell ref="I16:J16"/>
    <mergeCell ref="D17:H17"/>
    <mergeCell ref="I17:J17"/>
    <mergeCell ref="D18:H18"/>
    <mergeCell ref="I18:J18"/>
    <mergeCell ref="A20:J20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3:J33"/>
    <mergeCell ref="A35:J35"/>
    <mergeCell ref="C37:J37"/>
    <mergeCell ref="C38:J38"/>
    <mergeCell ref="C39:J39"/>
    <mergeCell ref="C40:J40"/>
    <mergeCell ref="C41:J41"/>
    <mergeCell ref="C42:J42"/>
    <mergeCell ref="A44:J44"/>
    <mergeCell ref="A45:J45"/>
    <mergeCell ref="A46:J46"/>
    <mergeCell ref="A47:J47"/>
    <mergeCell ref="A48:J48"/>
    <mergeCell ref="A49:J49"/>
    <mergeCell ref="A50:J50"/>
    <mergeCell ref="A51:J51"/>
    <mergeCell ref="A52:J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4" min="3" style="1" width="9"/>
    <col collapsed="false" customWidth="true" hidden="false" outlineLevel="0" max="5" min="5" style="1" width="28"/>
    <col collapsed="false" customWidth="true" hidden="false" outlineLevel="0" max="7" min="6" style="1" width="9"/>
    <col collapsed="false" customWidth="true" hidden="false" outlineLevel="0" max="8" min="8" style="1" width="28"/>
    <col collapsed="false" customWidth="true" hidden="false" outlineLevel="0" max="10" min="9" style="1" width="9"/>
    <col collapsed="false" customWidth="true" hidden="false" outlineLevel="0" max="11" min="11" style="1" width="28"/>
    <col collapsed="false" customWidth="true" hidden="false" outlineLevel="0" max="13" min="12" style="1" width="9"/>
    <col collapsed="false" customWidth="true" hidden="false" outlineLevel="0" max="14" min="14" style="1" width="28"/>
    <col collapsed="false" customWidth="true" hidden="false" outlineLevel="0" max="16" min="15" style="1" width="9"/>
    <col collapsed="false" customWidth="true" hidden="false" outlineLevel="0" max="17" min="17" style="1" width="28"/>
  </cols>
  <sheetData>
    <row r="1" customFormat="false" ht="36" hidden="false" customHeight="true" outlineLevel="0" collapsed="false">
      <c r="A1" s="56" t="s">
        <v>130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3.5" hidden="false" customHeight="true" outlineLevel="0" collapsed="false">
      <c r="A2" s="57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4.5" hidden="false" customHeight="true" outlineLevel="0" collapsed="false"/>
    <row r="4" customFormat="false" ht="18" hidden="false" customHeight="true" outlineLevel="0" collapsed="false">
      <c r="A4" s="58" t="s">
        <v>132</v>
      </c>
      <c r="B4" s="58"/>
      <c r="C4" s="6" t="s">
        <v>133</v>
      </c>
      <c r="D4" s="10" t="s">
        <v>134</v>
      </c>
      <c r="E4" s="14" t="s">
        <v>135</v>
      </c>
      <c r="F4" s="18" t="s">
        <v>136</v>
      </c>
      <c r="G4" s="59" t="s">
        <v>137</v>
      </c>
      <c r="H4" s="59"/>
      <c r="I4" s="59"/>
      <c r="J4" s="59"/>
      <c r="K4" s="59"/>
      <c r="L4" s="59"/>
    </row>
    <row r="5" customFormat="false" ht="21.75" hidden="false" customHeight="true" outlineLevel="0" collapsed="false">
      <c r="A5" s="60" t="s">
        <v>138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customFormat="false" ht="19.5" hidden="false" customHeight="true" outlineLevel="0" collapsed="false">
      <c r="A6" s="61" t="s">
        <v>139</v>
      </c>
      <c r="B6" s="61" t="s">
        <v>140</v>
      </c>
      <c r="C6" s="62" t="s">
        <v>141</v>
      </c>
      <c r="D6" s="62" t="s">
        <v>142</v>
      </c>
      <c r="E6" s="63" t="s">
        <v>143</v>
      </c>
      <c r="F6" s="63" t="s">
        <v>144</v>
      </c>
      <c r="G6" s="64" t="s">
        <v>145</v>
      </c>
      <c r="H6" s="64"/>
      <c r="I6" s="64"/>
      <c r="J6" s="64"/>
      <c r="K6" s="64"/>
      <c r="L6" s="64"/>
    </row>
    <row r="7" customFormat="false" ht="21.75" hidden="false" customHeight="true" outlineLevel="0" collapsed="false">
      <c r="A7" s="65" t="s">
        <v>146</v>
      </c>
      <c r="B7" s="66" t="s">
        <v>147</v>
      </c>
      <c r="C7" s="67" t="s">
        <v>46</v>
      </c>
      <c r="D7" s="68" t="n">
        <v>3</v>
      </c>
      <c r="E7" s="69" t="str">
        <f aca="false">CHOOSE(D7,"Remember","Understand","Apply","Analyze","Evaluate","Create")</f>
        <v>Apply</v>
      </c>
      <c r="F7" s="70" t="str">
        <f aca="false">IF(D7&lt;=2,"LOTS","HOTS")</f>
        <v>HOTS</v>
      </c>
      <c r="G7" s="9" t="s">
        <v>148</v>
      </c>
      <c r="H7" s="9"/>
      <c r="I7" s="9"/>
      <c r="J7" s="9"/>
      <c r="K7" s="9"/>
      <c r="L7" s="9"/>
    </row>
    <row r="8" customFormat="false" ht="21.75" hidden="false" customHeight="true" outlineLevel="0" collapsed="false">
      <c r="A8" s="65" t="s">
        <v>149</v>
      </c>
      <c r="B8" s="71" t="s">
        <v>150</v>
      </c>
      <c r="C8" s="67" t="s">
        <v>51</v>
      </c>
      <c r="D8" s="68" t="n">
        <v>4</v>
      </c>
      <c r="E8" s="69" t="str">
        <f aca="false">CHOOSE(D8,"Remember","Understand","Apply","Analyze","Evaluate","Create")</f>
        <v>Analyze</v>
      </c>
      <c r="F8" s="70" t="str">
        <f aca="false">IF(D8&lt;=2,"LOTS","HOTS")</f>
        <v>HOTS</v>
      </c>
      <c r="G8" s="72" t="s">
        <v>151</v>
      </c>
      <c r="H8" s="72"/>
      <c r="I8" s="72"/>
      <c r="J8" s="72"/>
      <c r="K8" s="72"/>
      <c r="L8" s="72"/>
    </row>
    <row r="9" customFormat="false" ht="21.75" hidden="false" customHeight="true" outlineLevel="0" collapsed="false">
      <c r="A9" s="65" t="s">
        <v>152</v>
      </c>
      <c r="B9" s="66" t="s">
        <v>153</v>
      </c>
      <c r="C9" s="67" t="s">
        <v>154</v>
      </c>
      <c r="D9" s="68" t="n">
        <v>6</v>
      </c>
      <c r="E9" s="69" t="str">
        <f aca="false">CHOOSE(D9,"Remember","Understand","Apply","Analyze","Evaluate","Create")</f>
        <v>Create</v>
      </c>
      <c r="F9" s="70" t="str">
        <f aca="false">IF(D9&lt;=2,"LOTS","HOTS")</f>
        <v>HOTS</v>
      </c>
      <c r="G9" s="9" t="s">
        <v>155</v>
      </c>
      <c r="H9" s="9"/>
      <c r="I9" s="9"/>
      <c r="J9" s="9"/>
      <c r="K9" s="9"/>
      <c r="L9" s="9"/>
    </row>
    <row r="10" customFormat="false" ht="21.75" hidden="false" customHeight="true" outlineLevel="0" collapsed="false">
      <c r="A10" s="65" t="s">
        <v>156</v>
      </c>
      <c r="B10" s="71" t="s">
        <v>157</v>
      </c>
      <c r="C10" s="67" t="s">
        <v>54</v>
      </c>
      <c r="D10" s="68" t="n">
        <v>5</v>
      </c>
      <c r="E10" s="69" t="str">
        <f aca="false">CHOOSE(D10,"Remember","Understand","Apply","Analyze","Evaluate","Create")</f>
        <v>Evaluate</v>
      </c>
      <c r="F10" s="70" t="str">
        <f aca="false">IF(D10&lt;=2,"LOTS","HOTS")</f>
        <v>HOTS</v>
      </c>
      <c r="G10" s="72" t="s">
        <v>158</v>
      </c>
      <c r="H10" s="72"/>
      <c r="I10" s="72"/>
      <c r="J10" s="72"/>
      <c r="K10" s="72"/>
      <c r="L10" s="72"/>
    </row>
    <row r="11" customFormat="false" ht="21.75" hidden="false" customHeight="true" outlineLevel="0" collapsed="false">
      <c r="A11" s="65" t="s">
        <v>159</v>
      </c>
      <c r="B11" s="66" t="s">
        <v>160</v>
      </c>
      <c r="C11" s="67" t="s">
        <v>161</v>
      </c>
      <c r="D11" s="68" t="n">
        <v>3</v>
      </c>
      <c r="E11" s="69" t="str">
        <f aca="false">CHOOSE(D11,"Remember","Understand","Apply","Analyze","Evaluate","Create")</f>
        <v>Apply</v>
      </c>
      <c r="F11" s="70" t="str">
        <f aca="false">IF(D11&lt;=2,"LOTS","HOTS")</f>
        <v>HOTS</v>
      </c>
      <c r="G11" s="9" t="s">
        <v>162</v>
      </c>
      <c r="H11" s="9"/>
      <c r="I11" s="9"/>
      <c r="J11" s="9"/>
      <c r="K11" s="9"/>
      <c r="L11" s="9"/>
    </row>
    <row r="13" customFormat="false" ht="21.75" hidden="false" customHeight="true" outlineLevel="0" collapsed="false">
      <c r="A13" s="73" t="s">
        <v>163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customFormat="false" ht="19.5" hidden="false" customHeight="true" outlineLevel="0" collapsed="false">
      <c r="A14" s="5" t="s">
        <v>164</v>
      </c>
      <c r="B14" s="5" t="s">
        <v>165</v>
      </c>
      <c r="C14" s="63" t="s">
        <v>166</v>
      </c>
      <c r="D14" s="74" t="s">
        <v>167</v>
      </c>
      <c r="E14" s="75" t="s">
        <v>168</v>
      </c>
      <c r="F14" s="63" t="s">
        <v>169</v>
      </c>
      <c r="G14" s="74" t="s">
        <v>170</v>
      </c>
      <c r="H14" s="75" t="s">
        <v>171</v>
      </c>
      <c r="I14" s="63" t="s">
        <v>172</v>
      </c>
      <c r="J14" s="74" t="s">
        <v>173</v>
      </c>
      <c r="K14" s="75" t="s">
        <v>174</v>
      </c>
      <c r="L14" s="63" t="s">
        <v>175</v>
      </c>
      <c r="M14" s="74" t="s">
        <v>176</v>
      </c>
      <c r="N14" s="75" t="s">
        <v>177</v>
      </c>
      <c r="O14" s="63" t="s">
        <v>178</v>
      </c>
      <c r="P14" s="74" t="s">
        <v>179</v>
      </c>
      <c r="Q14" s="75" t="s">
        <v>180</v>
      </c>
    </row>
    <row r="15" customFormat="false" ht="21.75" hidden="false" customHeight="true" outlineLevel="0" collapsed="false">
      <c r="A15" s="44" t="s">
        <v>64</v>
      </c>
      <c r="B15" s="76" t="s">
        <v>65</v>
      </c>
      <c r="C15" s="77" t="n">
        <v>2</v>
      </c>
      <c r="D15" s="78" t="n">
        <f aca="false">IFERROR(IF(C15=0,0,IF(D7&lt;=2,MIN(C15,1),IF(D7&lt;=4,MIN(C15,2),C15))),0)</f>
        <v>2</v>
      </c>
      <c r="E15" s="79" t="s">
        <v>181</v>
      </c>
      <c r="F15" s="77" t="n">
        <v>2</v>
      </c>
      <c r="G15" s="78" t="n">
        <f aca="false">IFERROR(IF(F15=0,0,IF(D8&lt;=2,MIN(F15,1),IF(D8&lt;=4,MIN(F15,2),F15))),0)</f>
        <v>2</v>
      </c>
      <c r="H15" s="79" t="s">
        <v>182</v>
      </c>
      <c r="I15" s="77" t="n">
        <v>2</v>
      </c>
      <c r="J15" s="78" t="n">
        <f aca="false">IFERROR(IF(I15=0,0,IF(D9&lt;=2,MIN(I15,1),IF(D9&lt;=4,MIN(I15,2),I15))),0)</f>
        <v>2</v>
      </c>
      <c r="K15" s="79" t="s">
        <v>183</v>
      </c>
      <c r="L15" s="77" t="n">
        <v>2</v>
      </c>
      <c r="M15" s="78" t="n">
        <f aca="false">IFERROR(IF(L15=0,0,IF(D10&lt;=2,MIN(L15,1),IF(D10&lt;=4,MIN(L15,2),L15))),0)</f>
        <v>2</v>
      </c>
      <c r="N15" s="79" t="s">
        <v>184</v>
      </c>
      <c r="O15" s="77" t="n">
        <v>2</v>
      </c>
      <c r="P15" s="78" t="n">
        <f aca="false">IFERROR(IF(O15=0,0,IF(D11&lt;=2,MIN(O15,1),IF(D11&lt;=4,MIN(O15,2),O15))),0)</f>
        <v>2</v>
      </c>
      <c r="Q15" s="79" t="s">
        <v>185</v>
      </c>
    </row>
    <row r="16" customFormat="false" ht="21.75" hidden="false" customHeight="true" outlineLevel="0" collapsed="false">
      <c r="A16" s="44" t="s">
        <v>67</v>
      </c>
      <c r="B16" s="80" t="s">
        <v>68</v>
      </c>
      <c r="C16" s="77" t="n">
        <v>2</v>
      </c>
      <c r="D16" s="78" t="n">
        <f aca="false">IFERROR(IF(C16=0,0,IF(D7&lt;=2,MIN(C16,1),IF(D7&lt;=4,MIN(C16,2),C16))),0)</f>
        <v>2</v>
      </c>
      <c r="E16" s="81" t="s">
        <v>186</v>
      </c>
      <c r="F16" s="77" t="n">
        <v>3</v>
      </c>
      <c r="G16" s="78" t="n">
        <f aca="false">IFERROR(IF(F16=0,0,IF(D8&lt;=2,MIN(F16,1),IF(D8&lt;=4,MIN(F16,2),F16))),0)</f>
        <v>2</v>
      </c>
      <c r="H16" s="81" t="s">
        <v>187</v>
      </c>
      <c r="I16" s="77" t="n">
        <v>2</v>
      </c>
      <c r="J16" s="78" t="n">
        <f aca="false">IFERROR(IF(I16=0,0,IF(D9&lt;=2,MIN(I16,1),IF(D9&lt;=4,MIN(I16,2),I16))),0)</f>
        <v>2</v>
      </c>
      <c r="K16" s="81" t="s">
        <v>188</v>
      </c>
      <c r="L16" s="77" t="n">
        <v>3</v>
      </c>
      <c r="M16" s="78" t="n">
        <f aca="false">IFERROR(IF(L16=0,0,IF(D10&lt;=2,MIN(L16,1),IF(D10&lt;=4,MIN(L16,2),L16))),0)</f>
        <v>3</v>
      </c>
      <c r="N16" s="81" t="s">
        <v>189</v>
      </c>
      <c r="O16" s="77" t="n">
        <v>2</v>
      </c>
      <c r="P16" s="78" t="n">
        <f aca="false">IFERROR(IF(O16=0,0,IF(D11&lt;=2,MIN(O16,1),IF(D11&lt;=4,MIN(O16,2),O16))),0)</f>
        <v>2</v>
      </c>
      <c r="Q16" s="81" t="s">
        <v>190</v>
      </c>
    </row>
    <row r="17" customFormat="false" ht="21.75" hidden="false" customHeight="true" outlineLevel="0" collapsed="false">
      <c r="A17" s="44" t="s">
        <v>70</v>
      </c>
      <c r="B17" s="76" t="s">
        <v>71</v>
      </c>
      <c r="C17" s="82" t="n">
        <v>0</v>
      </c>
      <c r="D17" s="78" t="n">
        <f aca="false">IFERROR(IF(C17=0,0,IF(D7&lt;=2,MIN(C17,1),IF(D7&lt;=4,MIN(C17,2),C17))),0)</f>
        <v>0</v>
      </c>
      <c r="E17" s="79"/>
      <c r="F17" s="82" t="n">
        <v>0</v>
      </c>
      <c r="G17" s="78" t="n">
        <f aca="false">IFERROR(IF(F17=0,0,IF(D8&lt;=2,MIN(F17,1),IF(D8&lt;=4,MIN(F17,2),F17))),0)</f>
        <v>0</v>
      </c>
      <c r="H17" s="79"/>
      <c r="I17" s="77" t="n">
        <v>3</v>
      </c>
      <c r="J17" s="78" t="n">
        <f aca="false">IFERROR(IF(I17=0,0,IF(D9&lt;=2,MIN(I17,1),IF(D9&lt;=4,MIN(I17,2),I17))),0)</f>
        <v>3</v>
      </c>
      <c r="K17" s="79" t="s">
        <v>191</v>
      </c>
      <c r="L17" s="82" t="n">
        <v>0</v>
      </c>
      <c r="M17" s="78" t="n">
        <f aca="false">IFERROR(IF(L17=0,0,IF(D10&lt;=2,MIN(L17,1),IF(D10&lt;=4,MIN(L17,2),L17))),0)</f>
        <v>0</v>
      </c>
      <c r="N17" s="79"/>
      <c r="O17" s="82" t="n">
        <v>0</v>
      </c>
      <c r="P17" s="78" t="n">
        <f aca="false">IFERROR(IF(O17=0,0,IF(D11&lt;=2,MIN(O17,1),IF(D11&lt;=4,MIN(O17,2),O17))),0)</f>
        <v>0</v>
      </c>
      <c r="Q17" s="79"/>
    </row>
    <row r="18" customFormat="false" ht="21.75" hidden="false" customHeight="true" outlineLevel="0" collapsed="false">
      <c r="A18" s="44" t="s">
        <v>73</v>
      </c>
      <c r="B18" s="80" t="s">
        <v>74</v>
      </c>
      <c r="C18" s="82" t="n">
        <v>0</v>
      </c>
      <c r="D18" s="78" t="n">
        <f aca="false">IFERROR(IF(C18=0,0,IF(D7&lt;=2,MIN(C18,1),IF(D7&lt;=4,MIN(C18,2),C18))),0)</f>
        <v>0</v>
      </c>
      <c r="E18" s="81"/>
      <c r="F18" s="77" t="n">
        <v>2</v>
      </c>
      <c r="G18" s="78" t="n">
        <f aca="false">IFERROR(IF(F18=0,0,IF(D8&lt;=2,MIN(F18,1),IF(D8&lt;=4,MIN(F18,2),F18))),0)</f>
        <v>2</v>
      </c>
      <c r="H18" s="81" t="s">
        <v>192</v>
      </c>
      <c r="I18" s="82" t="n">
        <v>0</v>
      </c>
      <c r="J18" s="78" t="n">
        <f aca="false">IFERROR(IF(I18=0,0,IF(D9&lt;=2,MIN(I18,1),IF(D9&lt;=4,MIN(I18,2),I18))),0)</f>
        <v>0</v>
      </c>
      <c r="K18" s="81"/>
      <c r="L18" s="77" t="n">
        <v>2</v>
      </c>
      <c r="M18" s="78" t="n">
        <f aca="false">IFERROR(IF(L18=0,0,IF(D10&lt;=2,MIN(L18,1),IF(D10&lt;=4,MIN(L18,2),L18))),0)</f>
        <v>2</v>
      </c>
      <c r="N18" s="81" t="s">
        <v>193</v>
      </c>
      <c r="O18" s="82" t="n">
        <v>0</v>
      </c>
      <c r="P18" s="78" t="n">
        <f aca="false">IFERROR(IF(O18=0,0,IF(D11&lt;=2,MIN(O18,1),IF(D11&lt;=4,MIN(O18,2),O18))),0)</f>
        <v>0</v>
      </c>
      <c r="Q18" s="81"/>
    </row>
    <row r="19" customFormat="false" ht="21.75" hidden="false" customHeight="true" outlineLevel="0" collapsed="false">
      <c r="A19" s="44" t="s">
        <v>76</v>
      </c>
      <c r="B19" s="76" t="s">
        <v>77</v>
      </c>
      <c r="C19" s="77" t="n">
        <v>1</v>
      </c>
      <c r="D19" s="78" t="n">
        <f aca="false">IFERROR(IF(C19=0,0,IF(D7&lt;=2,MIN(C19,1),IF(D7&lt;=4,MIN(C19,2),C19))),0)</f>
        <v>1</v>
      </c>
      <c r="E19" s="79" t="s">
        <v>194</v>
      </c>
      <c r="F19" s="82" t="n">
        <v>0</v>
      </c>
      <c r="G19" s="78" t="n">
        <f aca="false">IFERROR(IF(F19=0,0,IF(D8&lt;=2,MIN(F19,1),IF(D8&lt;=4,MIN(F19,2),F19))),0)</f>
        <v>0</v>
      </c>
      <c r="H19" s="79"/>
      <c r="I19" s="77" t="n">
        <v>2</v>
      </c>
      <c r="J19" s="78" t="n">
        <f aca="false">IFERROR(IF(I19=0,0,IF(D9&lt;=2,MIN(I19,1),IF(D9&lt;=4,MIN(I19,2),I19))),0)</f>
        <v>2</v>
      </c>
      <c r="K19" s="79" t="s">
        <v>195</v>
      </c>
      <c r="L19" s="82" t="n">
        <v>0</v>
      </c>
      <c r="M19" s="78" t="n">
        <f aca="false">IFERROR(IF(L19=0,0,IF(D10&lt;=2,MIN(L19,1),IF(D10&lt;=4,MIN(L19,2),L19))),0)</f>
        <v>0</v>
      </c>
      <c r="N19" s="79"/>
      <c r="O19" s="77" t="n">
        <v>2</v>
      </c>
      <c r="P19" s="78" t="n">
        <f aca="false">IFERROR(IF(O19=0,0,IF(D11&lt;=2,MIN(O19,1),IF(D11&lt;=4,MIN(O19,2),O19))),0)</f>
        <v>2</v>
      </c>
      <c r="Q19" s="79" t="s">
        <v>196</v>
      </c>
    </row>
    <row r="20" customFormat="false" ht="21.75" hidden="false" customHeight="true" outlineLevel="0" collapsed="false">
      <c r="A20" s="44" t="s">
        <v>79</v>
      </c>
      <c r="B20" s="80" t="s">
        <v>80</v>
      </c>
      <c r="C20" s="82" t="n">
        <v>0</v>
      </c>
      <c r="D20" s="78" t="n">
        <f aca="false">IFERROR(IF(C20=0,0,IF(D7&lt;=2,MIN(C20,1),IF(D7&lt;=4,MIN(C20,2),C20))),0)</f>
        <v>0</v>
      </c>
      <c r="E20" s="81"/>
      <c r="F20" s="82" t="n">
        <v>0</v>
      </c>
      <c r="G20" s="78" t="n">
        <f aca="false">IFERROR(IF(F20=0,0,IF(D8&lt;=2,MIN(F20,1),IF(D8&lt;=4,MIN(F20,2),F20))),0)</f>
        <v>0</v>
      </c>
      <c r="H20" s="81"/>
      <c r="I20" s="82" t="n">
        <v>0</v>
      </c>
      <c r="J20" s="78" t="n">
        <f aca="false">IFERROR(IF(I20=0,0,IF(D9&lt;=2,MIN(I20,1),IF(D9&lt;=4,MIN(I20,2),I20))),0)</f>
        <v>0</v>
      </c>
      <c r="K20" s="81"/>
      <c r="L20" s="82" t="n">
        <v>0</v>
      </c>
      <c r="M20" s="78" t="n">
        <f aca="false">IFERROR(IF(L20=0,0,IF(D10&lt;=2,MIN(L20,1),IF(D10&lt;=4,MIN(L20,2),L20))),0)</f>
        <v>0</v>
      </c>
      <c r="N20" s="81"/>
      <c r="O20" s="82" t="n">
        <v>0</v>
      </c>
      <c r="P20" s="78" t="n">
        <f aca="false">IFERROR(IF(O20=0,0,IF(D11&lt;=2,MIN(O20,1),IF(D11&lt;=4,MIN(O20,2),O20))),0)</f>
        <v>0</v>
      </c>
      <c r="Q20" s="81"/>
    </row>
    <row r="21" customFormat="false" ht="21.75" hidden="false" customHeight="true" outlineLevel="0" collapsed="false">
      <c r="A21" s="44" t="s">
        <v>82</v>
      </c>
      <c r="B21" s="76" t="s">
        <v>83</v>
      </c>
      <c r="C21" s="82" t="n">
        <v>0</v>
      </c>
      <c r="D21" s="78" t="n">
        <f aca="false">IFERROR(IF(C21=0,0,IF(D7&lt;=2,MIN(C21,1),IF(D7&lt;=4,MIN(C21,2),C21))),0)</f>
        <v>0</v>
      </c>
      <c r="E21" s="79"/>
      <c r="F21" s="82" t="n">
        <v>0</v>
      </c>
      <c r="G21" s="78" t="n">
        <f aca="false">IFERROR(IF(F21=0,0,IF(D8&lt;=2,MIN(F21,1),IF(D8&lt;=4,MIN(F21,2),F21))),0)</f>
        <v>0</v>
      </c>
      <c r="H21" s="79"/>
      <c r="I21" s="82" t="n">
        <v>0</v>
      </c>
      <c r="J21" s="78" t="n">
        <f aca="false">IFERROR(IF(I21=0,0,IF(D9&lt;=2,MIN(I21,1),IF(D9&lt;=4,MIN(I21,2),I21))),0)</f>
        <v>0</v>
      </c>
      <c r="K21" s="79"/>
      <c r="L21" s="82" t="n">
        <v>0</v>
      </c>
      <c r="M21" s="78" t="n">
        <f aca="false">IFERROR(IF(L21=0,0,IF(D10&lt;=2,MIN(L21,1),IF(D10&lt;=4,MIN(L21,2),L21))),0)</f>
        <v>0</v>
      </c>
      <c r="N21" s="79"/>
      <c r="O21" s="82" t="n">
        <v>0</v>
      </c>
      <c r="P21" s="78" t="n">
        <f aca="false">IFERROR(IF(O21=0,0,IF(D11&lt;=2,MIN(O21,1),IF(D11&lt;=4,MIN(O21,2),O21))),0)</f>
        <v>0</v>
      </c>
      <c r="Q21" s="79"/>
    </row>
    <row r="22" customFormat="false" ht="21.75" hidden="false" customHeight="true" outlineLevel="0" collapsed="false">
      <c r="A22" s="44" t="s">
        <v>85</v>
      </c>
      <c r="B22" s="80" t="s">
        <v>86</v>
      </c>
      <c r="C22" s="82" t="n">
        <v>0</v>
      </c>
      <c r="D22" s="78" t="n">
        <f aca="false">IFERROR(IF(C22=0,0,IF(D7&lt;=2,MIN(C22,1),IF(D7&lt;=4,MIN(C22,2),C22))),0)</f>
        <v>0</v>
      </c>
      <c r="E22" s="81"/>
      <c r="F22" s="82" t="n">
        <v>0</v>
      </c>
      <c r="G22" s="78" t="n">
        <f aca="false">IFERROR(IF(F22=0,0,IF(D8&lt;=2,MIN(F22,1),IF(D8&lt;=4,MIN(F22,2),F22))),0)</f>
        <v>0</v>
      </c>
      <c r="H22" s="81"/>
      <c r="I22" s="82" t="n">
        <v>0</v>
      </c>
      <c r="J22" s="78" t="n">
        <f aca="false">IFERROR(IF(I22=0,0,IF(D9&lt;=2,MIN(I22,1),IF(D9&lt;=4,MIN(I22,2),I22))),0)</f>
        <v>0</v>
      </c>
      <c r="K22" s="81"/>
      <c r="L22" s="82" t="n">
        <v>0</v>
      </c>
      <c r="M22" s="78" t="n">
        <f aca="false">IFERROR(IF(L22=0,0,IF(D10&lt;=2,MIN(L22,1),IF(D10&lt;=4,MIN(L22,2),L22))),0)</f>
        <v>0</v>
      </c>
      <c r="N22" s="81"/>
      <c r="O22" s="82" t="n">
        <v>0</v>
      </c>
      <c r="P22" s="78" t="n">
        <f aca="false">IFERROR(IF(O22=0,0,IF(D11&lt;=2,MIN(O22,1),IF(D11&lt;=4,MIN(O22,2),O22))),0)</f>
        <v>0</v>
      </c>
      <c r="Q22" s="81"/>
    </row>
    <row r="23" customFormat="false" ht="21.75" hidden="false" customHeight="true" outlineLevel="0" collapsed="false">
      <c r="A23" s="44" t="s">
        <v>88</v>
      </c>
      <c r="B23" s="76" t="s">
        <v>89</v>
      </c>
      <c r="C23" s="82" t="n">
        <v>0</v>
      </c>
      <c r="D23" s="78" t="n">
        <f aca="false">IFERROR(IF(C23=0,0,IF(D7&lt;=2,MIN(C23,1),IF(D7&lt;=4,MIN(C23,2),C23))),0)</f>
        <v>0</v>
      </c>
      <c r="E23" s="79"/>
      <c r="F23" s="82" t="n">
        <v>0</v>
      </c>
      <c r="G23" s="78" t="n">
        <f aca="false">IFERROR(IF(F23=0,0,IF(D8&lt;=2,MIN(F23,1),IF(D8&lt;=4,MIN(F23,2),F23))),0)</f>
        <v>0</v>
      </c>
      <c r="H23" s="79"/>
      <c r="I23" s="82" t="n">
        <v>0</v>
      </c>
      <c r="J23" s="78" t="n">
        <f aca="false">IFERROR(IF(I23=0,0,IF(D9&lt;=2,MIN(I23,1),IF(D9&lt;=4,MIN(I23,2),I23))),0)</f>
        <v>0</v>
      </c>
      <c r="K23" s="79"/>
      <c r="L23" s="82" t="n">
        <v>0</v>
      </c>
      <c r="M23" s="78" t="n">
        <f aca="false">IFERROR(IF(L23=0,0,IF(D10&lt;=2,MIN(L23,1),IF(D10&lt;=4,MIN(L23,2),L23))),0)</f>
        <v>0</v>
      </c>
      <c r="N23" s="79"/>
      <c r="O23" s="82" t="n">
        <v>0</v>
      </c>
      <c r="P23" s="78" t="n">
        <f aca="false">IFERROR(IF(O23=0,0,IF(D11&lt;=2,MIN(O23,1),IF(D11&lt;=4,MIN(O23,2),O23))),0)</f>
        <v>0</v>
      </c>
      <c r="Q23" s="79"/>
    </row>
    <row r="24" customFormat="false" ht="21.75" hidden="false" customHeight="true" outlineLevel="0" collapsed="false">
      <c r="A24" s="44" t="s">
        <v>91</v>
      </c>
      <c r="B24" s="80" t="s">
        <v>92</v>
      </c>
      <c r="C24" s="82" t="n">
        <v>0</v>
      </c>
      <c r="D24" s="78" t="n">
        <f aca="false">IFERROR(IF(C24=0,0,IF(D7&lt;=2,MIN(C24,1),IF(D7&lt;=4,MIN(C24,2),C24))),0)</f>
        <v>0</v>
      </c>
      <c r="E24" s="81"/>
      <c r="F24" s="82" t="n">
        <v>0</v>
      </c>
      <c r="G24" s="78" t="n">
        <f aca="false">IFERROR(IF(F24=0,0,IF(D8&lt;=2,MIN(F24,1),IF(D8&lt;=4,MIN(F24,2),F24))),0)</f>
        <v>0</v>
      </c>
      <c r="H24" s="81"/>
      <c r="I24" s="82" t="n">
        <v>0</v>
      </c>
      <c r="J24" s="78" t="n">
        <f aca="false">IFERROR(IF(I24=0,0,IF(D9&lt;=2,MIN(I24,1),IF(D9&lt;=4,MIN(I24,2),I24))),0)</f>
        <v>0</v>
      </c>
      <c r="K24" s="81"/>
      <c r="L24" s="82" t="n">
        <v>0</v>
      </c>
      <c r="M24" s="78" t="n">
        <f aca="false">IFERROR(IF(L24=0,0,IF(D10&lt;=2,MIN(L24,1),IF(D10&lt;=4,MIN(L24,2),L24))),0)</f>
        <v>0</v>
      </c>
      <c r="N24" s="81"/>
      <c r="O24" s="82" t="n">
        <v>0</v>
      </c>
      <c r="P24" s="78" t="n">
        <f aca="false">IFERROR(IF(O24=0,0,IF(D11&lt;=2,MIN(O24,1),IF(D11&lt;=4,MIN(O24,2),O24))),0)</f>
        <v>0</v>
      </c>
      <c r="Q24" s="81"/>
    </row>
    <row r="25" customFormat="false" ht="21.75" hidden="false" customHeight="true" outlineLevel="0" collapsed="false">
      <c r="A25" s="44" t="s">
        <v>94</v>
      </c>
      <c r="B25" s="76" t="s">
        <v>95</v>
      </c>
      <c r="C25" s="82" t="n">
        <v>0</v>
      </c>
      <c r="D25" s="78" t="n">
        <f aca="false">IFERROR(IF(C25=0,0,IF(D7&lt;=2,MIN(C25,1),IF(D7&lt;=4,MIN(C25,2),C25))),0)</f>
        <v>0</v>
      </c>
      <c r="E25" s="79"/>
      <c r="F25" s="82" t="n">
        <v>0</v>
      </c>
      <c r="G25" s="78" t="n">
        <f aca="false">IFERROR(IF(F25=0,0,IF(D8&lt;=2,MIN(F25,1),IF(D8&lt;=4,MIN(F25,2),F25))),0)</f>
        <v>0</v>
      </c>
      <c r="H25" s="79"/>
      <c r="I25" s="82" t="n">
        <v>0</v>
      </c>
      <c r="J25" s="78" t="n">
        <f aca="false">IFERROR(IF(I25=0,0,IF(D9&lt;=2,MIN(I25,1),IF(D9&lt;=4,MIN(I25,2),I25))),0)</f>
        <v>0</v>
      </c>
      <c r="K25" s="79"/>
      <c r="L25" s="82" t="n">
        <v>0</v>
      </c>
      <c r="M25" s="78" t="n">
        <f aca="false">IFERROR(IF(L25=0,0,IF(D10&lt;=2,MIN(L25,1),IF(D10&lt;=4,MIN(L25,2),L25))),0)</f>
        <v>0</v>
      </c>
      <c r="N25" s="79"/>
      <c r="O25" s="82" t="n">
        <v>0</v>
      </c>
      <c r="P25" s="78" t="n">
        <f aca="false">IFERROR(IF(O25=0,0,IF(D11&lt;=2,MIN(O25,1),IF(D11&lt;=4,MIN(O25,2),O25))),0)</f>
        <v>0</v>
      </c>
      <c r="Q25" s="79"/>
    </row>
    <row r="26" customFormat="false" ht="21.75" hidden="false" customHeight="true" outlineLevel="0" collapsed="false">
      <c r="A26" s="44" t="s">
        <v>97</v>
      </c>
      <c r="B26" s="80" t="s">
        <v>98</v>
      </c>
      <c r="C26" s="77" t="n">
        <v>1</v>
      </c>
      <c r="D26" s="78" t="n">
        <f aca="false">IFERROR(IF(C26=0,0,IF(D7&lt;=2,MIN(C26,1),IF(D7&lt;=4,MIN(C26,2),C26))),0)</f>
        <v>1</v>
      </c>
      <c r="E26" s="81" t="s">
        <v>197</v>
      </c>
      <c r="F26" s="77" t="n">
        <v>1</v>
      </c>
      <c r="G26" s="78" t="n">
        <f aca="false">IFERROR(IF(F26=0,0,IF(D8&lt;=2,MIN(F26,1),IF(D8&lt;=4,MIN(F26,2),F26))),0)</f>
        <v>1</v>
      </c>
      <c r="H26" s="81" t="s">
        <v>198</v>
      </c>
      <c r="I26" s="77" t="n">
        <v>2</v>
      </c>
      <c r="J26" s="78" t="n">
        <f aca="false">IFERROR(IF(I26=0,0,IF(D9&lt;=2,MIN(I26,1),IF(D9&lt;=4,MIN(I26,2),I26))),0)</f>
        <v>2</v>
      </c>
      <c r="K26" s="81" t="s">
        <v>199</v>
      </c>
      <c r="L26" s="77" t="n">
        <v>2</v>
      </c>
      <c r="M26" s="78" t="n">
        <f aca="false">IFERROR(IF(L26=0,0,IF(D10&lt;=2,MIN(L26,1),IF(D10&lt;=4,MIN(L26,2),L26))),0)</f>
        <v>2</v>
      </c>
      <c r="N26" s="81" t="s">
        <v>200</v>
      </c>
      <c r="O26" s="77" t="n">
        <v>1</v>
      </c>
      <c r="P26" s="78" t="n">
        <f aca="false">IFERROR(IF(O26=0,0,IF(D11&lt;=2,MIN(O26,1),IF(D11&lt;=4,MIN(O26,2),O26))),0)</f>
        <v>1</v>
      </c>
      <c r="Q26" s="81" t="s">
        <v>201</v>
      </c>
    </row>
    <row r="27" customFormat="false" ht="21.75" hidden="false" customHeight="true" outlineLevel="0" collapsed="false">
      <c r="A27" s="83" t="s">
        <v>202</v>
      </c>
      <c r="B27" s="76" t="s">
        <v>203</v>
      </c>
      <c r="C27" s="77" t="n">
        <v>3</v>
      </c>
      <c r="D27" s="78" t="n">
        <f aca="false">IFERROR(IF(C27=0,0,IF(D7&lt;=2,MIN(C27,1),IF(D7&lt;=4,MIN(C27,2),C27))),0)</f>
        <v>2</v>
      </c>
      <c r="E27" s="79" t="s">
        <v>204</v>
      </c>
      <c r="F27" s="77" t="n">
        <v>3</v>
      </c>
      <c r="G27" s="78" t="n">
        <f aca="false">IFERROR(IF(F27=0,0,IF(D8&lt;=2,MIN(F27,1),IF(D8&lt;=4,MIN(F27,2),F27))),0)</f>
        <v>2</v>
      </c>
      <c r="H27" s="79" t="s">
        <v>205</v>
      </c>
      <c r="I27" s="77" t="n">
        <v>3</v>
      </c>
      <c r="J27" s="78" t="n">
        <f aca="false">IFERROR(IF(I27=0,0,IF(D9&lt;=2,MIN(I27,1),IF(D9&lt;=4,MIN(I27,2),I27))),0)</f>
        <v>3</v>
      </c>
      <c r="K27" s="79" t="s">
        <v>206</v>
      </c>
      <c r="L27" s="77" t="n">
        <v>3</v>
      </c>
      <c r="M27" s="78" t="n">
        <f aca="false">IFERROR(IF(L27=0,0,IF(D10&lt;=2,MIN(L27,1),IF(D10&lt;=4,MIN(L27,2),L27))),0)</f>
        <v>3</v>
      </c>
      <c r="N27" s="79" t="s">
        <v>207</v>
      </c>
      <c r="O27" s="77" t="n">
        <v>2</v>
      </c>
      <c r="P27" s="78" t="n">
        <f aca="false">IFERROR(IF(O27=0,0,IF(D11&lt;=2,MIN(O27,1),IF(D11&lt;=4,MIN(O27,2),O27))),0)</f>
        <v>2</v>
      </c>
      <c r="Q27" s="79" t="s">
        <v>208</v>
      </c>
    </row>
    <row r="28" customFormat="false" ht="21.75" hidden="false" customHeight="true" outlineLevel="0" collapsed="false">
      <c r="A28" s="83" t="s">
        <v>209</v>
      </c>
      <c r="B28" s="80" t="s">
        <v>210</v>
      </c>
      <c r="C28" s="77" t="n">
        <v>2</v>
      </c>
      <c r="D28" s="78" t="n">
        <f aca="false">IFERROR(IF(C28=0,0,IF(D7&lt;=2,MIN(C28,1),IF(D7&lt;=4,MIN(C28,2),C28))),0)</f>
        <v>2</v>
      </c>
      <c r="E28" s="81" t="s">
        <v>211</v>
      </c>
      <c r="F28" s="77" t="n">
        <v>1</v>
      </c>
      <c r="G28" s="78" t="n">
        <f aca="false">IFERROR(IF(F28=0,0,IF(D8&lt;=2,MIN(F28,1),IF(D8&lt;=4,MIN(F28,2),F28))),0)</f>
        <v>1</v>
      </c>
      <c r="H28" s="81" t="s">
        <v>212</v>
      </c>
      <c r="I28" s="77" t="n">
        <v>3</v>
      </c>
      <c r="J28" s="78" t="n">
        <f aca="false">IFERROR(IF(I28=0,0,IF(D9&lt;=2,MIN(I28,1),IF(D9&lt;=4,MIN(I28,2),I28))),0)</f>
        <v>3</v>
      </c>
      <c r="K28" s="81" t="s">
        <v>213</v>
      </c>
      <c r="L28" s="77" t="n">
        <v>2</v>
      </c>
      <c r="M28" s="78" t="n">
        <f aca="false">IFERROR(IF(L28=0,0,IF(D10&lt;=2,MIN(L28,1),IF(D10&lt;=4,MIN(L28,2),L28))),0)</f>
        <v>2</v>
      </c>
      <c r="N28" s="81" t="s">
        <v>214</v>
      </c>
      <c r="O28" s="77" t="n">
        <v>3</v>
      </c>
      <c r="P28" s="78" t="n">
        <f aca="false">IFERROR(IF(O28=0,0,IF(D11&lt;=2,MIN(O28,1),IF(D11&lt;=4,MIN(O28,2),O28))),0)</f>
        <v>2</v>
      </c>
      <c r="Q28" s="81" t="s">
        <v>215</v>
      </c>
    </row>
    <row r="29" customFormat="false" ht="21.75" hidden="false" customHeight="true" outlineLevel="0" collapsed="false">
      <c r="A29" s="83" t="s">
        <v>216</v>
      </c>
      <c r="B29" s="76" t="s">
        <v>217</v>
      </c>
      <c r="C29" s="82" t="n">
        <v>0</v>
      </c>
      <c r="D29" s="78" t="n">
        <f aca="false">IFERROR(IF(C29=0,0,IF(D7&lt;=2,MIN(C29,1),IF(D7&lt;=4,MIN(C29,2),C29))),0)</f>
        <v>0</v>
      </c>
      <c r="E29" s="79"/>
      <c r="F29" s="82" t="n">
        <v>0</v>
      </c>
      <c r="G29" s="78" t="n">
        <f aca="false">IFERROR(IF(F29=0,0,IF(D8&lt;=2,MIN(F29,1),IF(D8&lt;=4,MIN(F29,2),F29))),0)</f>
        <v>0</v>
      </c>
      <c r="H29" s="79"/>
      <c r="I29" s="77" t="n">
        <v>2</v>
      </c>
      <c r="J29" s="78" t="n">
        <f aca="false">IFERROR(IF(I29=0,0,IF(D9&lt;=2,MIN(I29,1),IF(D9&lt;=4,MIN(I29,2),I29))),0)</f>
        <v>2</v>
      </c>
      <c r="K29" s="79" t="s">
        <v>218</v>
      </c>
      <c r="L29" s="82" t="n">
        <v>0</v>
      </c>
      <c r="M29" s="78" t="n">
        <f aca="false">IFERROR(IF(L29=0,0,IF(D10&lt;=2,MIN(L29,1),IF(D10&lt;=4,MIN(L29,2),L29))),0)</f>
        <v>0</v>
      </c>
      <c r="N29" s="79"/>
      <c r="O29" s="77" t="n">
        <v>2</v>
      </c>
      <c r="P29" s="78" t="n">
        <f aca="false">IFERROR(IF(O29=0,0,IF(D11&lt;=2,MIN(O29,1),IF(D11&lt;=4,MIN(O29,2),O29))),0)</f>
        <v>2</v>
      </c>
      <c r="Q29" s="79" t="s">
        <v>219</v>
      </c>
    </row>
    <row r="31" customFormat="false" ht="21.75" hidden="false" customHeight="true" outlineLevel="0" collapsed="false">
      <c r="A31" s="84" t="s">
        <v>220</v>
      </c>
      <c r="B31" s="84"/>
      <c r="C31" s="85"/>
      <c r="D31" s="86" t="n">
        <f aca="false">IFERROR(AVERAGE(D15:D29),0)</f>
        <v>0.666666666666667</v>
      </c>
      <c r="E31" s="85"/>
      <c r="F31" s="85"/>
      <c r="G31" s="86" t="n">
        <f aca="false">IFERROR(AVERAGE(G15:G29),0)</f>
        <v>0.666666666666667</v>
      </c>
      <c r="H31" s="85"/>
      <c r="I31" s="85"/>
      <c r="J31" s="86" t="n">
        <f aca="false">IFERROR(AVERAGE(J15:J29),0)</f>
        <v>1.26666666666667</v>
      </c>
      <c r="K31" s="85"/>
      <c r="L31" s="85"/>
      <c r="M31" s="86" t="n">
        <f aca="false">IFERROR(AVERAGE(M15:M29),0)</f>
        <v>0.933333333333333</v>
      </c>
      <c r="N31" s="85"/>
      <c r="O31" s="85"/>
      <c r="P31" s="86" t="n">
        <f aca="false">IFERROR(AVERAGE(P15:P29),0)</f>
        <v>0.866666666666667</v>
      </c>
      <c r="Q31" s="85"/>
    </row>
  </sheetData>
  <mergeCells count="13">
    <mergeCell ref="A1:L1"/>
    <mergeCell ref="A2:L2"/>
    <mergeCell ref="A4:B4"/>
    <mergeCell ref="G4:L4"/>
    <mergeCell ref="A5:L5"/>
    <mergeCell ref="G6:L6"/>
    <mergeCell ref="G7:L7"/>
    <mergeCell ref="G8:L8"/>
    <mergeCell ref="G9:L9"/>
    <mergeCell ref="G10:L10"/>
    <mergeCell ref="G11:L11"/>
    <mergeCell ref="A13:L13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4" min="3" style="1" width="9"/>
    <col collapsed="false" customWidth="true" hidden="false" outlineLevel="0" max="5" min="5" style="1" width="28"/>
    <col collapsed="false" customWidth="true" hidden="false" outlineLevel="0" max="7" min="6" style="1" width="9"/>
    <col collapsed="false" customWidth="true" hidden="false" outlineLevel="0" max="8" min="8" style="1" width="28"/>
    <col collapsed="false" customWidth="true" hidden="false" outlineLevel="0" max="10" min="9" style="1" width="9"/>
    <col collapsed="false" customWidth="true" hidden="false" outlineLevel="0" max="11" min="11" style="1" width="28"/>
    <col collapsed="false" customWidth="true" hidden="false" outlineLevel="0" max="13" min="12" style="1" width="9"/>
    <col collapsed="false" customWidth="true" hidden="false" outlineLevel="0" max="14" min="14" style="1" width="28"/>
    <col collapsed="false" customWidth="true" hidden="false" outlineLevel="0" max="16" min="15" style="1" width="9"/>
    <col collapsed="false" customWidth="true" hidden="false" outlineLevel="0" max="17" min="17" style="1" width="28"/>
  </cols>
  <sheetData>
    <row r="1" customFormat="false" ht="36" hidden="false" customHeight="true" outlineLevel="0" collapsed="false">
      <c r="A1" s="56" t="s">
        <v>221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3.5" hidden="false" customHeight="true" outlineLevel="0" collapsed="false">
      <c r="A2" s="57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4.5" hidden="false" customHeight="true" outlineLevel="0" collapsed="false"/>
    <row r="4" customFormat="false" ht="18" hidden="false" customHeight="true" outlineLevel="0" collapsed="false">
      <c r="A4" s="58" t="s">
        <v>132</v>
      </c>
      <c r="B4" s="58"/>
      <c r="C4" s="6" t="s">
        <v>133</v>
      </c>
      <c r="D4" s="10" t="s">
        <v>134</v>
      </c>
      <c r="E4" s="14" t="s">
        <v>135</v>
      </c>
      <c r="F4" s="18" t="s">
        <v>136</v>
      </c>
      <c r="G4" s="59" t="s">
        <v>137</v>
      </c>
      <c r="H4" s="59"/>
      <c r="I4" s="59"/>
      <c r="J4" s="59"/>
      <c r="K4" s="59"/>
      <c r="L4" s="59"/>
    </row>
    <row r="5" customFormat="false" ht="21.75" hidden="false" customHeight="true" outlineLevel="0" collapsed="false">
      <c r="A5" s="60" t="s">
        <v>138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customFormat="false" ht="19.5" hidden="false" customHeight="true" outlineLevel="0" collapsed="false">
      <c r="A6" s="61" t="s">
        <v>139</v>
      </c>
      <c r="B6" s="61" t="s">
        <v>140</v>
      </c>
      <c r="C6" s="62" t="s">
        <v>141</v>
      </c>
      <c r="D6" s="62" t="s">
        <v>142</v>
      </c>
      <c r="E6" s="63" t="s">
        <v>143</v>
      </c>
      <c r="F6" s="63" t="s">
        <v>144</v>
      </c>
      <c r="G6" s="64" t="s">
        <v>145</v>
      </c>
      <c r="H6" s="64"/>
      <c r="I6" s="64"/>
      <c r="J6" s="64"/>
      <c r="K6" s="64"/>
      <c r="L6" s="64"/>
    </row>
    <row r="7" customFormat="false" ht="21.75" hidden="false" customHeight="true" outlineLevel="0" collapsed="false">
      <c r="A7" s="65" t="s">
        <v>146</v>
      </c>
      <c r="B7" s="66" t="s">
        <v>222</v>
      </c>
      <c r="C7" s="67" t="s">
        <v>223</v>
      </c>
      <c r="D7" s="68" t="n">
        <v>2</v>
      </c>
      <c r="E7" s="69" t="str">
        <f aca="false">CHOOSE(D7,"Remember","Understand","Apply","Analyze","Evaluate","Create")</f>
        <v>Understand</v>
      </c>
      <c r="F7" s="70" t="str">
        <f aca="false">IF(D7&lt;=2,"LOTS","HOTS")</f>
        <v>LOTS</v>
      </c>
      <c r="G7" s="9" t="s">
        <v>224</v>
      </c>
      <c r="H7" s="9"/>
      <c r="I7" s="9"/>
      <c r="J7" s="9"/>
      <c r="K7" s="9"/>
      <c r="L7" s="9"/>
    </row>
    <row r="8" customFormat="false" ht="21.75" hidden="false" customHeight="true" outlineLevel="0" collapsed="false">
      <c r="A8" s="65" t="s">
        <v>149</v>
      </c>
      <c r="B8" s="71" t="s">
        <v>225</v>
      </c>
      <c r="C8" s="67" t="s">
        <v>154</v>
      </c>
      <c r="D8" s="68" t="n">
        <v>6</v>
      </c>
      <c r="E8" s="69" t="str">
        <f aca="false">CHOOSE(D8,"Remember","Understand","Apply","Analyze","Evaluate","Create")</f>
        <v>Create</v>
      </c>
      <c r="F8" s="70" t="str">
        <f aca="false">IF(D8&lt;=2,"LOTS","HOTS")</f>
        <v>HOTS</v>
      </c>
      <c r="G8" s="72" t="s">
        <v>226</v>
      </c>
      <c r="H8" s="72"/>
      <c r="I8" s="72"/>
      <c r="J8" s="72"/>
      <c r="K8" s="72"/>
      <c r="L8" s="72"/>
    </row>
    <row r="9" customFormat="false" ht="21.75" hidden="false" customHeight="true" outlineLevel="0" collapsed="false">
      <c r="A9" s="65" t="s">
        <v>152</v>
      </c>
      <c r="B9" s="66" t="s">
        <v>227</v>
      </c>
      <c r="C9" s="67" t="s">
        <v>51</v>
      </c>
      <c r="D9" s="68" t="n">
        <v>4</v>
      </c>
      <c r="E9" s="69" t="str">
        <f aca="false">CHOOSE(D9,"Remember","Understand","Apply","Analyze","Evaluate","Create")</f>
        <v>Analyze</v>
      </c>
      <c r="F9" s="70" t="str">
        <f aca="false">IF(D9&lt;=2,"LOTS","HOTS")</f>
        <v>HOTS</v>
      </c>
      <c r="G9" s="9" t="s">
        <v>228</v>
      </c>
      <c r="H9" s="9"/>
      <c r="I9" s="9"/>
      <c r="J9" s="9"/>
      <c r="K9" s="9"/>
      <c r="L9" s="9"/>
    </row>
    <row r="10" customFormat="false" ht="21.75" hidden="false" customHeight="true" outlineLevel="0" collapsed="false">
      <c r="A10" s="65" t="s">
        <v>156</v>
      </c>
      <c r="B10" s="71" t="s">
        <v>229</v>
      </c>
      <c r="C10" s="67" t="s">
        <v>54</v>
      </c>
      <c r="D10" s="68" t="n">
        <v>5</v>
      </c>
      <c r="E10" s="69" t="str">
        <f aca="false">CHOOSE(D10,"Remember","Understand","Apply","Analyze","Evaluate","Create")</f>
        <v>Evaluate</v>
      </c>
      <c r="F10" s="70" t="str">
        <f aca="false">IF(D10&lt;=2,"LOTS","HOTS")</f>
        <v>HOTS</v>
      </c>
      <c r="G10" s="72" t="s">
        <v>230</v>
      </c>
      <c r="H10" s="72"/>
      <c r="I10" s="72"/>
      <c r="J10" s="72"/>
      <c r="K10" s="72"/>
      <c r="L10" s="72"/>
    </row>
    <row r="11" customFormat="false" ht="21.75" hidden="false" customHeight="true" outlineLevel="0" collapsed="false">
      <c r="A11" s="65" t="s">
        <v>159</v>
      </c>
      <c r="B11" s="66" t="s">
        <v>231</v>
      </c>
      <c r="C11" s="67" t="s">
        <v>154</v>
      </c>
      <c r="D11" s="68" t="n">
        <v>6</v>
      </c>
      <c r="E11" s="69" t="str">
        <f aca="false">CHOOSE(D11,"Remember","Understand","Apply","Analyze","Evaluate","Create")</f>
        <v>Create</v>
      </c>
      <c r="F11" s="70" t="str">
        <f aca="false">IF(D11&lt;=2,"LOTS","HOTS")</f>
        <v>HOTS</v>
      </c>
      <c r="G11" s="9" t="s">
        <v>232</v>
      </c>
      <c r="H11" s="9"/>
      <c r="I11" s="9"/>
      <c r="J11" s="9"/>
      <c r="K11" s="9"/>
      <c r="L11" s="9"/>
    </row>
    <row r="13" customFormat="false" ht="21.75" hidden="false" customHeight="true" outlineLevel="0" collapsed="false">
      <c r="A13" s="73" t="s">
        <v>163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customFormat="false" ht="19.5" hidden="false" customHeight="true" outlineLevel="0" collapsed="false">
      <c r="A14" s="5" t="s">
        <v>164</v>
      </c>
      <c r="B14" s="5" t="s">
        <v>165</v>
      </c>
      <c r="C14" s="63" t="s">
        <v>166</v>
      </c>
      <c r="D14" s="74" t="s">
        <v>167</v>
      </c>
      <c r="E14" s="75" t="s">
        <v>168</v>
      </c>
      <c r="F14" s="63" t="s">
        <v>169</v>
      </c>
      <c r="G14" s="74" t="s">
        <v>170</v>
      </c>
      <c r="H14" s="75" t="s">
        <v>171</v>
      </c>
      <c r="I14" s="63" t="s">
        <v>172</v>
      </c>
      <c r="J14" s="74" t="s">
        <v>173</v>
      </c>
      <c r="K14" s="75" t="s">
        <v>174</v>
      </c>
      <c r="L14" s="63" t="s">
        <v>175</v>
      </c>
      <c r="M14" s="74" t="s">
        <v>176</v>
      </c>
      <c r="N14" s="75" t="s">
        <v>177</v>
      </c>
      <c r="O14" s="63" t="s">
        <v>178</v>
      </c>
      <c r="P14" s="74" t="s">
        <v>179</v>
      </c>
      <c r="Q14" s="75" t="s">
        <v>180</v>
      </c>
    </row>
    <row r="15" customFormat="false" ht="21.75" hidden="false" customHeight="true" outlineLevel="0" collapsed="false">
      <c r="A15" s="44" t="s">
        <v>64</v>
      </c>
      <c r="B15" s="76" t="s">
        <v>65</v>
      </c>
      <c r="C15" s="77" t="n">
        <v>1</v>
      </c>
      <c r="D15" s="78" t="n">
        <f aca="false">IFERROR(IF(C15=0,0,IF(D7&lt;=2,MIN(C15,1),IF(D7&lt;=4,MIN(C15,2),C15))),0)</f>
        <v>1</v>
      </c>
      <c r="E15" s="79" t="s">
        <v>233</v>
      </c>
      <c r="F15" s="77" t="n">
        <v>2</v>
      </c>
      <c r="G15" s="78" t="n">
        <f aca="false">IFERROR(IF(F15=0,0,IF(D8&lt;=2,MIN(F15,1),IF(D8&lt;=4,MIN(F15,2),F15))),0)</f>
        <v>2</v>
      </c>
      <c r="H15" s="79" t="s">
        <v>234</v>
      </c>
      <c r="I15" s="77" t="n">
        <v>2</v>
      </c>
      <c r="J15" s="78" t="n">
        <f aca="false">IFERROR(IF(I15=0,0,IF(D9&lt;=2,MIN(I15,1),IF(D9&lt;=4,MIN(I15,2),I15))),0)</f>
        <v>2</v>
      </c>
      <c r="K15" s="79" t="s">
        <v>235</v>
      </c>
      <c r="L15" s="77" t="n">
        <v>2</v>
      </c>
      <c r="M15" s="78" t="n">
        <f aca="false">IFERROR(IF(L15=0,0,IF(D10&lt;=2,MIN(L15,1),IF(D10&lt;=4,MIN(L15,2),L15))),0)</f>
        <v>2</v>
      </c>
      <c r="N15" s="79" t="s">
        <v>236</v>
      </c>
      <c r="O15" s="77" t="n">
        <v>3</v>
      </c>
      <c r="P15" s="78" t="n">
        <f aca="false">IFERROR(IF(O15=0,0,IF(D11&lt;=2,MIN(O15,1),IF(D11&lt;=4,MIN(O15,2),O15))),0)</f>
        <v>3</v>
      </c>
      <c r="Q15" s="79" t="s">
        <v>237</v>
      </c>
    </row>
    <row r="16" customFormat="false" ht="21.75" hidden="false" customHeight="true" outlineLevel="0" collapsed="false">
      <c r="A16" s="44" t="s">
        <v>67</v>
      </c>
      <c r="B16" s="80" t="s">
        <v>68</v>
      </c>
      <c r="C16" s="77" t="n">
        <v>1</v>
      </c>
      <c r="D16" s="78" t="n">
        <f aca="false">IFERROR(IF(C16=0,0,IF(D7&lt;=2,MIN(C16,1),IF(D7&lt;=4,MIN(C16,2),C16))),0)</f>
        <v>1</v>
      </c>
      <c r="E16" s="81" t="s">
        <v>238</v>
      </c>
      <c r="F16" s="82" t="n">
        <v>0</v>
      </c>
      <c r="G16" s="78" t="n">
        <f aca="false">IFERROR(IF(F16=0,0,IF(D8&lt;=2,MIN(F16,1),IF(D8&lt;=4,MIN(F16,2),F16))),0)</f>
        <v>0</v>
      </c>
      <c r="H16" s="81"/>
      <c r="I16" s="77" t="n">
        <v>3</v>
      </c>
      <c r="J16" s="78" t="n">
        <f aca="false">IFERROR(IF(I16=0,0,IF(D9&lt;=2,MIN(I16,1),IF(D9&lt;=4,MIN(I16,2),I16))),0)</f>
        <v>2</v>
      </c>
      <c r="K16" s="81" t="s">
        <v>239</v>
      </c>
      <c r="L16" s="77" t="n">
        <v>3</v>
      </c>
      <c r="M16" s="78" t="n">
        <f aca="false">IFERROR(IF(L16=0,0,IF(D10&lt;=2,MIN(L16,1),IF(D10&lt;=4,MIN(L16,2),L16))),0)</f>
        <v>3</v>
      </c>
      <c r="N16" s="81" t="s">
        <v>240</v>
      </c>
      <c r="O16" s="77" t="n">
        <v>2</v>
      </c>
      <c r="P16" s="78" t="n">
        <f aca="false">IFERROR(IF(O16=0,0,IF(D11&lt;=2,MIN(O16,1),IF(D11&lt;=4,MIN(O16,2),O16))),0)</f>
        <v>2</v>
      </c>
      <c r="Q16" s="81" t="s">
        <v>188</v>
      </c>
    </row>
    <row r="17" customFormat="false" ht="21.75" hidden="false" customHeight="true" outlineLevel="0" collapsed="false">
      <c r="A17" s="44" t="s">
        <v>70</v>
      </c>
      <c r="B17" s="76" t="s">
        <v>71</v>
      </c>
      <c r="C17" s="82" t="n">
        <v>0</v>
      </c>
      <c r="D17" s="78" t="n">
        <f aca="false">IFERROR(IF(C17=0,0,IF(D7&lt;=2,MIN(C17,1),IF(D7&lt;=4,MIN(C17,2),C17))),0)</f>
        <v>0</v>
      </c>
      <c r="E17" s="79"/>
      <c r="F17" s="77" t="n">
        <v>3</v>
      </c>
      <c r="G17" s="78" t="n">
        <f aca="false">IFERROR(IF(F17=0,0,IF(D8&lt;=2,MIN(F17,1),IF(D8&lt;=4,MIN(F17,2),F17))),0)</f>
        <v>3</v>
      </c>
      <c r="H17" s="79" t="s">
        <v>241</v>
      </c>
      <c r="I17" s="82" t="n">
        <v>0</v>
      </c>
      <c r="J17" s="78" t="n">
        <f aca="false">IFERROR(IF(I17=0,0,IF(D9&lt;=2,MIN(I17,1),IF(D9&lt;=4,MIN(I17,2),I17))),0)</f>
        <v>0</v>
      </c>
      <c r="K17" s="79"/>
      <c r="L17" s="82" t="n">
        <v>0</v>
      </c>
      <c r="M17" s="78" t="n">
        <f aca="false">IFERROR(IF(L17=0,0,IF(D10&lt;=2,MIN(L17,1),IF(D10&lt;=4,MIN(L17,2),L17))),0)</f>
        <v>0</v>
      </c>
      <c r="N17" s="79"/>
      <c r="O17" s="77" t="n">
        <v>3</v>
      </c>
      <c r="P17" s="78" t="n">
        <f aca="false">IFERROR(IF(O17=0,0,IF(D11&lt;=2,MIN(O17,1),IF(D11&lt;=4,MIN(O17,2),O17))),0)</f>
        <v>3</v>
      </c>
      <c r="Q17" s="79" t="s">
        <v>242</v>
      </c>
    </row>
    <row r="18" customFormat="false" ht="21.75" hidden="false" customHeight="true" outlineLevel="0" collapsed="false">
      <c r="A18" s="44" t="s">
        <v>73</v>
      </c>
      <c r="B18" s="80" t="s">
        <v>74</v>
      </c>
      <c r="C18" s="82" t="n">
        <v>0</v>
      </c>
      <c r="D18" s="78" t="n">
        <f aca="false">IFERROR(IF(C18=0,0,IF(D7&lt;=2,MIN(C18,1),IF(D7&lt;=4,MIN(C18,2),C18))),0)</f>
        <v>0</v>
      </c>
      <c r="E18" s="81"/>
      <c r="F18" s="82" t="n">
        <v>0</v>
      </c>
      <c r="G18" s="78" t="n">
        <f aca="false">IFERROR(IF(F18=0,0,IF(D8&lt;=2,MIN(F18,1),IF(D8&lt;=4,MIN(F18,2),F18))),0)</f>
        <v>0</v>
      </c>
      <c r="H18" s="81"/>
      <c r="I18" s="77" t="n">
        <v>2</v>
      </c>
      <c r="J18" s="78" t="n">
        <f aca="false">IFERROR(IF(I18=0,0,IF(D9&lt;=2,MIN(I18,1),IF(D9&lt;=4,MIN(I18,2),I18))),0)</f>
        <v>2</v>
      </c>
      <c r="K18" s="81" t="s">
        <v>243</v>
      </c>
      <c r="L18" s="77" t="n">
        <v>2</v>
      </c>
      <c r="M18" s="78" t="n">
        <f aca="false">IFERROR(IF(L18=0,0,IF(D10&lt;=2,MIN(L18,1),IF(D10&lt;=4,MIN(L18,2),L18))),0)</f>
        <v>2</v>
      </c>
      <c r="N18" s="81" t="s">
        <v>244</v>
      </c>
      <c r="O18" s="82" t="n">
        <v>0</v>
      </c>
      <c r="P18" s="78" t="n">
        <f aca="false">IFERROR(IF(O18=0,0,IF(D11&lt;=2,MIN(O18,1),IF(D11&lt;=4,MIN(O18,2),O18))),0)</f>
        <v>0</v>
      </c>
      <c r="Q18" s="81"/>
    </row>
    <row r="19" customFormat="false" ht="21.75" hidden="false" customHeight="true" outlineLevel="0" collapsed="false">
      <c r="A19" s="44" t="s">
        <v>76</v>
      </c>
      <c r="B19" s="76" t="s">
        <v>77</v>
      </c>
      <c r="C19" s="82" t="n">
        <v>0</v>
      </c>
      <c r="D19" s="78" t="n">
        <f aca="false">IFERROR(IF(C19=0,0,IF(D7&lt;=2,MIN(C19,1),IF(D7&lt;=4,MIN(C19,2),C19))),0)</f>
        <v>0</v>
      </c>
      <c r="E19" s="79"/>
      <c r="F19" s="77" t="n">
        <v>3</v>
      </c>
      <c r="G19" s="78" t="n">
        <f aca="false">IFERROR(IF(F19=0,0,IF(D8&lt;=2,MIN(F19,1),IF(D8&lt;=4,MIN(F19,2),F19))),0)</f>
        <v>3</v>
      </c>
      <c r="H19" s="79" t="s">
        <v>245</v>
      </c>
      <c r="I19" s="82" t="n">
        <v>0</v>
      </c>
      <c r="J19" s="78" t="n">
        <f aca="false">IFERROR(IF(I19=0,0,IF(D9&lt;=2,MIN(I19,1),IF(D9&lt;=4,MIN(I19,2),I19))),0)</f>
        <v>0</v>
      </c>
      <c r="K19" s="79"/>
      <c r="L19" s="82" t="n">
        <v>0</v>
      </c>
      <c r="M19" s="78" t="n">
        <f aca="false">IFERROR(IF(L19=0,0,IF(D10&lt;=2,MIN(L19,1),IF(D10&lt;=4,MIN(L19,2),L19))),0)</f>
        <v>0</v>
      </c>
      <c r="N19" s="79"/>
      <c r="O19" s="77" t="n">
        <v>2</v>
      </c>
      <c r="P19" s="78" t="n">
        <f aca="false">IFERROR(IF(O19=0,0,IF(D11&lt;=2,MIN(O19,1),IF(D11&lt;=4,MIN(O19,2),O19))),0)</f>
        <v>2</v>
      </c>
      <c r="Q19" s="79" t="s">
        <v>246</v>
      </c>
    </row>
    <row r="20" customFormat="false" ht="21.75" hidden="false" customHeight="true" outlineLevel="0" collapsed="false">
      <c r="A20" s="44" t="s">
        <v>79</v>
      </c>
      <c r="B20" s="80" t="s">
        <v>80</v>
      </c>
      <c r="C20" s="82" t="n">
        <v>0</v>
      </c>
      <c r="D20" s="78" t="n">
        <f aca="false">IFERROR(IF(C20=0,0,IF(D7&lt;=2,MIN(C20,1),IF(D7&lt;=4,MIN(C20,2),C20))),0)</f>
        <v>0</v>
      </c>
      <c r="E20" s="81"/>
      <c r="F20" s="82" t="n">
        <v>0</v>
      </c>
      <c r="G20" s="78" t="n">
        <f aca="false">IFERROR(IF(F20=0,0,IF(D8&lt;=2,MIN(F20,1),IF(D8&lt;=4,MIN(F20,2),F20))),0)</f>
        <v>0</v>
      </c>
      <c r="H20" s="81"/>
      <c r="I20" s="82" t="n">
        <v>0</v>
      </c>
      <c r="J20" s="78" t="n">
        <f aca="false">IFERROR(IF(I20=0,0,IF(D9&lt;=2,MIN(I20,1),IF(D9&lt;=4,MIN(I20,2),I20))),0)</f>
        <v>0</v>
      </c>
      <c r="K20" s="81"/>
      <c r="L20" s="82" t="n">
        <v>0</v>
      </c>
      <c r="M20" s="78" t="n">
        <f aca="false">IFERROR(IF(L20=0,0,IF(D10&lt;=2,MIN(L20,1),IF(D10&lt;=4,MIN(L20,2),L20))),0)</f>
        <v>0</v>
      </c>
      <c r="N20" s="81"/>
      <c r="O20" s="82" t="n">
        <v>0</v>
      </c>
      <c r="P20" s="78" t="n">
        <f aca="false">IFERROR(IF(O20=0,0,IF(D11&lt;=2,MIN(O20,1),IF(D11&lt;=4,MIN(O20,2),O20))),0)</f>
        <v>0</v>
      </c>
      <c r="Q20" s="81"/>
    </row>
    <row r="21" customFormat="false" ht="21.75" hidden="false" customHeight="true" outlineLevel="0" collapsed="false">
      <c r="A21" s="44" t="s">
        <v>82</v>
      </c>
      <c r="B21" s="76" t="s">
        <v>83</v>
      </c>
      <c r="C21" s="82" t="n">
        <v>0</v>
      </c>
      <c r="D21" s="78" t="n">
        <f aca="false">IFERROR(IF(C21=0,0,IF(D7&lt;=2,MIN(C21,1),IF(D7&lt;=4,MIN(C21,2),C21))),0)</f>
        <v>0</v>
      </c>
      <c r="E21" s="79"/>
      <c r="F21" s="82" t="n">
        <v>0</v>
      </c>
      <c r="G21" s="78" t="n">
        <f aca="false">IFERROR(IF(F21=0,0,IF(D8&lt;=2,MIN(F21,1),IF(D8&lt;=4,MIN(F21,2),F21))),0)</f>
        <v>0</v>
      </c>
      <c r="H21" s="79"/>
      <c r="I21" s="82" t="n">
        <v>0</v>
      </c>
      <c r="J21" s="78" t="n">
        <f aca="false">IFERROR(IF(I21=0,0,IF(D9&lt;=2,MIN(I21,1),IF(D9&lt;=4,MIN(I21,2),I21))),0)</f>
        <v>0</v>
      </c>
      <c r="K21" s="79"/>
      <c r="L21" s="82" t="n">
        <v>0</v>
      </c>
      <c r="M21" s="78" t="n">
        <f aca="false">IFERROR(IF(L21=0,0,IF(D10&lt;=2,MIN(L21,1),IF(D10&lt;=4,MIN(L21,2),L21))),0)</f>
        <v>0</v>
      </c>
      <c r="N21" s="79"/>
      <c r="O21" s="82" t="n">
        <v>0</v>
      </c>
      <c r="P21" s="78" t="n">
        <f aca="false">IFERROR(IF(O21=0,0,IF(D11&lt;=2,MIN(O21,1),IF(D11&lt;=4,MIN(O21,2),O21))),0)</f>
        <v>0</v>
      </c>
      <c r="Q21" s="79"/>
    </row>
    <row r="22" customFormat="false" ht="21.75" hidden="false" customHeight="true" outlineLevel="0" collapsed="false">
      <c r="A22" s="44" t="s">
        <v>85</v>
      </c>
      <c r="B22" s="80" t="s">
        <v>86</v>
      </c>
      <c r="C22" s="82" t="n">
        <v>0</v>
      </c>
      <c r="D22" s="78" t="n">
        <f aca="false">IFERROR(IF(C22=0,0,IF(D7&lt;=2,MIN(C22,1),IF(D7&lt;=4,MIN(C22,2),C22))),0)</f>
        <v>0</v>
      </c>
      <c r="E22" s="81"/>
      <c r="F22" s="82" t="n">
        <v>0</v>
      </c>
      <c r="G22" s="78" t="n">
        <f aca="false">IFERROR(IF(F22=0,0,IF(D8&lt;=2,MIN(F22,1),IF(D8&lt;=4,MIN(F22,2),F22))),0)</f>
        <v>0</v>
      </c>
      <c r="H22" s="81"/>
      <c r="I22" s="82" t="n">
        <v>0</v>
      </c>
      <c r="J22" s="78" t="n">
        <f aca="false">IFERROR(IF(I22=0,0,IF(D9&lt;=2,MIN(I22,1),IF(D9&lt;=4,MIN(I22,2),I22))),0)</f>
        <v>0</v>
      </c>
      <c r="K22" s="81"/>
      <c r="L22" s="82" t="n">
        <v>0</v>
      </c>
      <c r="M22" s="78" t="n">
        <f aca="false">IFERROR(IF(L22=0,0,IF(D10&lt;=2,MIN(L22,1),IF(D10&lt;=4,MIN(L22,2),L22))),0)</f>
        <v>0</v>
      </c>
      <c r="N22" s="81"/>
      <c r="O22" s="82" t="n">
        <v>0</v>
      </c>
      <c r="P22" s="78" t="n">
        <f aca="false">IFERROR(IF(O22=0,0,IF(D11&lt;=2,MIN(O22,1),IF(D11&lt;=4,MIN(O22,2),O22))),0)</f>
        <v>0</v>
      </c>
      <c r="Q22" s="81"/>
    </row>
    <row r="23" customFormat="false" ht="21.75" hidden="false" customHeight="true" outlineLevel="0" collapsed="false">
      <c r="A23" s="44" t="s">
        <v>88</v>
      </c>
      <c r="B23" s="76" t="s">
        <v>89</v>
      </c>
      <c r="C23" s="82" t="n">
        <v>0</v>
      </c>
      <c r="D23" s="78" t="n">
        <f aca="false">IFERROR(IF(C23=0,0,IF(D7&lt;=2,MIN(C23,1),IF(D7&lt;=4,MIN(C23,2),C23))),0)</f>
        <v>0</v>
      </c>
      <c r="E23" s="79"/>
      <c r="F23" s="82" t="n">
        <v>0</v>
      </c>
      <c r="G23" s="78" t="n">
        <f aca="false">IFERROR(IF(F23=0,0,IF(D8&lt;=2,MIN(F23,1),IF(D8&lt;=4,MIN(F23,2),F23))),0)</f>
        <v>0</v>
      </c>
      <c r="H23" s="79"/>
      <c r="I23" s="82" t="n">
        <v>0</v>
      </c>
      <c r="J23" s="78" t="n">
        <f aca="false">IFERROR(IF(I23=0,0,IF(D9&lt;=2,MIN(I23,1),IF(D9&lt;=4,MIN(I23,2),I23))),0)</f>
        <v>0</v>
      </c>
      <c r="K23" s="79"/>
      <c r="L23" s="82" t="n">
        <v>0</v>
      </c>
      <c r="M23" s="78" t="n">
        <f aca="false">IFERROR(IF(L23=0,0,IF(D10&lt;=2,MIN(L23,1),IF(D10&lt;=4,MIN(L23,2),L23))),0)</f>
        <v>0</v>
      </c>
      <c r="N23" s="79"/>
      <c r="O23" s="82" t="n">
        <v>0</v>
      </c>
      <c r="P23" s="78" t="n">
        <f aca="false">IFERROR(IF(O23=0,0,IF(D11&lt;=2,MIN(O23,1),IF(D11&lt;=4,MIN(O23,2),O23))),0)</f>
        <v>0</v>
      </c>
      <c r="Q23" s="79"/>
    </row>
    <row r="24" customFormat="false" ht="21.75" hidden="false" customHeight="true" outlineLevel="0" collapsed="false">
      <c r="A24" s="44" t="s">
        <v>91</v>
      </c>
      <c r="B24" s="80" t="s">
        <v>92</v>
      </c>
      <c r="C24" s="82" t="n">
        <v>0</v>
      </c>
      <c r="D24" s="78" t="n">
        <f aca="false">IFERROR(IF(C24=0,0,IF(D7&lt;=2,MIN(C24,1),IF(D7&lt;=4,MIN(C24,2),C24))),0)</f>
        <v>0</v>
      </c>
      <c r="E24" s="81"/>
      <c r="F24" s="82" t="n">
        <v>0</v>
      </c>
      <c r="G24" s="78" t="n">
        <f aca="false">IFERROR(IF(F24=0,0,IF(D8&lt;=2,MIN(F24,1),IF(D8&lt;=4,MIN(F24,2),F24))),0)</f>
        <v>0</v>
      </c>
      <c r="H24" s="81"/>
      <c r="I24" s="82" t="n">
        <v>0</v>
      </c>
      <c r="J24" s="78" t="n">
        <f aca="false">IFERROR(IF(I24=0,0,IF(D9&lt;=2,MIN(I24,1),IF(D9&lt;=4,MIN(I24,2),I24))),0)</f>
        <v>0</v>
      </c>
      <c r="K24" s="81"/>
      <c r="L24" s="82" t="n">
        <v>0</v>
      </c>
      <c r="M24" s="78" t="n">
        <f aca="false">IFERROR(IF(L24=0,0,IF(D10&lt;=2,MIN(L24,1),IF(D10&lt;=4,MIN(L24,2),L24))),0)</f>
        <v>0</v>
      </c>
      <c r="N24" s="81"/>
      <c r="O24" s="82" t="n">
        <v>0</v>
      </c>
      <c r="P24" s="78" t="n">
        <f aca="false">IFERROR(IF(O24=0,0,IF(D11&lt;=2,MIN(O24,1),IF(D11&lt;=4,MIN(O24,2),O24))),0)</f>
        <v>0</v>
      </c>
      <c r="Q24" s="81"/>
    </row>
    <row r="25" customFormat="false" ht="21.75" hidden="false" customHeight="true" outlineLevel="0" collapsed="false">
      <c r="A25" s="44" t="s">
        <v>94</v>
      </c>
      <c r="B25" s="76" t="s">
        <v>95</v>
      </c>
      <c r="C25" s="82" t="n">
        <v>0</v>
      </c>
      <c r="D25" s="78" t="n">
        <f aca="false">IFERROR(IF(C25=0,0,IF(D7&lt;=2,MIN(C25,1),IF(D7&lt;=4,MIN(C25,2),C25))),0)</f>
        <v>0</v>
      </c>
      <c r="E25" s="79"/>
      <c r="F25" s="82" t="n">
        <v>0</v>
      </c>
      <c r="G25" s="78" t="n">
        <f aca="false">IFERROR(IF(F25=0,0,IF(D8&lt;=2,MIN(F25,1),IF(D8&lt;=4,MIN(F25,2),F25))),0)</f>
        <v>0</v>
      </c>
      <c r="H25" s="79"/>
      <c r="I25" s="82" t="n">
        <v>0</v>
      </c>
      <c r="J25" s="78" t="n">
        <f aca="false">IFERROR(IF(I25=0,0,IF(D9&lt;=2,MIN(I25,1),IF(D9&lt;=4,MIN(I25,2),I25))),0)</f>
        <v>0</v>
      </c>
      <c r="K25" s="79"/>
      <c r="L25" s="82" t="n">
        <v>0</v>
      </c>
      <c r="M25" s="78" t="n">
        <f aca="false">IFERROR(IF(L25=0,0,IF(D10&lt;=2,MIN(L25,1),IF(D10&lt;=4,MIN(L25,2),L25))),0)</f>
        <v>0</v>
      </c>
      <c r="N25" s="79"/>
      <c r="O25" s="82" t="n">
        <v>0</v>
      </c>
      <c r="P25" s="78" t="n">
        <f aca="false">IFERROR(IF(O25=0,0,IF(D11&lt;=2,MIN(O25,1),IF(D11&lt;=4,MIN(O25,2),O25))),0)</f>
        <v>0</v>
      </c>
      <c r="Q25" s="79"/>
    </row>
    <row r="26" customFormat="false" ht="21.75" hidden="false" customHeight="true" outlineLevel="0" collapsed="false">
      <c r="A26" s="44" t="s">
        <v>97</v>
      </c>
      <c r="B26" s="80" t="s">
        <v>98</v>
      </c>
      <c r="C26" s="77" t="n">
        <v>1</v>
      </c>
      <c r="D26" s="78" t="n">
        <f aca="false">IFERROR(IF(C26=0,0,IF(D7&lt;=2,MIN(C26,1),IF(D7&lt;=4,MIN(C26,2),C26))),0)</f>
        <v>1</v>
      </c>
      <c r="E26" s="81" t="s">
        <v>247</v>
      </c>
      <c r="F26" s="77" t="n">
        <v>2</v>
      </c>
      <c r="G26" s="78" t="n">
        <f aca="false">IFERROR(IF(F26=0,0,IF(D8&lt;=2,MIN(F26,1),IF(D8&lt;=4,MIN(F26,2),F26))),0)</f>
        <v>2</v>
      </c>
      <c r="H26" s="81" t="s">
        <v>248</v>
      </c>
      <c r="I26" s="82" t="n">
        <v>0</v>
      </c>
      <c r="J26" s="78" t="n">
        <f aca="false">IFERROR(IF(I26=0,0,IF(D9&lt;=2,MIN(I26,1),IF(D9&lt;=4,MIN(I26,2),I26))),0)</f>
        <v>0</v>
      </c>
      <c r="K26" s="81"/>
      <c r="L26" s="77" t="n">
        <v>2</v>
      </c>
      <c r="M26" s="78" t="n">
        <f aca="false">IFERROR(IF(L26=0,0,IF(D10&lt;=2,MIN(L26,1),IF(D10&lt;=4,MIN(L26,2),L26))),0)</f>
        <v>2</v>
      </c>
      <c r="N26" s="81" t="s">
        <v>249</v>
      </c>
      <c r="O26" s="77" t="n">
        <v>2</v>
      </c>
      <c r="P26" s="78" t="n">
        <f aca="false">IFERROR(IF(O26=0,0,IF(D11&lt;=2,MIN(O26,1),IF(D11&lt;=4,MIN(O26,2),O26))),0)</f>
        <v>2</v>
      </c>
      <c r="Q26" s="81" t="s">
        <v>250</v>
      </c>
    </row>
    <row r="27" customFormat="false" ht="21.75" hidden="false" customHeight="true" outlineLevel="0" collapsed="false">
      <c r="A27" s="83" t="s">
        <v>202</v>
      </c>
      <c r="B27" s="76" t="s">
        <v>203</v>
      </c>
      <c r="C27" s="77" t="n">
        <v>2</v>
      </c>
      <c r="D27" s="78" t="n">
        <f aca="false">IFERROR(IF(C27=0,0,IF(D7&lt;=2,MIN(C27,1),IF(D7&lt;=4,MIN(C27,2),C27))),0)</f>
        <v>1</v>
      </c>
      <c r="E27" s="79" t="s">
        <v>251</v>
      </c>
      <c r="F27" s="77" t="n">
        <v>3</v>
      </c>
      <c r="G27" s="78" t="n">
        <f aca="false">IFERROR(IF(F27=0,0,IF(D8&lt;=2,MIN(F27,1),IF(D8&lt;=4,MIN(F27,2),F27))),0)</f>
        <v>3</v>
      </c>
      <c r="H27" s="79" t="s">
        <v>252</v>
      </c>
      <c r="I27" s="77" t="n">
        <v>3</v>
      </c>
      <c r="J27" s="78" t="n">
        <f aca="false">IFERROR(IF(I27=0,0,IF(D9&lt;=2,MIN(I27,1),IF(D9&lt;=4,MIN(I27,2),I27))),0)</f>
        <v>2</v>
      </c>
      <c r="K27" s="79" t="s">
        <v>253</v>
      </c>
      <c r="L27" s="77" t="n">
        <v>3</v>
      </c>
      <c r="M27" s="78" t="n">
        <f aca="false">IFERROR(IF(L27=0,0,IF(D10&lt;=2,MIN(L27,1),IF(D10&lt;=4,MIN(L27,2),L27))),0)</f>
        <v>3</v>
      </c>
      <c r="N27" s="79" t="s">
        <v>254</v>
      </c>
      <c r="O27" s="77" t="n">
        <v>3</v>
      </c>
      <c r="P27" s="78" t="n">
        <f aca="false">IFERROR(IF(O27=0,0,IF(D11&lt;=2,MIN(O27,1),IF(D11&lt;=4,MIN(O27,2),O27))),0)</f>
        <v>3</v>
      </c>
      <c r="Q27" s="79" t="s">
        <v>255</v>
      </c>
    </row>
    <row r="28" customFormat="false" ht="21.75" hidden="false" customHeight="true" outlineLevel="0" collapsed="false">
      <c r="A28" s="83" t="s">
        <v>209</v>
      </c>
      <c r="B28" s="80" t="s">
        <v>210</v>
      </c>
      <c r="C28" s="77" t="n">
        <v>1</v>
      </c>
      <c r="D28" s="78" t="n">
        <f aca="false">IFERROR(IF(C28=0,0,IF(D7&lt;=2,MIN(C28,1),IF(D7&lt;=4,MIN(C28,2),C28))),0)</f>
        <v>1</v>
      </c>
      <c r="E28" s="81" t="s">
        <v>256</v>
      </c>
      <c r="F28" s="77" t="n">
        <v>3</v>
      </c>
      <c r="G28" s="78" t="n">
        <f aca="false">IFERROR(IF(F28=0,0,IF(D8&lt;=2,MIN(F28,1),IF(D8&lt;=4,MIN(F28,2),F28))),0)</f>
        <v>3</v>
      </c>
      <c r="H28" s="81" t="s">
        <v>257</v>
      </c>
      <c r="I28" s="77" t="n">
        <v>1</v>
      </c>
      <c r="J28" s="78" t="n">
        <f aca="false">IFERROR(IF(I28=0,0,IF(D9&lt;=2,MIN(I28,1),IF(D9&lt;=4,MIN(I28,2),I28))),0)</f>
        <v>1</v>
      </c>
      <c r="K28" s="81" t="s">
        <v>258</v>
      </c>
      <c r="L28" s="77" t="n">
        <v>2</v>
      </c>
      <c r="M28" s="78" t="n">
        <f aca="false">IFERROR(IF(L28=0,0,IF(D10&lt;=2,MIN(L28,1),IF(D10&lt;=4,MIN(L28,2),L28))),0)</f>
        <v>2</v>
      </c>
      <c r="N28" s="81" t="s">
        <v>259</v>
      </c>
      <c r="O28" s="77" t="n">
        <v>3</v>
      </c>
      <c r="P28" s="78" t="n">
        <f aca="false">IFERROR(IF(O28=0,0,IF(D11&lt;=2,MIN(O28,1),IF(D11&lt;=4,MIN(O28,2),O28))),0)</f>
        <v>3</v>
      </c>
      <c r="Q28" s="81" t="s">
        <v>260</v>
      </c>
    </row>
    <row r="29" customFormat="false" ht="21.75" hidden="false" customHeight="true" outlineLevel="0" collapsed="false">
      <c r="A29" s="83" t="s">
        <v>216</v>
      </c>
      <c r="B29" s="76" t="s">
        <v>217</v>
      </c>
      <c r="C29" s="82" t="n">
        <v>0</v>
      </c>
      <c r="D29" s="78" t="n">
        <f aca="false">IFERROR(IF(C29=0,0,IF(D7&lt;=2,MIN(C29,1),IF(D7&lt;=4,MIN(C29,2),C29))),0)</f>
        <v>0</v>
      </c>
      <c r="E29" s="79"/>
      <c r="F29" s="77" t="n">
        <v>3</v>
      </c>
      <c r="G29" s="78" t="n">
        <f aca="false">IFERROR(IF(F29=0,0,IF(D8&lt;=2,MIN(F29,1),IF(D8&lt;=4,MIN(F29,2),F29))),0)</f>
        <v>3</v>
      </c>
      <c r="H29" s="79" t="s">
        <v>261</v>
      </c>
      <c r="I29" s="82" t="n">
        <v>0</v>
      </c>
      <c r="J29" s="78" t="n">
        <f aca="false">IFERROR(IF(I29=0,0,IF(D9&lt;=2,MIN(I29,1),IF(D9&lt;=4,MIN(I29,2),I29))),0)</f>
        <v>0</v>
      </c>
      <c r="K29" s="79"/>
      <c r="L29" s="82" t="n">
        <v>0</v>
      </c>
      <c r="M29" s="78" t="n">
        <f aca="false">IFERROR(IF(L29=0,0,IF(D10&lt;=2,MIN(L29,1),IF(D10&lt;=4,MIN(L29,2),L29))),0)</f>
        <v>0</v>
      </c>
      <c r="N29" s="79"/>
      <c r="O29" s="77" t="n">
        <v>3</v>
      </c>
      <c r="P29" s="78" t="n">
        <f aca="false">IFERROR(IF(O29=0,0,IF(D11&lt;=2,MIN(O29,1),IF(D11&lt;=4,MIN(O29,2),O29))),0)</f>
        <v>3</v>
      </c>
      <c r="Q29" s="79" t="s">
        <v>262</v>
      </c>
    </row>
    <row r="31" customFormat="false" ht="21.75" hidden="false" customHeight="true" outlineLevel="0" collapsed="false">
      <c r="A31" s="84" t="s">
        <v>220</v>
      </c>
      <c r="B31" s="84"/>
      <c r="C31" s="85"/>
      <c r="D31" s="86" t="n">
        <f aca="false">IFERROR(AVERAGE(D15:D29),0)</f>
        <v>0.333333333333333</v>
      </c>
      <c r="E31" s="85"/>
      <c r="F31" s="85"/>
      <c r="G31" s="86" t="n">
        <f aca="false">IFERROR(AVERAGE(G15:G29),0)</f>
        <v>1.26666666666667</v>
      </c>
      <c r="H31" s="85"/>
      <c r="I31" s="85"/>
      <c r="J31" s="86" t="n">
        <f aca="false">IFERROR(AVERAGE(J15:J29),0)</f>
        <v>0.6</v>
      </c>
      <c r="K31" s="85"/>
      <c r="L31" s="85"/>
      <c r="M31" s="86" t="n">
        <f aca="false">IFERROR(AVERAGE(M15:M29),0)</f>
        <v>0.933333333333333</v>
      </c>
      <c r="N31" s="85"/>
      <c r="O31" s="85"/>
      <c r="P31" s="86" t="n">
        <f aca="false">IFERROR(AVERAGE(P15:P29),0)</f>
        <v>1.4</v>
      </c>
      <c r="Q31" s="85"/>
    </row>
  </sheetData>
  <mergeCells count="13">
    <mergeCell ref="A1:L1"/>
    <mergeCell ref="A2:L2"/>
    <mergeCell ref="A4:B4"/>
    <mergeCell ref="G4:L4"/>
    <mergeCell ref="A5:L5"/>
    <mergeCell ref="G6:L6"/>
    <mergeCell ref="G7:L7"/>
    <mergeCell ref="G8:L8"/>
    <mergeCell ref="G9:L9"/>
    <mergeCell ref="G10:L10"/>
    <mergeCell ref="G11:L11"/>
    <mergeCell ref="A13:L13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7"/>
    <col collapsed="false" customWidth="true" hidden="false" outlineLevel="0" max="21" min="7" style="1" width="8"/>
  </cols>
  <sheetData>
    <row r="1" customFormat="false" ht="39.75" hidden="false" customHeight="true" outlineLevel="0" collapsed="false">
      <c r="A1" s="2" t="s">
        <v>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3.5" hidden="false" customHeight="true" outlineLevel="0" collapsed="false">
      <c r="A2" s="57" t="s">
        <v>264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customFormat="false" ht="7.5" hidden="false" customHeight="true" outlineLevel="0" collapsed="false"/>
    <row r="4" customFormat="false" ht="19.5" hidden="false" customHeight="true" outlineLevel="0" collapsed="false">
      <c r="A4" s="58" t="s">
        <v>265</v>
      </c>
      <c r="B4" s="58"/>
      <c r="C4" s="58"/>
      <c r="D4" s="58"/>
      <c r="E4" s="58"/>
      <c r="F4" s="58"/>
      <c r="G4" s="6" t="s">
        <v>266</v>
      </c>
      <c r="H4" s="10" t="s">
        <v>267</v>
      </c>
      <c r="I4" s="14" t="s">
        <v>268</v>
      </c>
      <c r="J4" s="18" t="s">
        <v>269</v>
      </c>
    </row>
    <row r="5" customFormat="false" ht="25.5" hidden="false" customHeight="true" outlineLevel="0" collapsed="false">
      <c r="A5" s="87" t="s">
        <v>270</v>
      </c>
      <c r="B5" s="87" t="s">
        <v>271</v>
      </c>
      <c r="C5" s="87" t="s">
        <v>272</v>
      </c>
      <c r="D5" s="87" t="s">
        <v>139</v>
      </c>
      <c r="E5" s="87" t="s">
        <v>273</v>
      </c>
      <c r="F5" s="87" t="s">
        <v>274</v>
      </c>
      <c r="G5" s="43" t="s">
        <v>275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" t="s">
        <v>276</v>
      </c>
      <c r="T5" s="4"/>
      <c r="U5" s="4"/>
    </row>
    <row r="6" customFormat="false" ht="19.5" hidden="false" customHeight="true" outlineLevel="0" collapsed="false">
      <c r="A6" s="87"/>
      <c r="B6" s="87"/>
      <c r="C6" s="87"/>
      <c r="D6" s="87"/>
      <c r="E6" s="87"/>
      <c r="F6" s="87"/>
      <c r="G6" s="44" t="s">
        <v>64</v>
      </c>
      <c r="H6" s="44" t="s">
        <v>67</v>
      </c>
      <c r="I6" s="44" t="s">
        <v>70</v>
      </c>
      <c r="J6" s="44" t="s">
        <v>73</v>
      </c>
      <c r="K6" s="44" t="s">
        <v>76</v>
      </c>
      <c r="L6" s="44" t="s">
        <v>79</v>
      </c>
      <c r="M6" s="44" t="s">
        <v>82</v>
      </c>
      <c r="N6" s="44" t="s">
        <v>85</v>
      </c>
      <c r="O6" s="44" t="s">
        <v>88</v>
      </c>
      <c r="P6" s="44" t="s">
        <v>91</v>
      </c>
      <c r="Q6" s="44" t="s">
        <v>94</v>
      </c>
      <c r="R6" s="44" t="s">
        <v>97</v>
      </c>
      <c r="S6" s="83" t="s">
        <v>202</v>
      </c>
      <c r="T6" s="83" t="s">
        <v>209</v>
      </c>
      <c r="U6" s="83" t="s">
        <v>216</v>
      </c>
    </row>
    <row r="7" customFormat="false" ht="18" hidden="false" customHeight="true" outlineLevel="0" collapsed="false">
      <c r="A7" s="88" t="n">
        <v>1</v>
      </c>
      <c r="B7" s="89" t="s">
        <v>277</v>
      </c>
      <c r="C7" s="90" t="s">
        <v>278</v>
      </c>
      <c r="D7" s="44" t="s">
        <v>146</v>
      </c>
      <c r="E7" s="91" t="s">
        <v>46</v>
      </c>
      <c r="F7" s="92" t="n">
        <f aca="false">CS301!D7</f>
        <v>3</v>
      </c>
      <c r="G7" s="93" t="str">
        <f aca="false">IF(CS301!D15=0,"—",TEXT(CS301!D15,"0"))</f>
        <v>2</v>
      </c>
      <c r="H7" s="93" t="str">
        <f aca="false">IF(CS301!D16=0,"—",TEXT(CS301!D16,"0"))</f>
        <v>2</v>
      </c>
      <c r="I7" s="93" t="str">
        <f aca="false">IF(CS301!D17=0,"—",TEXT(CS301!D17,"0"))</f>
        <v>—</v>
      </c>
      <c r="J7" s="93" t="str">
        <f aca="false">IF(CS301!D18=0,"—",TEXT(CS301!D18,"0"))</f>
        <v>—</v>
      </c>
      <c r="K7" s="93" t="str">
        <f aca="false">IF(CS301!D19=0,"—",TEXT(CS301!D19,"0"))</f>
        <v>1</v>
      </c>
      <c r="L7" s="93" t="str">
        <f aca="false">IF(CS301!D20=0,"—",TEXT(CS301!D20,"0"))</f>
        <v>—</v>
      </c>
      <c r="M7" s="93" t="str">
        <f aca="false">IF(CS301!D21=0,"—",TEXT(CS301!D21,"0"))</f>
        <v>—</v>
      </c>
      <c r="N7" s="93" t="str">
        <f aca="false">IF(CS301!D22=0,"—",TEXT(CS301!D22,"0"))</f>
        <v>—</v>
      </c>
      <c r="O7" s="93" t="str">
        <f aca="false">IF(CS301!D23=0,"—",TEXT(CS301!D23,"0"))</f>
        <v>—</v>
      </c>
      <c r="P7" s="93" t="str">
        <f aca="false">IF(CS301!D24=0,"—",TEXT(CS301!D24,"0"))</f>
        <v>—</v>
      </c>
      <c r="Q7" s="93" t="str">
        <f aca="false">IF(CS301!D25=0,"—",TEXT(CS301!D25,"0"))</f>
        <v>—</v>
      </c>
      <c r="R7" s="93" t="str">
        <f aca="false">IF(CS301!D26=0,"—",TEXT(CS301!D26,"0"))</f>
        <v>1</v>
      </c>
      <c r="S7" s="93" t="str">
        <f aca="false">IF(CS301!D27=0,"—",TEXT(CS301!D27,"0"))</f>
        <v>2</v>
      </c>
      <c r="T7" s="93" t="str">
        <f aca="false">IF(CS301!D28=0,"—",TEXT(CS301!D28,"0"))</f>
        <v>2</v>
      </c>
      <c r="U7" s="93" t="str">
        <f aca="false">IF(CS301!D29=0,"—",TEXT(CS301!D29,"0"))</f>
        <v>—</v>
      </c>
    </row>
    <row r="8" customFormat="false" ht="18" hidden="false" customHeight="true" outlineLevel="0" collapsed="false">
      <c r="A8" s="88"/>
      <c r="B8" s="88"/>
      <c r="C8" s="88"/>
      <c r="D8" s="44" t="s">
        <v>149</v>
      </c>
      <c r="E8" s="94" t="s">
        <v>51</v>
      </c>
      <c r="F8" s="92" t="n">
        <f aca="false">CS301!D8</f>
        <v>4</v>
      </c>
      <c r="G8" s="95" t="str">
        <f aca="false">IF(CS301!G15=0,"—",TEXT(CS301!G15,"0"))</f>
        <v>2</v>
      </c>
      <c r="H8" s="95" t="str">
        <f aca="false">IF(CS301!G16=0,"—",TEXT(CS301!G16,"0"))</f>
        <v>2</v>
      </c>
      <c r="I8" s="95" t="str">
        <f aca="false">IF(CS301!G17=0,"—",TEXT(CS301!G17,"0"))</f>
        <v>—</v>
      </c>
      <c r="J8" s="95" t="str">
        <f aca="false">IF(CS301!G18=0,"—",TEXT(CS301!G18,"0"))</f>
        <v>2</v>
      </c>
      <c r="K8" s="95" t="str">
        <f aca="false">IF(CS301!G19=0,"—",TEXT(CS301!G19,"0"))</f>
        <v>—</v>
      </c>
      <c r="L8" s="95" t="str">
        <f aca="false">IF(CS301!G20=0,"—",TEXT(CS301!G20,"0"))</f>
        <v>—</v>
      </c>
      <c r="M8" s="95" t="str">
        <f aca="false">IF(CS301!G21=0,"—",TEXT(CS301!G21,"0"))</f>
        <v>—</v>
      </c>
      <c r="N8" s="95" t="str">
        <f aca="false">IF(CS301!G22=0,"—",TEXT(CS301!G22,"0"))</f>
        <v>—</v>
      </c>
      <c r="O8" s="95" t="str">
        <f aca="false">IF(CS301!G23=0,"—",TEXT(CS301!G23,"0"))</f>
        <v>—</v>
      </c>
      <c r="P8" s="95" t="str">
        <f aca="false">IF(CS301!G24=0,"—",TEXT(CS301!G24,"0"))</f>
        <v>—</v>
      </c>
      <c r="Q8" s="95" t="str">
        <f aca="false">IF(CS301!G25=0,"—",TEXT(CS301!G25,"0"))</f>
        <v>—</v>
      </c>
      <c r="R8" s="95" t="str">
        <f aca="false">IF(CS301!G26=0,"—",TEXT(CS301!G26,"0"))</f>
        <v>1</v>
      </c>
      <c r="S8" s="95" t="str">
        <f aca="false">IF(CS301!G27=0,"—",TEXT(CS301!G27,"0"))</f>
        <v>2</v>
      </c>
      <c r="T8" s="95" t="str">
        <f aca="false">IF(CS301!G28=0,"—",TEXT(CS301!G28,"0"))</f>
        <v>1</v>
      </c>
      <c r="U8" s="95" t="str">
        <f aca="false">IF(CS301!G29=0,"—",TEXT(CS301!G29,"0"))</f>
        <v>—</v>
      </c>
    </row>
    <row r="9" customFormat="false" ht="18" hidden="false" customHeight="true" outlineLevel="0" collapsed="false">
      <c r="A9" s="88"/>
      <c r="B9" s="88"/>
      <c r="C9" s="88"/>
      <c r="D9" s="44" t="s">
        <v>152</v>
      </c>
      <c r="E9" s="91" t="s">
        <v>154</v>
      </c>
      <c r="F9" s="92" t="n">
        <f aca="false">CS301!D9</f>
        <v>6</v>
      </c>
      <c r="G9" s="93" t="str">
        <f aca="false">IF(CS301!J15=0,"—",TEXT(CS301!J15,"0"))</f>
        <v>2</v>
      </c>
      <c r="H9" s="93" t="str">
        <f aca="false">IF(CS301!J16=0,"—",TEXT(CS301!J16,"0"))</f>
        <v>2</v>
      </c>
      <c r="I9" s="93" t="str">
        <f aca="false">IF(CS301!J17=0,"—",TEXT(CS301!J17,"0"))</f>
        <v>3</v>
      </c>
      <c r="J9" s="93" t="str">
        <f aca="false">IF(CS301!J18=0,"—",TEXT(CS301!J18,"0"))</f>
        <v>—</v>
      </c>
      <c r="K9" s="93" t="str">
        <f aca="false">IF(CS301!J19=0,"—",TEXT(CS301!J19,"0"))</f>
        <v>2</v>
      </c>
      <c r="L9" s="93" t="str">
        <f aca="false">IF(CS301!J20=0,"—",TEXT(CS301!J20,"0"))</f>
        <v>—</v>
      </c>
      <c r="M9" s="93" t="str">
        <f aca="false">IF(CS301!J21=0,"—",TEXT(CS301!J21,"0"))</f>
        <v>—</v>
      </c>
      <c r="N9" s="93" t="str">
        <f aca="false">IF(CS301!J22=0,"—",TEXT(CS301!J22,"0"))</f>
        <v>—</v>
      </c>
      <c r="O9" s="93" t="str">
        <f aca="false">IF(CS301!J23=0,"—",TEXT(CS301!J23,"0"))</f>
        <v>—</v>
      </c>
      <c r="P9" s="93" t="str">
        <f aca="false">IF(CS301!J24=0,"—",TEXT(CS301!J24,"0"))</f>
        <v>—</v>
      </c>
      <c r="Q9" s="93" t="str">
        <f aca="false">IF(CS301!J25=0,"—",TEXT(CS301!J25,"0"))</f>
        <v>—</v>
      </c>
      <c r="R9" s="93" t="str">
        <f aca="false">IF(CS301!J26=0,"—",TEXT(CS301!J26,"0"))</f>
        <v>2</v>
      </c>
      <c r="S9" s="93" t="str">
        <f aca="false">IF(CS301!J27=0,"—",TEXT(CS301!J27,"0"))</f>
        <v>3</v>
      </c>
      <c r="T9" s="93" t="str">
        <f aca="false">IF(CS301!J28=0,"—",TEXT(CS301!J28,"0"))</f>
        <v>3</v>
      </c>
      <c r="U9" s="93" t="str">
        <f aca="false">IF(CS301!J29=0,"—",TEXT(CS301!J29,"0"))</f>
        <v>2</v>
      </c>
    </row>
    <row r="10" customFormat="false" ht="18" hidden="false" customHeight="true" outlineLevel="0" collapsed="false">
      <c r="A10" s="88"/>
      <c r="B10" s="88"/>
      <c r="C10" s="88"/>
      <c r="D10" s="44" t="s">
        <v>156</v>
      </c>
      <c r="E10" s="94" t="s">
        <v>54</v>
      </c>
      <c r="F10" s="92" t="n">
        <f aca="false">CS301!D10</f>
        <v>5</v>
      </c>
      <c r="G10" s="95" t="str">
        <f aca="false">IF(CS301!M15=0,"—",TEXT(CS301!M15,"0"))</f>
        <v>2</v>
      </c>
      <c r="H10" s="95" t="str">
        <f aca="false">IF(CS301!M16=0,"—",TEXT(CS301!M16,"0"))</f>
        <v>3</v>
      </c>
      <c r="I10" s="95" t="str">
        <f aca="false">IF(CS301!M17=0,"—",TEXT(CS301!M17,"0"))</f>
        <v>—</v>
      </c>
      <c r="J10" s="95" t="str">
        <f aca="false">IF(CS301!M18=0,"—",TEXT(CS301!M18,"0"))</f>
        <v>2</v>
      </c>
      <c r="K10" s="95" t="str">
        <f aca="false">IF(CS301!M19=0,"—",TEXT(CS301!M19,"0"))</f>
        <v>—</v>
      </c>
      <c r="L10" s="95" t="str">
        <f aca="false">IF(CS301!M20=0,"—",TEXT(CS301!M20,"0"))</f>
        <v>—</v>
      </c>
      <c r="M10" s="95" t="str">
        <f aca="false">IF(CS301!M21=0,"—",TEXT(CS301!M21,"0"))</f>
        <v>—</v>
      </c>
      <c r="N10" s="95" t="str">
        <f aca="false">IF(CS301!M22=0,"—",TEXT(CS301!M22,"0"))</f>
        <v>—</v>
      </c>
      <c r="O10" s="95" t="str">
        <f aca="false">IF(CS301!M23=0,"—",TEXT(CS301!M23,"0"))</f>
        <v>—</v>
      </c>
      <c r="P10" s="95" t="str">
        <f aca="false">IF(CS301!M24=0,"—",TEXT(CS301!M24,"0"))</f>
        <v>—</v>
      </c>
      <c r="Q10" s="95" t="str">
        <f aca="false">IF(CS301!M25=0,"—",TEXT(CS301!M25,"0"))</f>
        <v>—</v>
      </c>
      <c r="R10" s="95" t="str">
        <f aca="false">IF(CS301!M26=0,"—",TEXT(CS301!M26,"0"))</f>
        <v>2</v>
      </c>
      <c r="S10" s="95" t="str">
        <f aca="false">IF(CS301!M27=0,"—",TEXT(CS301!M27,"0"))</f>
        <v>3</v>
      </c>
      <c r="T10" s="95" t="str">
        <f aca="false">IF(CS301!M28=0,"—",TEXT(CS301!M28,"0"))</f>
        <v>2</v>
      </c>
      <c r="U10" s="95" t="str">
        <f aca="false">IF(CS301!M29=0,"—",TEXT(CS301!M29,"0"))</f>
        <v>—</v>
      </c>
    </row>
    <row r="11" customFormat="false" ht="18" hidden="false" customHeight="true" outlineLevel="0" collapsed="false">
      <c r="A11" s="88"/>
      <c r="B11" s="88"/>
      <c r="C11" s="88"/>
      <c r="D11" s="44" t="s">
        <v>159</v>
      </c>
      <c r="E11" s="91" t="s">
        <v>161</v>
      </c>
      <c r="F11" s="92" t="n">
        <f aca="false">CS301!D11</f>
        <v>3</v>
      </c>
      <c r="G11" s="93" t="str">
        <f aca="false">IF(CS301!P15=0,"—",TEXT(CS301!P15,"0"))</f>
        <v>2</v>
      </c>
      <c r="H11" s="93" t="str">
        <f aca="false">IF(CS301!P16=0,"—",TEXT(CS301!P16,"0"))</f>
        <v>2</v>
      </c>
      <c r="I11" s="93" t="str">
        <f aca="false">IF(CS301!P17=0,"—",TEXT(CS301!P17,"0"))</f>
        <v>—</v>
      </c>
      <c r="J11" s="93" t="str">
        <f aca="false">IF(CS301!P18=0,"—",TEXT(CS301!P18,"0"))</f>
        <v>—</v>
      </c>
      <c r="K11" s="93" t="str">
        <f aca="false">IF(CS301!P19=0,"—",TEXT(CS301!P19,"0"))</f>
        <v>2</v>
      </c>
      <c r="L11" s="93" t="str">
        <f aca="false">IF(CS301!P20=0,"—",TEXT(CS301!P20,"0"))</f>
        <v>—</v>
      </c>
      <c r="M11" s="93" t="str">
        <f aca="false">IF(CS301!P21=0,"—",TEXT(CS301!P21,"0"))</f>
        <v>—</v>
      </c>
      <c r="N11" s="93" t="str">
        <f aca="false">IF(CS301!P22=0,"—",TEXT(CS301!P22,"0"))</f>
        <v>—</v>
      </c>
      <c r="O11" s="93" t="str">
        <f aca="false">IF(CS301!P23=0,"—",TEXT(CS301!P23,"0"))</f>
        <v>—</v>
      </c>
      <c r="P11" s="93" t="str">
        <f aca="false">IF(CS301!P24=0,"—",TEXT(CS301!P24,"0"))</f>
        <v>—</v>
      </c>
      <c r="Q11" s="93" t="str">
        <f aca="false">IF(CS301!P25=0,"—",TEXT(CS301!P25,"0"))</f>
        <v>—</v>
      </c>
      <c r="R11" s="93" t="str">
        <f aca="false">IF(CS301!P26=0,"—",TEXT(CS301!P26,"0"))</f>
        <v>1</v>
      </c>
      <c r="S11" s="93" t="str">
        <f aca="false">IF(CS301!P27=0,"—",TEXT(CS301!P27,"0"))</f>
        <v>2</v>
      </c>
      <c r="T11" s="93" t="str">
        <f aca="false">IF(CS301!P28=0,"—",TEXT(CS301!P28,"0"))</f>
        <v>2</v>
      </c>
      <c r="U11" s="93" t="str">
        <f aca="false">IF(CS301!P29=0,"—",TEXT(CS301!P29,"0"))</f>
        <v>2</v>
      </c>
    </row>
    <row r="12" customFormat="false" ht="18" hidden="false" customHeight="true" outlineLevel="0" collapsed="false">
      <c r="A12" s="88" t="n">
        <v>2</v>
      </c>
      <c r="B12" s="89" t="s">
        <v>279</v>
      </c>
      <c r="C12" s="90" t="s">
        <v>280</v>
      </c>
      <c r="D12" s="44" t="s">
        <v>146</v>
      </c>
      <c r="E12" s="94" t="s">
        <v>223</v>
      </c>
      <c r="F12" s="92" t="n">
        <f aca="false">CS302!D7</f>
        <v>2</v>
      </c>
      <c r="G12" s="95" t="str">
        <f aca="false">IF(CS302!D15=0,"—",TEXT(CS302!D15,"0"))</f>
        <v>1</v>
      </c>
      <c r="H12" s="95" t="str">
        <f aca="false">IF(CS302!D16=0,"—",TEXT(CS302!D16,"0"))</f>
        <v>1</v>
      </c>
      <c r="I12" s="95" t="str">
        <f aca="false">IF(CS302!D17=0,"—",TEXT(CS302!D17,"0"))</f>
        <v>—</v>
      </c>
      <c r="J12" s="95" t="str">
        <f aca="false">IF(CS302!D18=0,"—",TEXT(CS302!D18,"0"))</f>
        <v>—</v>
      </c>
      <c r="K12" s="95" t="str">
        <f aca="false">IF(CS302!D19=0,"—",TEXT(CS302!D19,"0"))</f>
        <v>—</v>
      </c>
      <c r="L12" s="95" t="str">
        <f aca="false">IF(CS302!D20=0,"—",TEXT(CS302!D20,"0"))</f>
        <v>—</v>
      </c>
      <c r="M12" s="95" t="str">
        <f aca="false">IF(CS302!D21=0,"—",TEXT(CS302!D21,"0"))</f>
        <v>—</v>
      </c>
      <c r="N12" s="95" t="str">
        <f aca="false">IF(CS302!D22=0,"—",TEXT(CS302!D22,"0"))</f>
        <v>—</v>
      </c>
      <c r="O12" s="95" t="str">
        <f aca="false">IF(CS302!D23=0,"—",TEXT(CS302!D23,"0"))</f>
        <v>—</v>
      </c>
      <c r="P12" s="95" t="str">
        <f aca="false">IF(CS302!D24=0,"—",TEXT(CS302!D24,"0"))</f>
        <v>—</v>
      </c>
      <c r="Q12" s="95" t="str">
        <f aca="false">IF(CS302!D25=0,"—",TEXT(CS302!D25,"0"))</f>
        <v>—</v>
      </c>
      <c r="R12" s="95" t="str">
        <f aca="false">IF(CS302!D26=0,"—",TEXT(CS302!D26,"0"))</f>
        <v>1</v>
      </c>
      <c r="S12" s="95" t="str">
        <f aca="false">IF(CS302!D27=0,"—",TEXT(CS302!D27,"0"))</f>
        <v>1</v>
      </c>
      <c r="T12" s="95" t="str">
        <f aca="false">IF(CS302!D28=0,"—",TEXT(CS302!D28,"0"))</f>
        <v>1</v>
      </c>
      <c r="U12" s="95" t="str">
        <f aca="false">IF(CS302!D29=0,"—",TEXT(CS302!D29,"0"))</f>
        <v>—</v>
      </c>
    </row>
    <row r="13" customFormat="false" ht="18" hidden="false" customHeight="true" outlineLevel="0" collapsed="false">
      <c r="A13" s="88"/>
      <c r="B13" s="88"/>
      <c r="C13" s="88"/>
      <c r="D13" s="44" t="s">
        <v>149</v>
      </c>
      <c r="E13" s="91" t="s">
        <v>154</v>
      </c>
      <c r="F13" s="92" t="n">
        <f aca="false">CS302!D8</f>
        <v>6</v>
      </c>
      <c r="G13" s="93" t="str">
        <f aca="false">IF(CS302!G15=0,"—",TEXT(CS302!G15,"0"))</f>
        <v>2</v>
      </c>
      <c r="H13" s="93" t="str">
        <f aca="false">IF(CS302!G16=0,"—",TEXT(CS302!G16,"0"))</f>
        <v>—</v>
      </c>
      <c r="I13" s="93" t="str">
        <f aca="false">IF(CS302!G17=0,"—",TEXT(CS302!G17,"0"))</f>
        <v>3</v>
      </c>
      <c r="J13" s="93" t="str">
        <f aca="false">IF(CS302!G18=0,"—",TEXT(CS302!G18,"0"))</f>
        <v>—</v>
      </c>
      <c r="K13" s="93" t="str">
        <f aca="false">IF(CS302!G19=0,"—",TEXT(CS302!G19,"0"))</f>
        <v>3</v>
      </c>
      <c r="L13" s="93" t="str">
        <f aca="false">IF(CS302!G20=0,"—",TEXT(CS302!G20,"0"))</f>
        <v>—</v>
      </c>
      <c r="M13" s="93" t="str">
        <f aca="false">IF(CS302!G21=0,"—",TEXT(CS302!G21,"0"))</f>
        <v>—</v>
      </c>
      <c r="N13" s="93" t="str">
        <f aca="false">IF(CS302!G22=0,"—",TEXT(CS302!G22,"0"))</f>
        <v>—</v>
      </c>
      <c r="O13" s="93" t="str">
        <f aca="false">IF(CS302!G23=0,"—",TEXT(CS302!G23,"0"))</f>
        <v>—</v>
      </c>
      <c r="P13" s="93" t="str">
        <f aca="false">IF(CS302!G24=0,"—",TEXT(CS302!G24,"0"))</f>
        <v>—</v>
      </c>
      <c r="Q13" s="93" t="str">
        <f aca="false">IF(CS302!G25=0,"—",TEXT(CS302!G25,"0"))</f>
        <v>—</v>
      </c>
      <c r="R13" s="93" t="str">
        <f aca="false">IF(CS302!G26=0,"—",TEXT(CS302!G26,"0"))</f>
        <v>2</v>
      </c>
      <c r="S13" s="93" t="str">
        <f aca="false">IF(CS302!G27=0,"—",TEXT(CS302!G27,"0"))</f>
        <v>3</v>
      </c>
      <c r="T13" s="93" t="str">
        <f aca="false">IF(CS302!G28=0,"—",TEXT(CS302!G28,"0"))</f>
        <v>3</v>
      </c>
      <c r="U13" s="93" t="str">
        <f aca="false">IF(CS302!G29=0,"—",TEXT(CS302!G29,"0"))</f>
        <v>3</v>
      </c>
    </row>
    <row r="14" customFormat="false" ht="18" hidden="false" customHeight="true" outlineLevel="0" collapsed="false">
      <c r="A14" s="88"/>
      <c r="B14" s="88"/>
      <c r="C14" s="88"/>
      <c r="D14" s="44" t="s">
        <v>152</v>
      </c>
      <c r="E14" s="94" t="s">
        <v>51</v>
      </c>
      <c r="F14" s="92" t="n">
        <f aca="false">CS302!D9</f>
        <v>4</v>
      </c>
      <c r="G14" s="95" t="str">
        <f aca="false">IF(CS302!J15=0,"—",TEXT(CS302!J15,"0"))</f>
        <v>2</v>
      </c>
      <c r="H14" s="95" t="str">
        <f aca="false">IF(CS302!J16=0,"—",TEXT(CS302!J16,"0"))</f>
        <v>2</v>
      </c>
      <c r="I14" s="95" t="str">
        <f aca="false">IF(CS302!J17=0,"—",TEXT(CS302!J17,"0"))</f>
        <v>—</v>
      </c>
      <c r="J14" s="95" t="str">
        <f aca="false">IF(CS302!J18=0,"—",TEXT(CS302!J18,"0"))</f>
        <v>2</v>
      </c>
      <c r="K14" s="95" t="str">
        <f aca="false">IF(CS302!J19=0,"—",TEXT(CS302!J19,"0"))</f>
        <v>—</v>
      </c>
      <c r="L14" s="95" t="str">
        <f aca="false">IF(CS302!J20=0,"—",TEXT(CS302!J20,"0"))</f>
        <v>—</v>
      </c>
      <c r="M14" s="95" t="str">
        <f aca="false">IF(CS302!J21=0,"—",TEXT(CS302!J21,"0"))</f>
        <v>—</v>
      </c>
      <c r="N14" s="95" t="str">
        <f aca="false">IF(CS302!J22=0,"—",TEXT(CS302!J22,"0"))</f>
        <v>—</v>
      </c>
      <c r="O14" s="95" t="str">
        <f aca="false">IF(CS302!J23=0,"—",TEXT(CS302!J23,"0"))</f>
        <v>—</v>
      </c>
      <c r="P14" s="95" t="str">
        <f aca="false">IF(CS302!J24=0,"—",TEXT(CS302!J24,"0"))</f>
        <v>—</v>
      </c>
      <c r="Q14" s="95" t="str">
        <f aca="false">IF(CS302!J25=0,"—",TEXT(CS302!J25,"0"))</f>
        <v>—</v>
      </c>
      <c r="R14" s="95" t="str">
        <f aca="false">IF(CS302!J26=0,"—",TEXT(CS302!J26,"0"))</f>
        <v>—</v>
      </c>
      <c r="S14" s="95" t="str">
        <f aca="false">IF(CS302!J27=0,"—",TEXT(CS302!J27,"0"))</f>
        <v>2</v>
      </c>
      <c r="T14" s="95" t="str">
        <f aca="false">IF(CS302!J28=0,"—",TEXT(CS302!J28,"0"))</f>
        <v>1</v>
      </c>
      <c r="U14" s="95" t="str">
        <f aca="false">IF(CS302!J29=0,"—",TEXT(CS302!J29,"0"))</f>
        <v>—</v>
      </c>
    </row>
    <row r="15" customFormat="false" ht="18" hidden="false" customHeight="true" outlineLevel="0" collapsed="false">
      <c r="A15" s="88"/>
      <c r="B15" s="88"/>
      <c r="C15" s="88"/>
      <c r="D15" s="44" t="s">
        <v>156</v>
      </c>
      <c r="E15" s="91" t="s">
        <v>54</v>
      </c>
      <c r="F15" s="92" t="n">
        <f aca="false">CS302!D10</f>
        <v>5</v>
      </c>
      <c r="G15" s="93" t="str">
        <f aca="false">IF(CS302!M15=0,"—",TEXT(CS302!M15,"0"))</f>
        <v>2</v>
      </c>
      <c r="H15" s="93" t="str">
        <f aca="false">IF(CS302!M16=0,"—",TEXT(CS302!M16,"0"))</f>
        <v>3</v>
      </c>
      <c r="I15" s="93" t="str">
        <f aca="false">IF(CS302!M17=0,"—",TEXT(CS302!M17,"0"))</f>
        <v>—</v>
      </c>
      <c r="J15" s="93" t="str">
        <f aca="false">IF(CS302!M18=0,"—",TEXT(CS302!M18,"0"))</f>
        <v>2</v>
      </c>
      <c r="K15" s="93" t="str">
        <f aca="false">IF(CS302!M19=0,"—",TEXT(CS302!M19,"0"))</f>
        <v>—</v>
      </c>
      <c r="L15" s="93" t="str">
        <f aca="false">IF(CS302!M20=0,"—",TEXT(CS302!M20,"0"))</f>
        <v>—</v>
      </c>
      <c r="M15" s="93" t="str">
        <f aca="false">IF(CS302!M21=0,"—",TEXT(CS302!M21,"0"))</f>
        <v>—</v>
      </c>
      <c r="N15" s="93" t="str">
        <f aca="false">IF(CS302!M22=0,"—",TEXT(CS302!M22,"0"))</f>
        <v>—</v>
      </c>
      <c r="O15" s="93" t="str">
        <f aca="false">IF(CS302!M23=0,"—",TEXT(CS302!M23,"0"))</f>
        <v>—</v>
      </c>
      <c r="P15" s="93" t="str">
        <f aca="false">IF(CS302!M24=0,"—",TEXT(CS302!M24,"0"))</f>
        <v>—</v>
      </c>
      <c r="Q15" s="93" t="str">
        <f aca="false">IF(CS302!M25=0,"—",TEXT(CS302!M25,"0"))</f>
        <v>—</v>
      </c>
      <c r="R15" s="93" t="str">
        <f aca="false">IF(CS302!M26=0,"—",TEXT(CS302!M26,"0"))</f>
        <v>2</v>
      </c>
      <c r="S15" s="93" t="str">
        <f aca="false">IF(CS302!M27=0,"—",TEXT(CS302!M27,"0"))</f>
        <v>3</v>
      </c>
      <c r="T15" s="93" t="str">
        <f aca="false">IF(CS302!M28=0,"—",TEXT(CS302!M28,"0"))</f>
        <v>2</v>
      </c>
      <c r="U15" s="93" t="str">
        <f aca="false">IF(CS302!M29=0,"—",TEXT(CS302!M29,"0"))</f>
        <v>—</v>
      </c>
    </row>
    <row r="16" customFormat="false" ht="18" hidden="false" customHeight="true" outlineLevel="0" collapsed="false">
      <c r="A16" s="88"/>
      <c r="B16" s="88"/>
      <c r="C16" s="88"/>
      <c r="D16" s="44" t="s">
        <v>159</v>
      </c>
      <c r="E16" s="94" t="s">
        <v>154</v>
      </c>
      <c r="F16" s="92" t="n">
        <f aca="false">CS302!D11</f>
        <v>6</v>
      </c>
      <c r="G16" s="95" t="str">
        <f aca="false">IF(CS302!P15=0,"—",TEXT(CS302!P15,"0"))</f>
        <v>3</v>
      </c>
      <c r="H16" s="95" t="str">
        <f aca="false">IF(CS302!P16=0,"—",TEXT(CS302!P16,"0"))</f>
        <v>2</v>
      </c>
      <c r="I16" s="95" t="str">
        <f aca="false">IF(CS302!P17=0,"—",TEXT(CS302!P17,"0"))</f>
        <v>3</v>
      </c>
      <c r="J16" s="95" t="str">
        <f aca="false">IF(CS302!P18=0,"—",TEXT(CS302!P18,"0"))</f>
        <v>—</v>
      </c>
      <c r="K16" s="95" t="str">
        <f aca="false">IF(CS302!P19=0,"—",TEXT(CS302!P19,"0"))</f>
        <v>2</v>
      </c>
      <c r="L16" s="95" t="str">
        <f aca="false">IF(CS302!P20=0,"—",TEXT(CS302!P20,"0"))</f>
        <v>—</v>
      </c>
      <c r="M16" s="95" t="str">
        <f aca="false">IF(CS302!P21=0,"—",TEXT(CS302!P21,"0"))</f>
        <v>—</v>
      </c>
      <c r="N16" s="95" t="str">
        <f aca="false">IF(CS302!P22=0,"—",TEXT(CS302!P22,"0"))</f>
        <v>—</v>
      </c>
      <c r="O16" s="95" t="str">
        <f aca="false">IF(CS302!P23=0,"—",TEXT(CS302!P23,"0"))</f>
        <v>—</v>
      </c>
      <c r="P16" s="95" t="str">
        <f aca="false">IF(CS302!P24=0,"—",TEXT(CS302!P24,"0"))</f>
        <v>—</v>
      </c>
      <c r="Q16" s="95" t="str">
        <f aca="false">IF(CS302!P25=0,"—",TEXT(CS302!P25,"0"))</f>
        <v>—</v>
      </c>
      <c r="R16" s="95" t="str">
        <f aca="false">IF(CS302!P26=0,"—",TEXT(CS302!P26,"0"))</f>
        <v>2</v>
      </c>
      <c r="S16" s="95" t="str">
        <f aca="false">IF(CS302!P27=0,"—",TEXT(CS302!P27,"0"))</f>
        <v>3</v>
      </c>
      <c r="T16" s="95" t="str">
        <f aca="false">IF(CS302!P28=0,"—",TEXT(CS302!P28,"0"))</f>
        <v>3</v>
      </c>
      <c r="U16" s="95" t="str">
        <f aca="false">IF(CS302!P29=0,"—",TEXT(CS302!P29,"0"))</f>
        <v>3</v>
      </c>
    </row>
    <row r="17" customFormat="false" ht="18" hidden="false" customHeight="true" outlineLevel="0" collapsed="false">
      <c r="A17" s="88" t="n">
        <v>3</v>
      </c>
      <c r="B17" s="89" t="s">
        <v>281</v>
      </c>
      <c r="C17" s="90" t="s">
        <v>282</v>
      </c>
      <c r="D17" s="44" t="s">
        <v>146</v>
      </c>
      <c r="E17" s="91" t="s">
        <v>283</v>
      </c>
      <c r="F17" s="92" t="n">
        <f aca="false">CS303!D7</f>
        <v>2</v>
      </c>
      <c r="G17" s="93" t="str">
        <f aca="false">IF(CS303!D15=0,"—",TEXT(CS303!D15,"0"))</f>
        <v>1</v>
      </c>
      <c r="H17" s="93" t="str">
        <f aca="false">IF(CS303!D16=0,"—",TEXT(CS303!D16,"0"))</f>
        <v>1</v>
      </c>
      <c r="I17" s="93" t="str">
        <f aca="false">IF(CS303!D17=0,"—",TEXT(CS303!D17,"0"))</f>
        <v>—</v>
      </c>
      <c r="J17" s="93" t="str">
        <f aca="false">IF(CS303!D18=0,"—",TEXT(CS303!D18,"0"))</f>
        <v>—</v>
      </c>
      <c r="K17" s="93" t="str">
        <f aca="false">IF(CS303!D19=0,"—",TEXT(CS303!D19,"0"))</f>
        <v>—</v>
      </c>
      <c r="L17" s="93" t="str">
        <f aca="false">IF(CS303!D20=0,"—",TEXT(CS303!D20,"0"))</f>
        <v>—</v>
      </c>
      <c r="M17" s="93" t="str">
        <f aca="false">IF(CS303!D21=0,"—",TEXT(CS303!D21,"0"))</f>
        <v>—</v>
      </c>
      <c r="N17" s="93" t="str">
        <f aca="false">IF(CS303!D22=0,"—",TEXT(CS303!D22,"0"))</f>
        <v>—</v>
      </c>
      <c r="O17" s="93" t="str">
        <f aca="false">IF(CS303!D23=0,"—",TEXT(CS303!D23,"0"))</f>
        <v>—</v>
      </c>
      <c r="P17" s="93" t="str">
        <f aca="false">IF(CS303!D24=0,"—",TEXT(CS303!D24,"0"))</f>
        <v>—</v>
      </c>
      <c r="Q17" s="93" t="str">
        <f aca="false">IF(CS303!D25=0,"—",TEXT(CS303!D25,"0"))</f>
        <v>—</v>
      </c>
      <c r="R17" s="93" t="str">
        <f aca="false">IF(CS303!D26=0,"—",TEXT(CS303!D26,"0"))</f>
        <v>1</v>
      </c>
      <c r="S17" s="93" t="str">
        <f aca="false">IF(CS303!D27=0,"—",TEXT(CS303!D27,"0"))</f>
        <v>1</v>
      </c>
      <c r="T17" s="93" t="str">
        <f aca="false">IF(CS303!D28=0,"—",TEXT(CS303!D28,"0"))</f>
        <v>1</v>
      </c>
      <c r="U17" s="93" t="str">
        <f aca="false">IF(CS303!D29=0,"—",TEXT(CS303!D29,"0"))</f>
        <v>—</v>
      </c>
    </row>
    <row r="18" customFormat="false" ht="18" hidden="false" customHeight="true" outlineLevel="0" collapsed="false">
      <c r="A18" s="88"/>
      <c r="B18" s="88"/>
      <c r="C18" s="88"/>
      <c r="D18" s="44" t="s">
        <v>149</v>
      </c>
      <c r="E18" s="94" t="s">
        <v>51</v>
      </c>
      <c r="F18" s="92" t="n">
        <f aca="false">CS303!D8</f>
        <v>4</v>
      </c>
      <c r="G18" s="95" t="str">
        <f aca="false">IF(CS303!G15=0,"—",TEXT(CS303!G15,"0"))</f>
        <v>2</v>
      </c>
      <c r="H18" s="95" t="str">
        <f aca="false">IF(CS303!G16=0,"—",TEXT(CS303!G16,"0"))</f>
        <v>2</v>
      </c>
      <c r="I18" s="95" t="str">
        <f aca="false">IF(CS303!G17=0,"—",TEXT(CS303!G17,"0"))</f>
        <v>—</v>
      </c>
      <c r="J18" s="95" t="str">
        <f aca="false">IF(CS303!G18=0,"—",TEXT(CS303!G18,"0"))</f>
        <v>—</v>
      </c>
      <c r="K18" s="95" t="str">
        <f aca="false">IF(CS303!G19=0,"—",TEXT(CS303!G19,"0"))</f>
        <v>2</v>
      </c>
      <c r="L18" s="95" t="str">
        <f aca="false">IF(CS303!G20=0,"—",TEXT(CS303!G20,"0"))</f>
        <v>—</v>
      </c>
      <c r="M18" s="95" t="str">
        <f aca="false">IF(CS303!G21=0,"—",TEXT(CS303!G21,"0"))</f>
        <v>—</v>
      </c>
      <c r="N18" s="95" t="str">
        <f aca="false">IF(CS303!G22=0,"—",TEXT(CS303!G22,"0"))</f>
        <v>—</v>
      </c>
      <c r="O18" s="95" t="str">
        <f aca="false">IF(CS303!G23=0,"—",TEXT(CS303!G23,"0"))</f>
        <v>—</v>
      </c>
      <c r="P18" s="95" t="str">
        <f aca="false">IF(CS303!G24=0,"—",TEXT(CS303!G24,"0"))</f>
        <v>—</v>
      </c>
      <c r="Q18" s="95" t="str">
        <f aca="false">IF(CS303!G25=0,"—",TEXT(CS303!G25,"0"))</f>
        <v>—</v>
      </c>
      <c r="R18" s="95" t="str">
        <f aca="false">IF(CS303!G26=0,"—",TEXT(CS303!G26,"0"))</f>
        <v>2</v>
      </c>
      <c r="S18" s="95" t="str">
        <f aca="false">IF(CS303!G27=0,"—",TEXT(CS303!G27,"0"))</f>
        <v>2</v>
      </c>
      <c r="T18" s="95" t="str">
        <f aca="false">IF(CS303!G28=0,"—",TEXT(CS303!G28,"0"))</f>
        <v>2</v>
      </c>
      <c r="U18" s="95" t="str">
        <f aca="false">IF(CS303!G29=0,"—",TEXT(CS303!G29,"0"))</f>
        <v>—</v>
      </c>
    </row>
    <row r="19" customFormat="false" ht="18" hidden="false" customHeight="true" outlineLevel="0" collapsed="false">
      <c r="A19" s="88"/>
      <c r="B19" s="88"/>
      <c r="C19" s="88"/>
      <c r="D19" s="44" t="s">
        <v>152</v>
      </c>
      <c r="E19" s="91" t="s">
        <v>154</v>
      </c>
      <c r="F19" s="92" t="n">
        <f aca="false">CS303!D9</f>
        <v>6</v>
      </c>
      <c r="G19" s="93" t="str">
        <f aca="false">IF(CS303!J15=0,"—",TEXT(CS303!J15,"0"))</f>
        <v>2</v>
      </c>
      <c r="H19" s="93" t="str">
        <f aca="false">IF(CS303!J16=0,"—",TEXT(CS303!J16,"0"))</f>
        <v>2</v>
      </c>
      <c r="I19" s="93" t="str">
        <f aca="false">IF(CS303!J17=0,"—",TEXT(CS303!J17,"0"))</f>
        <v>3</v>
      </c>
      <c r="J19" s="93" t="str">
        <f aca="false">IF(CS303!J18=0,"—",TEXT(CS303!J18,"0"))</f>
        <v>2</v>
      </c>
      <c r="K19" s="93" t="str">
        <f aca="false">IF(CS303!J19=0,"—",TEXT(CS303!J19,"0"))</f>
        <v>3</v>
      </c>
      <c r="L19" s="93" t="str">
        <f aca="false">IF(CS303!J20=0,"—",TEXT(CS303!J20,"0"))</f>
        <v>—</v>
      </c>
      <c r="M19" s="93" t="str">
        <f aca="false">IF(CS303!J21=0,"—",TEXT(CS303!J21,"0"))</f>
        <v>—</v>
      </c>
      <c r="N19" s="93" t="str">
        <f aca="false">IF(CS303!J22=0,"—",TEXT(CS303!J22,"0"))</f>
        <v>—</v>
      </c>
      <c r="O19" s="93" t="str">
        <f aca="false">IF(CS303!J23=0,"—",TEXT(CS303!J23,"0"))</f>
        <v>—</v>
      </c>
      <c r="P19" s="93" t="str">
        <f aca="false">IF(CS303!J24=0,"—",TEXT(CS303!J24,"0"))</f>
        <v>—</v>
      </c>
      <c r="Q19" s="93" t="str">
        <f aca="false">IF(CS303!J25=0,"—",TEXT(CS303!J25,"0"))</f>
        <v>—</v>
      </c>
      <c r="R19" s="93" t="str">
        <f aca="false">IF(CS303!J26=0,"—",TEXT(CS303!J26,"0"))</f>
        <v>—</v>
      </c>
      <c r="S19" s="93" t="str">
        <f aca="false">IF(CS303!J27=0,"—",TEXT(CS303!J27,"0"))</f>
        <v>3</v>
      </c>
      <c r="T19" s="93" t="str">
        <f aca="false">IF(CS303!J28=0,"—",TEXT(CS303!J28,"0"))</f>
        <v>3</v>
      </c>
      <c r="U19" s="93" t="str">
        <f aca="false">IF(CS303!J29=0,"—",TEXT(CS303!J29,"0"))</f>
        <v>2</v>
      </c>
    </row>
    <row r="20" customFormat="false" ht="18" hidden="false" customHeight="true" outlineLevel="0" collapsed="false">
      <c r="A20" s="88"/>
      <c r="B20" s="88"/>
      <c r="C20" s="88"/>
      <c r="D20" s="44" t="s">
        <v>156</v>
      </c>
      <c r="E20" s="94" t="s">
        <v>54</v>
      </c>
      <c r="F20" s="92" t="n">
        <f aca="false">CS303!D10</f>
        <v>5</v>
      </c>
      <c r="G20" s="95" t="str">
        <f aca="false">IF(CS303!M15=0,"—",TEXT(CS303!M15,"0"))</f>
        <v>2</v>
      </c>
      <c r="H20" s="95" t="str">
        <f aca="false">IF(CS303!M16=0,"—",TEXT(CS303!M16,"0"))</f>
        <v>3</v>
      </c>
      <c r="I20" s="95" t="str">
        <f aca="false">IF(CS303!M17=0,"—",TEXT(CS303!M17,"0"))</f>
        <v>—</v>
      </c>
      <c r="J20" s="95" t="str">
        <f aca="false">IF(CS303!M18=0,"—",TEXT(CS303!M18,"0"))</f>
        <v>2</v>
      </c>
      <c r="K20" s="95" t="str">
        <f aca="false">IF(CS303!M19=0,"—",TEXT(CS303!M19,"0"))</f>
        <v>—</v>
      </c>
      <c r="L20" s="95" t="str">
        <f aca="false">IF(CS303!M20=0,"—",TEXT(CS303!M20,"0"))</f>
        <v>—</v>
      </c>
      <c r="M20" s="95" t="str">
        <f aca="false">IF(CS303!M21=0,"—",TEXT(CS303!M21,"0"))</f>
        <v>—</v>
      </c>
      <c r="N20" s="95" t="str">
        <f aca="false">IF(CS303!M22=0,"—",TEXT(CS303!M22,"0"))</f>
        <v>—</v>
      </c>
      <c r="O20" s="95" t="str">
        <f aca="false">IF(CS303!M23=0,"—",TEXT(CS303!M23,"0"))</f>
        <v>—</v>
      </c>
      <c r="P20" s="95" t="str">
        <f aca="false">IF(CS303!M24=0,"—",TEXT(CS303!M24,"0"))</f>
        <v>—</v>
      </c>
      <c r="Q20" s="95" t="str">
        <f aca="false">IF(CS303!M25=0,"—",TEXT(CS303!M25,"0"))</f>
        <v>—</v>
      </c>
      <c r="R20" s="95" t="str">
        <f aca="false">IF(CS303!M26=0,"—",TEXT(CS303!M26,"0"))</f>
        <v>—</v>
      </c>
      <c r="S20" s="95" t="str">
        <f aca="false">IF(CS303!M27=0,"—",TEXT(CS303!M27,"0"))</f>
        <v>2</v>
      </c>
      <c r="T20" s="95" t="str">
        <f aca="false">IF(CS303!M28=0,"—",TEXT(CS303!M28,"0"))</f>
        <v>2</v>
      </c>
      <c r="U20" s="95" t="str">
        <f aca="false">IF(CS303!M29=0,"—",TEXT(CS303!M29,"0"))</f>
        <v>—</v>
      </c>
    </row>
    <row r="21" customFormat="false" ht="18" hidden="false" customHeight="true" outlineLevel="0" collapsed="false">
      <c r="A21" s="88"/>
      <c r="B21" s="88"/>
      <c r="C21" s="88"/>
      <c r="D21" s="44" t="s">
        <v>159</v>
      </c>
      <c r="E21" s="91" t="s">
        <v>284</v>
      </c>
      <c r="F21" s="92" t="n">
        <f aca="false">CS303!D11</f>
        <v>3</v>
      </c>
      <c r="G21" s="93" t="str">
        <f aca="false">IF(CS303!P15=0,"—",TEXT(CS303!P15,"0"))</f>
        <v>2</v>
      </c>
      <c r="H21" s="93" t="str">
        <f aca="false">IF(CS303!P16=0,"—",TEXT(CS303!P16,"0"))</f>
        <v>2</v>
      </c>
      <c r="I21" s="93" t="str">
        <f aca="false">IF(CS303!P17=0,"—",TEXT(CS303!P17,"0"))</f>
        <v>—</v>
      </c>
      <c r="J21" s="93" t="str">
        <f aca="false">IF(CS303!P18=0,"—",TEXT(CS303!P18,"0"))</f>
        <v>—</v>
      </c>
      <c r="K21" s="93" t="str">
        <f aca="false">IF(CS303!P19=0,"—",TEXT(CS303!P19,"0"))</f>
        <v>2</v>
      </c>
      <c r="L21" s="93" t="str">
        <f aca="false">IF(CS303!P20=0,"—",TEXT(CS303!P20,"0"))</f>
        <v>—</v>
      </c>
      <c r="M21" s="93" t="str">
        <f aca="false">IF(CS303!P21=0,"—",TEXT(CS303!P21,"0"))</f>
        <v>—</v>
      </c>
      <c r="N21" s="93" t="str">
        <f aca="false">IF(CS303!P22=0,"—",TEXT(CS303!P22,"0"))</f>
        <v>—</v>
      </c>
      <c r="O21" s="93" t="str">
        <f aca="false">IF(CS303!P23=0,"—",TEXT(CS303!P23,"0"))</f>
        <v>—</v>
      </c>
      <c r="P21" s="93" t="str">
        <f aca="false">IF(CS303!P24=0,"—",TEXT(CS303!P24,"0"))</f>
        <v>—</v>
      </c>
      <c r="Q21" s="93" t="str">
        <f aca="false">IF(CS303!P25=0,"—",TEXT(CS303!P25,"0"))</f>
        <v>—</v>
      </c>
      <c r="R21" s="93" t="str">
        <f aca="false">IF(CS303!P26=0,"—",TEXT(CS303!P26,"0"))</f>
        <v>2</v>
      </c>
      <c r="S21" s="93" t="str">
        <f aca="false">IF(CS303!P27=0,"—",TEXT(CS303!P27,"0"))</f>
        <v>2</v>
      </c>
      <c r="T21" s="93" t="str">
        <f aca="false">IF(CS303!P28=0,"—",TEXT(CS303!P28,"0"))</f>
        <v>2</v>
      </c>
      <c r="U21" s="93" t="str">
        <f aca="false">IF(CS303!P29=0,"—",TEXT(CS303!P29,"0"))</f>
        <v>—</v>
      </c>
    </row>
    <row r="22" customFormat="false" ht="18" hidden="false" customHeight="true" outlineLevel="0" collapsed="false">
      <c r="A22" s="88" t="n">
        <v>4</v>
      </c>
      <c r="B22" s="89" t="s">
        <v>285</v>
      </c>
      <c r="C22" s="90" t="s">
        <v>286</v>
      </c>
      <c r="D22" s="44" t="s">
        <v>146</v>
      </c>
      <c r="E22" s="94" t="s">
        <v>51</v>
      </c>
      <c r="F22" s="92" t="n">
        <f aca="false">CS304!D7</f>
        <v>4</v>
      </c>
      <c r="G22" s="95" t="str">
        <f aca="false">IF(CS304!D15=0,"—",TEXT(CS304!D15,"0"))</f>
        <v>2</v>
      </c>
      <c r="H22" s="95" t="str">
        <f aca="false">IF(CS304!D16=0,"—",TEXT(CS304!D16,"0"))</f>
        <v>2</v>
      </c>
      <c r="I22" s="95" t="str">
        <f aca="false">IF(CS304!D17=0,"—",TEXT(CS304!D17,"0"))</f>
        <v>—</v>
      </c>
      <c r="J22" s="95" t="str">
        <f aca="false">IF(CS304!D18=0,"—",TEXT(CS304!D18,"0"))</f>
        <v>—</v>
      </c>
      <c r="K22" s="95" t="str">
        <f aca="false">IF(CS304!D19=0,"—",TEXT(CS304!D19,"0"))</f>
        <v>—</v>
      </c>
      <c r="L22" s="95" t="str">
        <f aca="false">IF(CS304!D20=0,"—",TEXT(CS304!D20,"0"))</f>
        <v>—</v>
      </c>
      <c r="M22" s="95" t="str">
        <f aca="false">IF(CS304!D21=0,"—",TEXT(CS304!D21,"0"))</f>
        <v>—</v>
      </c>
      <c r="N22" s="95" t="str">
        <f aca="false">IF(CS304!D22=0,"—",TEXT(CS304!D22,"0"))</f>
        <v>—</v>
      </c>
      <c r="O22" s="95" t="str">
        <f aca="false">IF(CS304!D23=0,"—",TEXT(CS304!D23,"0"))</f>
        <v>—</v>
      </c>
      <c r="P22" s="95" t="str">
        <f aca="false">IF(CS304!D24=0,"—",TEXT(CS304!D24,"0"))</f>
        <v>—</v>
      </c>
      <c r="Q22" s="95" t="str">
        <f aca="false">IF(CS304!D25=0,"—",TEXT(CS304!D25,"0"))</f>
        <v>—</v>
      </c>
      <c r="R22" s="95" t="str">
        <f aca="false">IF(CS304!D26=0,"—",TEXT(CS304!D26,"0"))</f>
        <v>1</v>
      </c>
      <c r="S22" s="95" t="str">
        <f aca="false">IF(CS304!D27=0,"—",TEXT(CS304!D27,"0"))</f>
        <v>2</v>
      </c>
      <c r="T22" s="95" t="str">
        <f aca="false">IF(CS304!D28=0,"—",TEXT(CS304!D28,"0"))</f>
        <v>1</v>
      </c>
      <c r="U22" s="95" t="str">
        <f aca="false">IF(CS304!D29=0,"—",TEXT(CS304!D29,"0"))</f>
        <v>—</v>
      </c>
    </row>
    <row r="23" customFormat="false" ht="18" hidden="false" customHeight="true" outlineLevel="0" collapsed="false">
      <c r="A23" s="88"/>
      <c r="B23" s="88"/>
      <c r="C23" s="88"/>
      <c r="D23" s="44" t="s">
        <v>149</v>
      </c>
      <c r="E23" s="91" t="s">
        <v>154</v>
      </c>
      <c r="F23" s="92" t="n">
        <f aca="false">CS304!D8</f>
        <v>6</v>
      </c>
      <c r="G23" s="93" t="str">
        <f aca="false">IF(CS304!G15=0,"—",TEXT(CS304!G15,"0"))</f>
        <v>2</v>
      </c>
      <c r="H23" s="93" t="str">
        <f aca="false">IF(CS304!G16=0,"—",TEXT(CS304!G16,"0"))</f>
        <v>2</v>
      </c>
      <c r="I23" s="93" t="str">
        <f aca="false">IF(CS304!G17=0,"—",TEXT(CS304!G17,"0"))</f>
        <v>3</v>
      </c>
      <c r="J23" s="93" t="str">
        <f aca="false">IF(CS304!G18=0,"—",TEXT(CS304!G18,"0"))</f>
        <v>2</v>
      </c>
      <c r="K23" s="93" t="str">
        <f aca="false">IF(CS304!G19=0,"—",TEXT(CS304!G19,"0"))</f>
        <v>—</v>
      </c>
      <c r="L23" s="93" t="str">
        <f aca="false">IF(CS304!G20=0,"—",TEXT(CS304!G20,"0"))</f>
        <v>—</v>
      </c>
      <c r="M23" s="93" t="str">
        <f aca="false">IF(CS304!G21=0,"—",TEXT(CS304!G21,"0"))</f>
        <v>—</v>
      </c>
      <c r="N23" s="93" t="str">
        <f aca="false">IF(CS304!G22=0,"—",TEXT(CS304!G22,"0"))</f>
        <v>—</v>
      </c>
      <c r="O23" s="93" t="str">
        <f aca="false">IF(CS304!G23=0,"—",TEXT(CS304!G23,"0"))</f>
        <v>—</v>
      </c>
      <c r="P23" s="93" t="str">
        <f aca="false">IF(CS304!G24=0,"—",TEXT(CS304!G24,"0"))</f>
        <v>—</v>
      </c>
      <c r="Q23" s="93" t="str">
        <f aca="false">IF(CS304!G25=0,"—",TEXT(CS304!G25,"0"))</f>
        <v>—</v>
      </c>
      <c r="R23" s="93" t="str">
        <f aca="false">IF(CS304!G26=0,"—",TEXT(CS304!G26,"0"))</f>
        <v>—</v>
      </c>
      <c r="S23" s="93" t="str">
        <f aca="false">IF(CS304!G27=0,"—",TEXT(CS304!G27,"0"))</f>
        <v>3</v>
      </c>
      <c r="T23" s="93" t="str">
        <f aca="false">IF(CS304!G28=0,"—",TEXT(CS304!G28,"0"))</f>
        <v>2</v>
      </c>
      <c r="U23" s="93" t="str">
        <f aca="false">IF(CS304!G29=0,"—",TEXT(CS304!G29,"0"))</f>
        <v>—</v>
      </c>
    </row>
    <row r="24" customFormat="false" ht="18" hidden="false" customHeight="true" outlineLevel="0" collapsed="false">
      <c r="A24" s="88"/>
      <c r="B24" s="88"/>
      <c r="C24" s="88"/>
      <c r="D24" s="44" t="s">
        <v>152</v>
      </c>
      <c r="E24" s="94" t="s">
        <v>51</v>
      </c>
      <c r="F24" s="92" t="n">
        <f aca="false">CS304!D9</f>
        <v>4</v>
      </c>
      <c r="G24" s="95" t="str">
        <f aca="false">IF(CS304!J15=0,"—",TEXT(CS304!J15,"0"))</f>
        <v>2</v>
      </c>
      <c r="H24" s="95" t="str">
        <f aca="false">IF(CS304!J16=0,"—",TEXT(CS304!J16,"0"))</f>
        <v>2</v>
      </c>
      <c r="I24" s="95" t="str">
        <f aca="false">IF(CS304!J17=0,"—",TEXT(CS304!J17,"0"))</f>
        <v>—</v>
      </c>
      <c r="J24" s="95" t="str">
        <f aca="false">IF(CS304!J18=0,"—",TEXT(CS304!J18,"0"))</f>
        <v>2</v>
      </c>
      <c r="K24" s="95" t="str">
        <f aca="false">IF(CS304!J19=0,"—",TEXT(CS304!J19,"0"))</f>
        <v>—</v>
      </c>
      <c r="L24" s="95" t="str">
        <f aca="false">IF(CS304!J20=0,"—",TEXT(CS304!J20,"0"))</f>
        <v>—</v>
      </c>
      <c r="M24" s="95" t="str">
        <f aca="false">IF(CS304!J21=0,"—",TEXT(CS304!J21,"0"))</f>
        <v>—</v>
      </c>
      <c r="N24" s="95" t="str">
        <f aca="false">IF(CS304!J22=0,"—",TEXT(CS304!J22,"0"))</f>
        <v>—</v>
      </c>
      <c r="O24" s="95" t="str">
        <f aca="false">IF(CS304!J23=0,"—",TEXT(CS304!J23,"0"))</f>
        <v>—</v>
      </c>
      <c r="P24" s="95" t="str">
        <f aca="false">IF(CS304!J24=0,"—",TEXT(CS304!J24,"0"))</f>
        <v>—</v>
      </c>
      <c r="Q24" s="95" t="str">
        <f aca="false">IF(CS304!J25=0,"—",TEXT(CS304!J25,"0"))</f>
        <v>—</v>
      </c>
      <c r="R24" s="95" t="str">
        <f aca="false">IF(CS304!J26=0,"—",TEXT(CS304!J26,"0"))</f>
        <v>1</v>
      </c>
      <c r="S24" s="95" t="str">
        <f aca="false">IF(CS304!J27=0,"—",TEXT(CS304!J27,"0"))</f>
        <v>2</v>
      </c>
      <c r="T24" s="95" t="str">
        <f aca="false">IF(CS304!J28=0,"—",TEXT(CS304!J28,"0"))</f>
        <v>1</v>
      </c>
      <c r="U24" s="95" t="str">
        <f aca="false">IF(CS304!J29=0,"—",TEXT(CS304!J29,"0"))</f>
        <v>—</v>
      </c>
    </row>
    <row r="25" customFormat="false" ht="18" hidden="false" customHeight="true" outlineLevel="0" collapsed="false">
      <c r="A25" s="88"/>
      <c r="B25" s="88"/>
      <c r="C25" s="88"/>
      <c r="D25" s="44" t="s">
        <v>156</v>
      </c>
      <c r="E25" s="91" t="s">
        <v>54</v>
      </c>
      <c r="F25" s="92" t="n">
        <f aca="false">CS304!D10</f>
        <v>5</v>
      </c>
      <c r="G25" s="93" t="str">
        <f aca="false">IF(CS304!M15=0,"—",TEXT(CS304!M15,"0"))</f>
        <v>2</v>
      </c>
      <c r="H25" s="93" t="str">
        <f aca="false">IF(CS304!M16=0,"—",TEXT(CS304!M16,"0"))</f>
        <v>3</v>
      </c>
      <c r="I25" s="93" t="str">
        <f aca="false">IF(CS304!M17=0,"—",TEXT(CS304!M17,"0"))</f>
        <v>—</v>
      </c>
      <c r="J25" s="93" t="str">
        <f aca="false">IF(CS304!M18=0,"—",TEXT(CS304!M18,"0"))</f>
        <v>—</v>
      </c>
      <c r="K25" s="93" t="str">
        <f aca="false">IF(CS304!M19=0,"—",TEXT(CS304!M19,"0"))</f>
        <v>2</v>
      </c>
      <c r="L25" s="93" t="str">
        <f aca="false">IF(CS304!M20=0,"—",TEXT(CS304!M20,"0"))</f>
        <v>—</v>
      </c>
      <c r="M25" s="93" t="str">
        <f aca="false">IF(CS304!M21=0,"—",TEXT(CS304!M21,"0"))</f>
        <v>—</v>
      </c>
      <c r="N25" s="93" t="str">
        <f aca="false">IF(CS304!M22=0,"—",TEXT(CS304!M22,"0"))</f>
        <v>—</v>
      </c>
      <c r="O25" s="93" t="str">
        <f aca="false">IF(CS304!M23=0,"—",TEXT(CS304!M23,"0"))</f>
        <v>—</v>
      </c>
      <c r="P25" s="93" t="str">
        <f aca="false">IF(CS304!M24=0,"—",TEXT(CS304!M24,"0"))</f>
        <v>—</v>
      </c>
      <c r="Q25" s="93" t="str">
        <f aca="false">IF(CS304!M25=0,"—",TEXT(CS304!M25,"0"))</f>
        <v>—</v>
      </c>
      <c r="R25" s="93" t="str">
        <f aca="false">IF(CS304!M26=0,"—",TEXT(CS304!M26,"0"))</f>
        <v>—</v>
      </c>
      <c r="S25" s="93" t="str">
        <f aca="false">IF(CS304!M27=0,"—",TEXT(CS304!M27,"0"))</f>
        <v>2</v>
      </c>
      <c r="T25" s="93" t="str">
        <f aca="false">IF(CS304!M28=0,"—",TEXT(CS304!M28,"0"))</f>
        <v>2</v>
      </c>
      <c r="U25" s="93" t="str">
        <f aca="false">IF(CS304!M29=0,"—",TEXT(CS304!M29,"0"))</f>
        <v>—</v>
      </c>
    </row>
    <row r="26" customFormat="false" ht="18" hidden="false" customHeight="true" outlineLevel="0" collapsed="false">
      <c r="A26" s="88"/>
      <c r="B26" s="88"/>
      <c r="C26" s="88"/>
      <c r="D26" s="44" t="s">
        <v>159</v>
      </c>
      <c r="E26" s="94" t="s">
        <v>161</v>
      </c>
      <c r="F26" s="92" t="n">
        <f aca="false">CS304!D11</f>
        <v>3</v>
      </c>
      <c r="G26" s="95" t="str">
        <f aca="false">IF(CS304!P15=0,"—",TEXT(CS304!P15,"0"))</f>
        <v>2</v>
      </c>
      <c r="H26" s="95" t="str">
        <f aca="false">IF(CS304!P16=0,"—",TEXT(CS304!P16,"0"))</f>
        <v>2</v>
      </c>
      <c r="I26" s="95" t="str">
        <f aca="false">IF(CS304!P17=0,"—",TEXT(CS304!P17,"0"))</f>
        <v>—</v>
      </c>
      <c r="J26" s="95" t="str">
        <f aca="false">IF(CS304!P18=0,"—",TEXT(CS304!P18,"0"))</f>
        <v>—</v>
      </c>
      <c r="K26" s="95" t="str">
        <f aca="false">IF(CS304!P19=0,"—",TEXT(CS304!P19,"0"))</f>
        <v>2</v>
      </c>
      <c r="L26" s="95" t="str">
        <f aca="false">IF(CS304!P20=0,"—",TEXT(CS304!P20,"0"))</f>
        <v>—</v>
      </c>
      <c r="M26" s="95" t="str">
        <f aca="false">IF(CS304!P21=0,"—",TEXT(CS304!P21,"0"))</f>
        <v>—</v>
      </c>
      <c r="N26" s="95" t="str">
        <f aca="false">IF(CS304!P22=0,"—",TEXT(CS304!P22,"0"))</f>
        <v>—</v>
      </c>
      <c r="O26" s="95" t="str">
        <f aca="false">IF(CS304!P23=0,"—",TEXT(CS304!P23,"0"))</f>
        <v>—</v>
      </c>
      <c r="P26" s="95" t="str">
        <f aca="false">IF(CS304!P24=0,"—",TEXT(CS304!P24,"0"))</f>
        <v>—</v>
      </c>
      <c r="Q26" s="95" t="str">
        <f aca="false">IF(CS304!P25=0,"—",TEXT(CS304!P25,"0"))</f>
        <v>—</v>
      </c>
      <c r="R26" s="95" t="str">
        <f aca="false">IF(CS304!P26=0,"—",TEXT(CS304!P26,"0"))</f>
        <v>1</v>
      </c>
      <c r="S26" s="95" t="str">
        <f aca="false">IF(CS304!P27=0,"—",TEXT(CS304!P27,"0"))</f>
        <v>2</v>
      </c>
      <c r="T26" s="95" t="str">
        <f aca="false">IF(CS304!P28=0,"—",TEXT(CS304!P28,"0"))</f>
        <v>2</v>
      </c>
      <c r="U26" s="95" t="str">
        <f aca="false">IF(CS304!P29=0,"—",TEXT(CS304!P29,"0"))</f>
        <v>—</v>
      </c>
    </row>
    <row r="27" customFormat="false" ht="18" hidden="false" customHeight="true" outlineLevel="0" collapsed="false">
      <c r="A27" s="88" t="n">
        <v>5</v>
      </c>
      <c r="B27" s="89" t="s">
        <v>287</v>
      </c>
      <c r="C27" s="90" t="s">
        <v>288</v>
      </c>
      <c r="D27" s="44" t="s">
        <v>146</v>
      </c>
      <c r="E27" s="91" t="s">
        <v>46</v>
      </c>
      <c r="F27" s="92" t="n">
        <f aca="false">CS305!D7</f>
        <v>3</v>
      </c>
      <c r="G27" s="93" t="str">
        <f aca="false">IF(CS305!D16=0,"—",TEXT(CS305!D16,"0"))</f>
        <v>2</v>
      </c>
      <c r="H27" s="93" t="str">
        <f aca="false">IF(CS305!D17=0,"—",TEXT(CS305!D17,"0"))</f>
        <v>2</v>
      </c>
      <c r="I27" s="93" t="str">
        <f aca="false">IF(CS305!D18=0,"—",TEXT(CS305!D18,"0"))</f>
        <v>—</v>
      </c>
      <c r="J27" s="93" t="str">
        <f aca="false">IF(CS305!D19=0,"—",TEXT(CS305!D19,"0"))</f>
        <v>—</v>
      </c>
      <c r="K27" s="93" t="str">
        <f aca="false">IF(CS305!D20=0,"—",TEXT(CS305!D20,"0"))</f>
        <v>2</v>
      </c>
      <c r="L27" s="93" t="str">
        <f aca="false">IF(CS305!D21=0,"—",TEXT(CS305!D21,"0"))</f>
        <v>—</v>
      </c>
      <c r="M27" s="93" t="str">
        <f aca="false">IF(CS305!D22=0,"—",TEXT(CS305!D22,"0"))</f>
        <v>—</v>
      </c>
      <c r="N27" s="93" t="str">
        <f aca="false">IF(CS305!D23=0,"—",TEXT(CS305!D23,"0"))</f>
        <v>—</v>
      </c>
      <c r="O27" s="93" t="str">
        <f aca="false">IF(CS305!D24=0,"—",TEXT(CS305!D24,"0"))</f>
        <v>—</v>
      </c>
      <c r="P27" s="93" t="str">
        <f aca="false">IF(CS305!D25=0,"—",TEXT(CS305!D25,"0"))</f>
        <v>—</v>
      </c>
      <c r="Q27" s="93" t="str">
        <f aca="false">IF(CS305!D26=0,"—",TEXT(CS305!D26,"0"))</f>
        <v>—</v>
      </c>
      <c r="R27" s="93" t="str">
        <f aca="false">IF(CS305!D27=0,"—",TEXT(CS305!D27,"0"))</f>
        <v>2</v>
      </c>
      <c r="S27" s="93" t="str">
        <f aca="false">IF(CS305!D28=0,"—",TEXT(CS305!D28,"0"))</f>
        <v>2</v>
      </c>
      <c r="T27" s="93" t="str">
        <f aca="false">IF(CS305!D29=0,"—",TEXT(CS305!D29,"0"))</f>
        <v>2</v>
      </c>
      <c r="U27" s="93" t="str">
        <f aca="false">IF(CS305!D30=0,"—",TEXT(CS305!D30,"0"))</f>
        <v>2</v>
      </c>
    </row>
    <row r="28" customFormat="false" ht="18" hidden="false" customHeight="true" outlineLevel="0" collapsed="false">
      <c r="A28" s="88"/>
      <c r="B28" s="88"/>
      <c r="C28" s="88"/>
      <c r="D28" s="44" t="s">
        <v>149</v>
      </c>
      <c r="E28" s="94" t="s">
        <v>51</v>
      </c>
      <c r="F28" s="92" t="n">
        <f aca="false">CS305!D8</f>
        <v>4</v>
      </c>
      <c r="G28" s="95" t="str">
        <f aca="false">IF(CS305!G16=0,"—",TEXT(CS305!G16,"0"))</f>
        <v>2</v>
      </c>
      <c r="H28" s="95" t="str">
        <f aca="false">IF(CS305!G17=0,"—",TEXT(CS305!G17,"0"))</f>
        <v>2</v>
      </c>
      <c r="I28" s="95" t="str">
        <f aca="false">IF(CS305!G18=0,"—",TEXT(CS305!G18,"0"))</f>
        <v>—</v>
      </c>
      <c r="J28" s="95" t="str">
        <f aca="false">IF(CS305!G19=0,"—",TEXT(CS305!G19,"0"))</f>
        <v>2</v>
      </c>
      <c r="K28" s="95" t="str">
        <f aca="false">IF(CS305!G20=0,"—",TEXT(CS305!G20,"0"))</f>
        <v>2</v>
      </c>
      <c r="L28" s="95" t="str">
        <f aca="false">IF(CS305!G21=0,"—",TEXT(CS305!G21,"0"))</f>
        <v>—</v>
      </c>
      <c r="M28" s="95" t="str">
        <f aca="false">IF(CS305!G22=0,"—",TEXT(CS305!G22,"0"))</f>
        <v>—</v>
      </c>
      <c r="N28" s="95" t="str">
        <f aca="false">IF(CS305!G23=0,"—",TEXT(CS305!G23,"0"))</f>
        <v>—</v>
      </c>
      <c r="O28" s="95" t="str">
        <f aca="false">IF(CS305!G24=0,"—",TEXT(CS305!G24,"0"))</f>
        <v>—</v>
      </c>
      <c r="P28" s="95" t="str">
        <f aca="false">IF(CS305!G25=0,"—",TEXT(CS305!G25,"0"))</f>
        <v>—</v>
      </c>
      <c r="Q28" s="95" t="str">
        <f aca="false">IF(CS305!G26=0,"—",TEXT(CS305!G26,"0"))</f>
        <v>—</v>
      </c>
      <c r="R28" s="95" t="str">
        <f aca="false">IF(CS305!G27=0,"—",TEXT(CS305!G27,"0"))</f>
        <v>—</v>
      </c>
      <c r="S28" s="95" t="str">
        <f aca="false">IF(CS305!G28=0,"—",TEXT(CS305!G28,"0"))</f>
        <v>2</v>
      </c>
      <c r="T28" s="95" t="str">
        <f aca="false">IF(CS305!G29=0,"—",TEXT(CS305!G29,"0"))</f>
        <v>2</v>
      </c>
      <c r="U28" s="95" t="str">
        <f aca="false">IF(CS305!G30=0,"—",TEXT(CS305!G30,"0"))</f>
        <v>—</v>
      </c>
    </row>
    <row r="29" customFormat="false" ht="18" hidden="false" customHeight="true" outlineLevel="0" collapsed="false">
      <c r="A29" s="88"/>
      <c r="B29" s="88"/>
      <c r="C29" s="88"/>
      <c r="D29" s="44" t="s">
        <v>152</v>
      </c>
      <c r="E29" s="91" t="s">
        <v>154</v>
      </c>
      <c r="F29" s="92" t="n">
        <f aca="false">CS305!D9</f>
        <v>6</v>
      </c>
      <c r="G29" s="93" t="str">
        <f aca="false">IF(CS305!J16=0,"—",TEXT(CS305!J16,"0"))</f>
        <v>2</v>
      </c>
      <c r="H29" s="93" t="str">
        <f aca="false">IF(CS305!J17=0,"—",TEXT(CS305!J17,"0"))</f>
        <v>2</v>
      </c>
      <c r="I29" s="93" t="str">
        <f aca="false">IF(CS305!J18=0,"—",TEXT(CS305!J18,"0"))</f>
        <v>3</v>
      </c>
      <c r="J29" s="93" t="str">
        <f aca="false">IF(CS305!J19=0,"—",TEXT(CS305!J19,"0"))</f>
        <v>—</v>
      </c>
      <c r="K29" s="93" t="str">
        <f aca="false">IF(CS305!J20=0,"—",TEXT(CS305!J20,"0"))</f>
        <v>3</v>
      </c>
      <c r="L29" s="93" t="str">
        <f aca="false">IF(CS305!J21=0,"—",TEXT(CS305!J21,"0"))</f>
        <v>—</v>
      </c>
      <c r="M29" s="93" t="str">
        <f aca="false">IF(CS305!J22=0,"—",TEXT(CS305!J22,"0"))</f>
        <v>—</v>
      </c>
      <c r="N29" s="93" t="str">
        <f aca="false">IF(CS305!J23=0,"—",TEXT(CS305!J23,"0"))</f>
        <v>—</v>
      </c>
      <c r="O29" s="93" t="str">
        <f aca="false">IF(CS305!J24=0,"—",TEXT(CS305!J24,"0"))</f>
        <v>—</v>
      </c>
      <c r="P29" s="93" t="str">
        <f aca="false">IF(CS305!J25=0,"—",TEXT(CS305!J25,"0"))</f>
        <v>—</v>
      </c>
      <c r="Q29" s="93" t="str">
        <f aca="false">IF(CS305!J26=0,"—",TEXT(CS305!J26,"0"))</f>
        <v>—</v>
      </c>
      <c r="R29" s="93" t="str">
        <f aca="false">IF(CS305!J27=0,"—",TEXT(CS305!J27,"0"))</f>
        <v>3</v>
      </c>
      <c r="S29" s="93" t="str">
        <f aca="false">IF(CS305!J28=0,"—",TEXT(CS305!J28,"0"))</f>
        <v>3</v>
      </c>
      <c r="T29" s="93" t="str">
        <f aca="false">IF(CS305!J29=0,"—",TEXT(CS305!J29,"0"))</f>
        <v>3</v>
      </c>
      <c r="U29" s="93" t="str">
        <f aca="false">IF(CS305!J30=0,"—",TEXT(CS305!J30,"0"))</f>
        <v>3</v>
      </c>
    </row>
    <row r="30" customFormat="false" ht="18" hidden="false" customHeight="true" outlineLevel="0" collapsed="false">
      <c r="A30" s="88"/>
      <c r="B30" s="88"/>
      <c r="C30" s="88"/>
      <c r="D30" s="44" t="s">
        <v>156</v>
      </c>
      <c r="E30" s="94" t="s">
        <v>54</v>
      </c>
      <c r="F30" s="92" t="n">
        <f aca="false">CS305!D10</f>
        <v>5</v>
      </c>
      <c r="G30" s="95" t="str">
        <f aca="false">IF(CS305!M16=0,"—",TEXT(CS305!M16,"0"))</f>
        <v>2</v>
      </c>
      <c r="H30" s="95" t="str">
        <f aca="false">IF(CS305!M17=0,"—",TEXT(CS305!M17,"0"))</f>
        <v>3</v>
      </c>
      <c r="I30" s="95" t="str">
        <f aca="false">IF(CS305!M18=0,"—",TEXT(CS305!M18,"0"))</f>
        <v>—</v>
      </c>
      <c r="J30" s="95" t="str">
        <f aca="false">IF(CS305!M19=0,"—",TEXT(CS305!M19,"0"))</f>
        <v>2</v>
      </c>
      <c r="K30" s="95" t="str">
        <f aca="false">IF(CS305!M20=0,"—",TEXT(CS305!M20,"0"))</f>
        <v>2</v>
      </c>
      <c r="L30" s="95" t="str">
        <f aca="false">IF(CS305!M21=0,"—",TEXT(CS305!M21,"0"))</f>
        <v>—</v>
      </c>
      <c r="M30" s="95" t="str">
        <f aca="false">IF(CS305!M22=0,"—",TEXT(CS305!M22,"0"))</f>
        <v>—</v>
      </c>
      <c r="N30" s="95" t="str">
        <f aca="false">IF(CS305!M23=0,"—",TEXT(CS305!M23,"0"))</f>
        <v>—</v>
      </c>
      <c r="O30" s="95" t="str">
        <f aca="false">IF(CS305!M24=0,"—",TEXT(CS305!M24,"0"))</f>
        <v>—</v>
      </c>
      <c r="P30" s="95" t="str">
        <f aca="false">IF(CS305!M25=0,"—",TEXT(CS305!M25,"0"))</f>
        <v>—</v>
      </c>
      <c r="Q30" s="95" t="str">
        <f aca="false">IF(CS305!M26=0,"—",TEXT(CS305!M26,"0"))</f>
        <v>—</v>
      </c>
      <c r="R30" s="95" t="str">
        <f aca="false">IF(CS305!M27=0,"—",TEXT(CS305!M27,"0"))</f>
        <v>—</v>
      </c>
      <c r="S30" s="95" t="str">
        <f aca="false">IF(CS305!M28=0,"—",TEXT(CS305!M28,"0"))</f>
        <v>3</v>
      </c>
      <c r="T30" s="95" t="str">
        <f aca="false">IF(CS305!M29=0,"—",TEXT(CS305!M29,"0"))</f>
        <v>3</v>
      </c>
      <c r="U30" s="95" t="str">
        <f aca="false">IF(CS305!M30=0,"—",TEXT(CS305!M30,"0"))</f>
        <v>—</v>
      </c>
    </row>
    <row r="31" customFormat="false" ht="18" hidden="false" customHeight="true" outlineLevel="0" collapsed="false">
      <c r="A31" s="88"/>
      <c r="B31" s="88"/>
      <c r="C31" s="88"/>
      <c r="D31" s="44" t="s">
        <v>159</v>
      </c>
      <c r="E31" s="91" t="s">
        <v>289</v>
      </c>
      <c r="F31" s="92" t="n">
        <f aca="false">CS305!D11</f>
        <v>4</v>
      </c>
      <c r="G31" s="93" t="str">
        <f aca="false">IF(CS305!P16=0,"—",TEXT(CS305!P16,"0"))</f>
        <v>2</v>
      </c>
      <c r="H31" s="93" t="str">
        <f aca="false">IF(CS305!P17=0,"—",TEXT(CS305!P17,"0"))</f>
        <v>2</v>
      </c>
      <c r="I31" s="93" t="str">
        <f aca="false">IF(CS305!P18=0,"—",TEXT(CS305!P18,"0"))</f>
        <v>—</v>
      </c>
      <c r="J31" s="93" t="str">
        <f aca="false">IF(CS305!P19=0,"—",TEXT(CS305!P19,"0"))</f>
        <v>2</v>
      </c>
      <c r="K31" s="93" t="str">
        <f aca="false">IF(CS305!P20=0,"—",TEXT(CS305!P20,"0"))</f>
        <v>2</v>
      </c>
      <c r="L31" s="93" t="str">
        <f aca="false">IF(CS305!P21=0,"—",TEXT(CS305!P21,"0"))</f>
        <v>—</v>
      </c>
      <c r="M31" s="93" t="str">
        <f aca="false">IF(CS305!P22=0,"—",TEXT(CS305!P22,"0"))</f>
        <v>—</v>
      </c>
      <c r="N31" s="93" t="str">
        <f aca="false">IF(CS305!P23=0,"—",TEXT(CS305!P23,"0"))</f>
        <v>—</v>
      </c>
      <c r="O31" s="93" t="str">
        <f aca="false">IF(CS305!P24=0,"—",TEXT(CS305!P24,"0"))</f>
        <v>—</v>
      </c>
      <c r="P31" s="93" t="str">
        <f aca="false">IF(CS305!P25=0,"—",TEXT(CS305!P25,"0"))</f>
        <v>—</v>
      </c>
      <c r="Q31" s="93" t="str">
        <f aca="false">IF(CS305!P26=0,"—",TEXT(CS305!P26,"0"))</f>
        <v>—</v>
      </c>
      <c r="R31" s="93" t="str">
        <f aca="false">IF(CS305!P27=0,"—",TEXT(CS305!P27,"0"))</f>
        <v>2</v>
      </c>
      <c r="S31" s="93" t="str">
        <f aca="false">IF(CS305!P28=0,"—",TEXT(CS305!P28,"0"))</f>
        <v>2</v>
      </c>
      <c r="T31" s="93" t="str">
        <f aca="false">IF(CS305!P29=0,"—",TEXT(CS305!P29,"0"))</f>
        <v>2</v>
      </c>
      <c r="U31" s="93" t="str">
        <f aca="false">IF(CS305!P30=0,"—",TEXT(CS305!P30,"0"))</f>
        <v>—</v>
      </c>
    </row>
    <row r="32" customFormat="false" ht="18" hidden="false" customHeight="true" outlineLevel="0" collapsed="false">
      <c r="A32" s="88"/>
      <c r="B32" s="88"/>
      <c r="C32" s="88"/>
      <c r="D32" s="44" t="s">
        <v>290</v>
      </c>
      <c r="E32" s="94" t="s">
        <v>291</v>
      </c>
      <c r="F32" s="92" t="n">
        <f aca="false">CS305!D12</f>
        <v>6</v>
      </c>
      <c r="G32" s="95" t="str">
        <f aca="false">IF(CS305!S16=0,"—",TEXT(CS305!S16,"0"))</f>
        <v>2</v>
      </c>
      <c r="H32" s="95" t="str">
        <f aca="false">IF(CS305!S17=0,"—",TEXT(CS305!S17,"0"))</f>
        <v>—</v>
      </c>
      <c r="I32" s="95" t="str">
        <f aca="false">IF(CS305!S18=0,"—",TEXT(CS305!S18,"0"))</f>
        <v>3</v>
      </c>
      <c r="J32" s="95" t="str">
        <f aca="false">IF(CS305!S19=0,"—",TEXT(CS305!S19,"0"))</f>
        <v>—</v>
      </c>
      <c r="K32" s="95" t="str">
        <f aca="false">IF(CS305!S20=0,"—",TEXT(CS305!S20,"0"))</f>
        <v>2</v>
      </c>
      <c r="L32" s="95" t="str">
        <f aca="false">IF(CS305!S21=0,"—",TEXT(CS305!S21,"0"))</f>
        <v>—</v>
      </c>
      <c r="M32" s="95" t="str">
        <f aca="false">IF(CS305!S22=0,"—",TEXT(CS305!S22,"0"))</f>
        <v>—</v>
      </c>
      <c r="N32" s="95" t="str">
        <f aca="false">IF(CS305!S23=0,"—",TEXT(CS305!S23,"0"))</f>
        <v>—</v>
      </c>
      <c r="O32" s="95" t="str">
        <f aca="false">IF(CS305!S24=0,"—",TEXT(CS305!S24,"0"))</f>
        <v>3</v>
      </c>
      <c r="P32" s="95" t="str">
        <f aca="false">IF(CS305!S25=0,"—",TEXT(CS305!S25,"0"))</f>
        <v>3</v>
      </c>
      <c r="Q32" s="95" t="str">
        <f aca="false">IF(CS305!S26=0,"—",TEXT(CS305!S26,"0"))</f>
        <v>2</v>
      </c>
      <c r="R32" s="95" t="str">
        <f aca="false">IF(CS305!S27=0,"—",TEXT(CS305!S27,"0"))</f>
        <v>2</v>
      </c>
      <c r="S32" s="95" t="str">
        <f aca="false">IF(CS305!S28=0,"—",TEXT(CS305!S28,"0"))</f>
        <v>3</v>
      </c>
      <c r="T32" s="95" t="str">
        <f aca="false">IF(CS305!S29=0,"—",TEXT(CS305!S29,"0"))</f>
        <v>3</v>
      </c>
      <c r="U32" s="95" t="str">
        <f aca="false">IF(CS305!S30=0,"—",TEXT(CS305!S30,"0"))</f>
        <v>3</v>
      </c>
    </row>
    <row r="34" customFormat="false" ht="24" hidden="false" customHeight="true" outlineLevel="0" collapsed="false">
      <c r="A34" s="84" t="s">
        <v>292</v>
      </c>
      <c r="B34" s="84"/>
      <c r="C34" s="84"/>
      <c r="D34" s="84"/>
      <c r="E34" s="84"/>
      <c r="F34" s="86" t="n">
        <f aca="false">IFERROR(AVERAGE(F7:F32),0)</f>
        <v>4.38461538461539</v>
      </c>
      <c r="G34" s="86" t="str">
        <f aca="false">IFERROR(AVERAGEIF(G7:G32,"&lt;&gt;—"),"")</f>
        <v/>
      </c>
      <c r="H34" s="86" t="str">
        <f aca="false">IFERROR(AVERAGEIF(H7:H32,"&lt;&gt;—"),"")</f>
        <v/>
      </c>
      <c r="I34" s="86" t="str">
        <f aca="false">IFERROR(AVERAGEIF(I7:I32,"&lt;&gt;—"),"")</f>
        <v/>
      </c>
      <c r="J34" s="86" t="str">
        <f aca="false">IFERROR(AVERAGEIF(J7:J32,"&lt;&gt;—"),"")</f>
        <v/>
      </c>
      <c r="K34" s="86" t="str">
        <f aca="false">IFERROR(AVERAGEIF(K7:K32,"&lt;&gt;—"),"")</f>
        <v/>
      </c>
      <c r="L34" s="86" t="str">
        <f aca="false">IFERROR(AVERAGEIF(L7:L32,"&lt;&gt;—"),"")</f>
        <v/>
      </c>
      <c r="M34" s="86" t="str">
        <f aca="false">IFERROR(AVERAGEIF(M7:M32,"&lt;&gt;—"),"")</f>
        <v/>
      </c>
      <c r="N34" s="86" t="str">
        <f aca="false">IFERROR(AVERAGEIF(N7:N32,"&lt;&gt;—"),"")</f>
        <v/>
      </c>
      <c r="O34" s="86" t="str">
        <f aca="false">IFERROR(AVERAGEIF(O7:O32,"&lt;&gt;—"),"")</f>
        <v/>
      </c>
      <c r="P34" s="86" t="str">
        <f aca="false">IFERROR(AVERAGEIF(P7:P32,"&lt;&gt;—"),"")</f>
        <v/>
      </c>
      <c r="Q34" s="86" t="str">
        <f aca="false">IFERROR(AVERAGEIF(Q7:Q32,"&lt;&gt;—"),"")</f>
        <v/>
      </c>
      <c r="R34" s="86" t="str">
        <f aca="false">IFERROR(AVERAGEIF(R7:R32,"&lt;&gt;—"),"")</f>
        <v/>
      </c>
      <c r="S34" s="86" t="str">
        <f aca="false">IFERROR(AVERAGEIF(S7:S32,"&lt;&gt;—"),"")</f>
        <v/>
      </c>
      <c r="T34" s="86" t="str">
        <f aca="false">IFERROR(AVERAGEIF(T7:T32,"&lt;&gt;—"),"")</f>
        <v/>
      </c>
      <c r="U34" s="86" t="str">
        <f aca="false">IFERROR(AVERAGEIF(U7:U32,"&lt;&gt;—"),"")</f>
        <v/>
      </c>
    </row>
  </sheetData>
  <mergeCells count="27">
    <mergeCell ref="A1:U1"/>
    <mergeCell ref="A2:U2"/>
    <mergeCell ref="A4:F4"/>
    <mergeCell ref="A5:A6"/>
    <mergeCell ref="B5:B6"/>
    <mergeCell ref="C5:C6"/>
    <mergeCell ref="D5:D6"/>
    <mergeCell ref="E5:E6"/>
    <mergeCell ref="F5:F6"/>
    <mergeCell ref="G5:R5"/>
    <mergeCell ref="S5:U5"/>
    <mergeCell ref="A7:A11"/>
    <mergeCell ref="B7:B11"/>
    <mergeCell ref="C7:C11"/>
    <mergeCell ref="A12:A16"/>
    <mergeCell ref="B12:B16"/>
    <mergeCell ref="C12:C16"/>
    <mergeCell ref="A17:A21"/>
    <mergeCell ref="B17:B21"/>
    <mergeCell ref="C17:C21"/>
    <mergeCell ref="A22:A26"/>
    <mergeCell ref="B22:B26"/>
    <mergeCell ref="C22:C26"/>
    <mergeCell ref="A27:A32"/>
    <mergeCell ref="B27:B32"/>
    <mergeCell ref="C27:C32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4" min="3" style="1" width="9"/>
    <col collapsed="false" customWidth="true" hidden="false" outlineLevel="0" max="5" min="5" style="1" width="28"/>
    <col collapsed="false" customWidth="true" hidden="false" outlineLevel="0" max="7" min="6" style="1" width="9"/>
    <col collapsed="false" customWidth="true" hidden="false" outlineLevel="0" max="8" min="8" style="1" width="28"/>
    <col collapsed="false" customWidth="true" hidden="false" outlineLevel="0" max="10" min="9" style="1" width="9"/>
    <col collapsed="false" customWidth="true" hidden="false" outlineLevel="0" max="11" min="11" style="1" width="28"/>
    <col collapsed="false" customWidth="true" hidden="false" outlineLevel="0" max="13" min="12" style="1" width="9"/>
    <col collapsed="false" customWidth="true" hidden="false" outlineLevel="0" max="14" min="14" style="1" width="28"/>
    <col collapsed="false" customWidth="true" hidden="false" outlineLevel="0" max="16" min="15" style="1" width="9"/>
    <col collapsed="false" customWidth="true" hidden="false" outlineLevel="0" max="17" min="17" style="1" width="28"/>
  </cols>
  <sheetData>
    <row r="1" customFormat="false" ht="36" hidden="false" customHeight="true" outlineLevel="0" collapsed="false">
      <c r="A1" s="56" t="s">
        <v>293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3.5" hidden="false" customHeight="true" outlineLevel="0" collapsed="false">
      <c r="A2" s="57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4.5" hidden="false" customHeight="true" outlineLevel="0" collapsed="false"/>
    <row r="4" customFormat="false" ht="18" hidden="false" customHeight="true" outlineLevel="0" collapsed="false">
      <c r="A4" s="58" t="s">
        <v>132</v>
      </c>
      <c r="B4" s="58"/>
      <c r="C4" s="6" t="s">
        <v>133</v>
      </c>
      <c r="D4" s="10" t="s">
        <v>134</v>
      </c>
      <c r="E4" s="14" t="s">
        <v>135</v>
      </c>
      <c r="F4" s="18" t="s">
        <v>136</v>
      </c>
      <c r="G4" s="59" t="s">
        <v>137</v>
      </c>
      <c r="H4" s="59"/>
      <c r="I4" s="59"/>
      <c r="J4" s="59"/>
      <c r="K4" s="59"/>
      <c r="L4" s="59"/>
    </row>
    <row r="5" customFormat="false" ht="21.75" hidden="false" customHeight="true" outlineLevel="0" collapsed="false">
      <c r="A5" s="60" t="s">
        <v>138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customFormat="false" ht="19.5" hidden="false" customHeight="true" outlineLevel="0" collapsed="false">
      <c r="A6" s="61" t="s">
        <v>139</v>
      </c>
      <c r="B6" s="61" t="s">
        <v>140</v>
      </c>
      <c r="C6" s="62" t="s">
        <v>141</v>
      </c>
      <c r="D6" s="62" t="s">
        <v>142</v>
      </c>
      <c r="E6" s="63" t="s">
        <v>143</v>
      </c>
      <c r="F6" s="63" t="s">
        <v>144</v>
      </c>
      <c r="G6" s="64" t="s">
        <v>145</v>
      </c>
      <c r="H6" s="64"/>
      <c r="I6" s="64"/>
      <c r="J6" s="64"/>
      <c r="K6" s="64"/>
      <c r="L6" s="64"/>
    </row>
    <row r="7" customFormat="false" ht="21.75" hidden="false" customHeight="true" outlineLevel="0" collapsed="false">
      <c r="A7" s="65" t="s">
        <v>146</v>
      </c>
      <c r="B7" s="66" t="s">
        <v>294</v>
      </c>
      <c r="C7" s="67" t="s">
        <v>283</v>
      </c>
      <c r="D7" s="68" t="n">
        <v>2</v>
      </c>
      <c r="E7" s="69" t="str">
        <f aca="false">CHOOSE(D7,"Remember","Understand","Apply","Analyze","Evaluate","Create")</f>
        <v>Understand</v>
      </c>
      <c r="F7" s="70" t="str">
        <f aca="false">IF(D7&lt;=2,"LOTS","HOTS")</f>
        <v>LOTS</v>
      </c>
      <c r="G7" s="9" t="s">
        <v>295</v>
      </c>
      <c r="H7" s="9"/>
      <c r="I7" s="9"/>
      <c r="J7" s="9"/>
      <c r="K7" s="9"/>
      <c r="L7" s="9"/>
    </row>
    <row r="8" customFormat="false" ht="21.75" hidden="false" customHeight="true" outlineLevel="0" collapsed="false">
      <c r="A8" s="65" t="s">
        <v>149</v>
      </c>
      <c r="B8" s="71" t="s">
        <v>296</v>
      </c>
      <c r="C8" s="67" t="s">
        <v>51</v>
      </c>
      <c r="D8" s="68" t="n">
        <v>4</v>
      </c>
      <c r="E8" s="69" t="str">
        <f aca="false">CHOOSE(D8,"Remember","Understand","Apply","Analyze","Evaluate","Create")</f>
        <v>Analyze</v>
      </c>
      <c r="F8" s="70" t="str">
        <f aca="false">IF(D8&lt;=2,"LOTS","HOTS")</f>
        <v>HOTS</v>
      </c>
      <c r="G8" s="72" t="s">
        <v>151</v>
      </c>
      <c r="H8" s="72"/>
      <c r="I8" s="72"/>
      <c r="J8" s="72"/>
      <c r="K8" s="72"/>
      <c r="L8" s="72"/>
    </row>
    <row r="9" customFormat="false" ht="21.75" hidden="false" customHeight="true" outlineLevel="0" collapsed="false">
      <c r="A9" s="65" t="s">
        <v>152</v>
      </c>
      <c r="B9" s="66" t="s">
        <v>297</v>
      </c>
      <c r="C9" s="67" t="s">
        <v>154</v>
      </c>
      <c r="D9" s="68" t="n">
        <v>6</v>
      </c>
      <c r="E9" s="69" t="str">
        <f aca="false">CHOOSE(D9,"Remember","Understand","Apply","Analyze","Evaluate","Create")</f>
        <v>Create</v>
      </c>
      <c r="F9" s="70" t="str">
        <f aca="false">IF(D9&lt;=2,"LOTS","HOTS")</f>
        <v>HOTS</v>
      </c>
      <c r="G9" s="9" t="s">
        <v>226</v>
      </c>
      <c r="H9" s="9"/>
      <c r="I9" s="9"/>
      <c r="J9" s="9"/>
      <c r="K9" s="9"/>
      <c r="L9" s="9"/>
    </row>
    <row r="10" customFormat="false" ht="21.75" hidden="false" customHeight="true" outlineLevel="0" collapsed="false">
      <c r="A10" s="65" t="s">
        <v>156</v>
      </c>
      <c r="B10" s="71" t="s">
        <v>298</v>
      </c>
      <c r="C10" s="67" t="s">
        <v>54</v>
      </c>
      <c r="D10" s="68" t="n">
        <v>5</v>
      </c>
      <c r="E10" s="69" t="str">
        <f aca="false">CHOOSE(D10,"Remember","Understand","Apply","Analyze","Evaluate","Create")</f>
        <v>Evaluate</v>
      </c>
      <c r="F10" s="70" t="str">
        <f aca="false">IF(D10&lt;=2,"LOTS","HOTS")</f>
        <v>HOTS</v>
      </c>
      <c r="G10" s="72" t="s">
        <v>158</v>
      </c>
      <c r="H10" s="72"/>
      <c r="I10" s="72"/>
      <c r="J10" s="72"/>
      <c r="K10" s="72"/>
      <c r="L10" s="72"/>
    </row>
    <row r="11" customFormat="false" ht="21.75" hidden="false" customHeight="true" outlineLevel="0" collapsed="false">
      <c r="A11" s="65" t="s">
        <v>159</v>
      </c>
      <c r="B11" s="66" t="s">
        <v>299</v>
      </c>
      <c r="C11" s="67" t="s">
        <v>284</v>
      </c>
      <c r="D11" s="68" t="n">
        <v>3</v>
      </c>
      <c r="E11" s="69" t="str">
        <f aca="false">CHOOSE(D11,"Remember","Understand","Apply","Analyze","Evaluate","Create")</f>
        <v>Apply</v>
      </c>
      <c r="F11" s="70" t="str">
        <f aca="false">IF(D11&lt;=2,"LOTS","HOTS")</f>
        <v>HOTS</v>
      </c>
      <c r="G11" s="9" t="s">
        <v>300</v>
      </c>
      <c r="H11" s="9"/>
      <c r="I11" s="9"/>
      <c r="J11" s="9"/>
      <c r="K11" s="9"/>
      <c r="L11" s="9"/>
    </row>
    <row r="13" customFormat="false" ht="21.75" hidden="false" customHeight="true" outlineLevel="0" collapsed="false">
      <c r="A13" s="73" t="s">
        <v>163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customFormat="false" ht="19.5" hidden="false" customHeight="true" outlineLevel="0" collapsed="false">
      <c r="A14" s="5" t="s">
        <v>164</v>
      </c>
      <c r="B14" s="5" t="s">
        <v>165</v>
      </c>
      <c r="C14" s="63" t="s">
        <v>166</v>
      </c>
      <c r="D14" s="74" t="s">
        <v>167</v>
      </c>
      <c r="E14" s="75" t="s">
        <v>168</v>
      </c>
      <c r="F14" s="63" t="s">
        <v>169</v>
      </c>
      <c r="G14" s="74" t="s">
        <v>170</v>
      </c>
      <c r="H14" s="75" t="s">
        <v>171</v>
      </c>
      <c r="I14" s="63" t="s">
        <v>172</v>
      </c>
      <c r="J14" s="74" t="s">
        <v>173</v>
      </c>
      <c r="K14" s="75" t="s">
        <v>174</v>
      </c>
      <c r="L14" s="63" t="s">
        <v>175</v>
      </c>
      <c r="M14" s="74" t="s">
        <v>176</v>
      </c>
      <c r="N14" s="75" t="s">
        <v>177</v>
      </c>
      <c r="O14" s="63" t="s">
        <v>178</v>
      </c>
      <c r="P14" s="74" t="s">
        <v>179</v>
      </c>
      <c r="Q14" s="75" t="s">
        <v>180</v>
      </c>
    </row>
    <row r="15" customFormat="false" ht="21.75" hidden="false" customHeight="true" outlineLevel="0" collapsed="false">
      <c r="A15" s="44" t="s">
        <v>64</v>
      </c>
      <c r="B15" s="76" t="s">
        <v>65</v>
      </c>
      <c r="C15" s="77" t="n">
        <v>1</v>
      </c>
      <c r="D15" s="78" t="n">
        <f aca="false">IFERROR(IF(C15=0,0,IF(D7&lt;=2,MIN(C15,1),IF(D7&lt;=4,MIN(C15,2),C15))),0)</f>
        <v>1</v>
      </c>
      <c r="E15" s="79" t="s">
        <v>301</v>
      </c>
      <c r="F15" s="77" t="n">
        <v>2</v>
      </c>
      <c r="G15" s="78" t="n">
        <f aca="false">IFERROR(IF(F15=0,0,IF(D8&lt;=2,MIN(F15,1),IF(D8&lt;=4,MIN(F15,2),F15))),0)</f>
        <v>2</v>
      </c>
      <c r="H15" s="79" t="s">
        <v>182</v>
      </c>
      <c r="I15" s="77" t="n">
        <v>2</v>
      </c>
      <c r="J15" s="78" t="n">
        <f aca="false">IFERROR(IF(I15=0,0,IF(D9&lt;=2,MIN(I15,1),IF(D9&lt;=4,MIN(I15,2),I15))),0)</f>
        <v>2</v>
      </c>
      <c r="K15" s="79" t="s">
        <v>234</v>
      </c>
      <c r="L15" s="77" t="n">
        <v>2</v>
      </c>
      <c r="M15" s="78" t="n">
        <f aca="false">IFERROR(IF(L15=0,0,IF(D10&lt;=2,MIN(L15,1),IF(D10&lt;=4,MIN(L15,2),L15))),0)</f>
        <v>2</v>
      </c>
      <c r="N15" s="79" t="s">
        <v>184</v>
      </c>
      <c r="O15" s="77" t="n">
        <v>2</v>
      </c>
      <c r="P15" s="78" t="n">
        <f aca="false">IFERROR(IF(O15=0,0,IF(D11&lt;=2,MIN(O15,1),IF(D11&lt;=4,MIN(O15,2),O15))),0)</f>
        <v>2</v>
      </c>
      <c r="Q15" s="79" t="s">
        <v>302</v>
      </c>
    </row>
    <row r="16" customFormat="false" ht="21.75" hidden="false" customHeight="true" outlineLevel="0" collapsed="false">
      <c r="A16" s="44" t="s">
        <v>67</v>
      </c>
      <c r="B16" s="80" t="s">
        <v>68</v>
      </c>
      <c r="C16" s="77" t="n">
        <v>1</v>
      </c>
      <c r="D16" s="78" t="n">
        <f aca="false">IFERROR(IF(C16=0,0,IF(D7&lt;=2,MIN(C16,1),IF(D7&lt;=4,MIN(C16,2),C16))),0)</f>
        <v>1</v>
      </c>
      <c r="E16" s="81" t="s">
        <v>303</v>
      </c>
      <c r="F16" s="77" t="n">
        <v>3</v>
      </c>
      <c r="G16" s="78" t="n">
        <f aca="false">IFERROR(IF(F16=0,0,IF(D8&lt;=2,MIN(F16,1),IF(D8&lt;=4,MIN(F16,2),F16))),0)</f>
        <v>2</v>
      </c>
      <c r="H16" s="81" t="s">
        <v>239</v>
      </c>
      <c r="I16" s="77" t="n">
        <v>2</v>
      </c>
      <c r="J16" s="78" t="n">
        <f aca="false">IFERROR(IF(I16=0,0,IF(D9&lt;=2,MIN(I16,1),IF(D9&lt;=4,MIN(I16,2),I16))),0)</f>
        <v>2</v>
      </c>
      <c r="K16" s="81" t="s">
        <v>304</v>
      </c>
      <c r="L16" s="77" t="n">
        <v>3</v>
      </c>
      <c r="M16" s="78" t="n">
        <f aca="false">IFERROR(IF(L16=0,0,IF(D10&lt;=2,MIN(L16,1),IF(D10&lt;=4,MIN(L16,2),L16))),0)</f>
        <v>3</v>
      </c>
      <c r="N16" s="81" t="s">
        <v>305</v>
      </c>
      <c r="O16" s="77" t="n">
        <v>2</v>
      </c>
      <c r="P16" s="78" t="n">
        <f aca="false">IFERROR(IF(O16=0,0,IF(D11&lt;=2,MIN(O16,1),IF(D11&lt;=4,MIN(O16,2),O16))),0)</f>
        <v>2</v>
      </c>
      <c r="Q16" s="81" t="s">
        <v>306</v>
      </c>
    </row>
    <row r="17" customFormat="false" ht="21.75" hidden="false" customHeight="true" outlineLevel="0" collapsed="false">
      <c r="A17" s="44" t="s">
        <v>70</v>
      </c>
      <c r="B17" s="76" t="s">
        <v>71</v>
      </c>
      <c r="C17" s="82" t="n">
        <v>0</v>
      </c>
      <c r="D17" s="78" t="n">
        <f aca="false">IFERROR(IF(C17=0,0,IF(D7&lt;=2,MIN(C17,1),IF(D7&lt;=4,MIN(C17,2),C17))),0)</f>
        <v>0</v>
      </c>
      <c r="E17" s="79"/>
      <c r="F17" s="82" t="n">
        <v>0</v>
      </c>
      <c r="G17" s="78" t="n">
        <f aca="false">IFERROR(IF(F17=0,0,IF(D8&lt;=2,MIN(F17,1),IF(D8&lt;=4,MIN(F17,2),F17))),0)</f>
        <v>0</v>
      </c>
      <c r="H17" s="79"/>
      <c r="I17" s="77" t="n">
        <v>3</v>
      </c>
      <c r="J17" s="78" t="n">
        <f aca="false">IFERROR(IF(I17=0,0,IF(D9&lt;=2,MIN(I17,1),IF(D9&lt;=4,MIN(I17,2),I17))),0)</f>
        <v>3</v>
      </c>
      <c r="K17" s="79" t="s">
        <v>242</v>
      </c>
      <c r="L17" s="82" t="n">
        <v>0</v>
      </c>
      <c r="M17" s="78" t="n">
        <f aca="false">IFERROR(IF(L17=0,0,IF(D10&lt;=2,MIN(L17,1),IF(D10&lt;=4,MIN(L17,2),L17))),0)</f>
        <v>0</v>
      </c>
      <c r="N17" s="79"/>
      <c r="O17" s="82" t="n">
        <v>0</v>
      </c>
      <c r="P17" s="78" t="n">
        <f aca="false">IFERROR(IF(O17=0,0,IF(D11&lt;=2,MIN(O17,1),IF(D11&lt;=4,MIN(O17,2),O17))),0)</f>
        <v>0</v>
      </c>
      <c r="Q17" s="79"/>
    </row>
    <row r="18" customFormat="false" ht="21.75" hidden="false" customHeight="true" outlineLevel="0" collapsed="false">
      <c r="A18" s="44" t="s">
        <v>73</v>
      </c>
      <c r="B18" s="80" t="s">
        <v>74</v>
      </c>
      <c r="C18" s="82" t="n">
        <v>0</v>
      </c>
      <c r="D18" s="78" t="n">
        <f aca="false">IFERROR(IF(C18=0,0,IF(D7&lt;=2,MIN(C18,1),IF(D7&lt;=4,MIN(C18,2),C18))),0)</f>
        <v>0</v>
      </c>
      <c r="E18" s="81"/>
      <c r="F18" s="82" t="n">
        <v>0</v>
      </c>
      <c r="G18" s="78" t="n">
        <f aca="false">IFERROR(IF(F18=0,0,IF(D8&lt;=2,MIN(F18,1),IF(D8&lt;=4,MIN(F18,2),F18))),0)</f>
        <v>0</v>
      </c>
      <c r="H18" s="81"/>
      <c r="I18" s="77" t="n">
        <v>2</v>
      </c>
      <c r="J18" s="78" t="n">
        <f aca="false">IFERROR(IF(I18=0,0,IF(D9&lt;=2,MIN(I18,1),IF(D9&lt;=4,MIN(I18,2),I18))),0)</f>
        <v>2</v>
      </c>
      <c r="K18" s="81" t="s">
        <v>307</v>
      </c>
      <c r="L18" s="77" t="n">
        <v>2</v>
      </c>
      <c r="M18" s="78" t="n">
        <f aca="false">IFERROR(IF(L18=0,0,IF(D10&lt;=2,MIN(L18,1),IF(D10&lt;=4,MIN(L18,2),L18))),0)</f>
        <v>2</v>
      </c>
      <c r="N18" s="81" t="s">
        <v>308</v>
      </c>
      <c r="O18" s="82" t="n">
        <v>0</v>
      </c>
      <c r="P18" s="78" t="n">
        <f aca="false">IFERROR(IF(O18=0,0,IF(D11&lt;=2,MIN(O18,1),IF(D11&lt;=4,MIN(O18,2),O18))),0)</f>
        <v>0</v>
      </c>
      <c r="Q18" s="81"/>
    </row>
    <row r="19" customFormat="false" ht="21.75" hidden="false" customHeight="true" outlineLevel="0" collapsed="false">
      <c r="A19" s="44" t="s">
        <v>76</v>
      </c>
      <c r="B19" s="76" t="s">
        <v>77</v>
      </c>
      <c r="C19" s="82" t="n">
        <v>0</v>
      </c>
      <c r="D19" s="78" t="n">
        <f aca="false">IFERROR(IF(C19=0,0,IF(D7&lt;=2,MIN(C19,1),IF(D7&lt;=4,MIN(C19,2),C19))),0)</f>
        <v>0</v>
      </c>
      <c r="E19" s="79"/>
      <c r="F19" s="77" t="n">
        <v>2</v>
      </c>
      <c r="G19" s="78" t="n">
        <f aca="false">IFERROR(IF(F19=0,0,IF(D8&lt;=2,MIN(F19,1),IF(D8&lt;=4,MIN(F19,2),F19))),0)</f>
        <v>2</v>
      </c>
      <c r="H19" s="79" t="s">
        <v>309</v>
      </c>
      <c r="I19" s="77" t="n">
        <v>3</v>
      </c>
      <c r="J19" s="78" t="n">
        <f aca="false">IFERROR(IF(I19=0,0,IF(D9&lt;=2,MIN(I19,1),IF(D9&lt;=4,MIN(I19,2),I19))),0)</f>
        <v>3</v>
      </c>
      <c r="K19" s="79" t="s">
        <v>310</v>
      </c>
      <c r="L19" s="82" t="n">
        <v>0</v>
      </c>
      <c r="M19" s="78" t="n">
        <f aca="false">IFERROR(IF(L19=0,0,IF(D10&lt;=2,MIN(L19,1),IF(D10&lt;=4,MIN(L19,2),L19))),0)</f>
        <v>0</v>
      </c>
      <c r="N19" s="79"/>
      <c r="O19" s="77" t="n">
        <v>3</v>
      </c>
      <c r="P19" s="78" t="n">
        <f aca="false">IFERROR(IF(O19=0,0,IF(D11&lt;=2,MIN(O19,1),IF(D11&lt;=4,MIN(O19,2),O19))),0)</f>
        <v>2</v>
      </c>
      <c r="Q19" s="79" t="s">
        <v>311</v>
      </c>
    </row>
    <row r="20" customFormat="false" ht="21.75" hidden="false" customHeight="true" outlineLevel="0" collapsed="false">
      <c r="A20" s="44" t="s">
        <v>79</v>
      </c>
      <c r="B20" s="80" t="s">
        <v>80</v>
      </c>
      <c r="C20" s="82" t="n">
        <v>0</v>
      </c>
      <c r="D20" s="78" t="n">
        <f aca="false">IFERROR(IF(C20=0,0,IF(D7&lt;=2,MIN(C20,1),IF(D7&lt;=4,MIN(C20,2),C20))),0)</f>
        <v>0</v>
      </c>
      <c r="E20" s="81"/>
      <c r="F20" s="82" t="n">
        <v>0</v>
      </c>
      <c r="G20" s="78" t="n">
        <f aca="false">IFERROR(IF(F20=0,0,IF(D8&lt;=2,MIN(F20,1),IF(D8&lt;=4,MIN(F20,2),F20))),0)</f>
        <v>0</v>
      </c>
      <c r="H20" s="81"/>
      <c r="I20" s="82" t="n">
        <v>0</v>
      </c>
      <c r="J20" s="78" t="n">
        <f aca="false">IFERROR(IF(I20=0,0,IF(D9&lt;=2,MIN(I20,1),IF(D9&lt;=4,MIN(I20,2),I20))),0)</f>
        <v>0</v>
      </c>
      <c r="K20" s="81"/>
      <c r="L20" s="82" t="n">
        <v>0</v>
      </c>
      <c r="M20" s="78" t="n">
        <f aca="false">IFERROR(IF(L20=0,0,IF(D10&lt;=2,MIN(L20,1),IF(D10&lt;=4,MIN(L20,2),L20))),0)</f>
        <v>0</v>
      </c>
      <c r="N20" s="81"/>
      <c r="O20" s="82" t="n">
        <v>0</v>
      </c>
      <c r="P20" s="78" t="n">
        <f aca="false">IFERROR(IF(O20=0,0,IF(D11&lt;=2,MIN(O20,1),IF(D11&lt;=4,MIN(O20,2),O20))),0)</f>
        <v>0</v>
      </c>
      <c r="Q20" s="81"/>
    </row>
    <row r="21" customFormat="false" ht="21.75" hidden="false" customHeight="true" outlineLevel="0" collapsed="false">
      <c r="A21" s="44" t="s">
        <v>82</v>
      </c>
      <c r="B21" s="76" t="s">
        <v>83</v>
      </c>
      <c r="C21" s="82" t="n">
        <v>0</v>
      </c>
      <c r="D21" s="78" t="n">
        <f aca="false">IFERROR(IF(C21=0,0,IF(D7&lt;=2,MIN(C21,1),IF(D7&lt;=4,MIN(C21,2),C21))),0)</f>
        <v>0</v>
      </c>
      <c r="E21" s="79"/>
      <c r="F21" s="82" t="n">
        <v>0</v>
      </c>
      <c r="G21" s="78" t="n">
        <f aca="false">IFERROR(IF(F21=0,0,IF(D8&lt;=2,MIN(F21,1),IF(D8&lt;=4,MIN(F21,2),F21))),0)</f>
        <v>0</v>
      </c>
      <c r="H21" s="79"/>
      <c r="I21" s="82" t="n">
        <v>0</v>
      </c>
      <c r="J21" s="78" t="n">
        <f aca="false">IFERROR(IF(I21=0,0,IF(D9&lt;=2,MIN(I21,1),IF(D9&lt;=4,MIN(I21,2),I21))),0)</f>
        <v>0</v>
      </c>
      <c r="K21" s="79"/>
      <c r="L21" s="82" t="n">
        <v>0</v>
      </c>
      <c r="M21" s="78" t="n">
        <f aca="false">IFERROR(IF(L21=0,0,IF(D10&lt;=2,MIN(L21,1),IF(D10&lt;=4,MIN(L21,2),L21))),0)</f>
        <v>0</v>
      </c>
      <c r="N21" s="79"/>
      <c r="O21" s="82" t="n">
        <v>0</v>
      </c>
      <c r="P21" s="78" t="n">
        <f aca="false">IFERROR(IF(O21=0,0,IF(D11&lt;=2,MIN(O21,1),IF(D11&lt;=4,MIN(O21,2),O21))),0)</f>
        <v>0</v>
      </c>
      <c r="Q21" s="79"/>
    </row>
    <row r="22" customFormat="false" ht="21.75" hidden="false" customHeight="true" outlineLevel="0" collapsed="false">
      <c r="A22" s="44" t="s">
        <v>85</v>
      </c>
      <c r="B22" s="80" t="s">
        <v>86</v>
      </c>
      <c r="C22" s="82" t="n">
        <v>0</v>
      </c>
      <c r="D22" s="78" t="n">
        <f aca="false">IFERROR(IF(C22=0,0,IF(D7&lt;=2,MIN(C22,1),IF(D7&lt;=4,MIN(C22,2),C22))),0)</f>
        <v>0</v>
      </c>
      <c r="E22" s="81"/>
      <c r="F22" s="82" t="n">
        <v>0</v>
      </c>
      <c r="G22" s="78" t="n">
        <f aca="false">IFERROR(IF(F22=0,0,IF(D8&lt;=2,MIN(F22,1),IF(D8&lt;=4,MIN(F22,2),F22))),0)</f>
        <v>0</v>
      </c>
      <c r="H22" s="81"/>
      <c r="I22" s="82" t="n">
        <v>0</v>
      </c>
      <c r="J22" s="78" t="n">
        <f aca="false">IFERROR(IF(I22=0,0,IF(D9&lt;=2,MIN(I22,1),IF(D9&lt;=4,MIN(I22,2),I22))),0)</f>
        <v>0</v>
      </c>
      <c r="K22" s="81"/>
      <c r="L22" s="82" t="n">
        <v>0</v>
      </c>
      <c r="M22" s="78" t="n">
        <f aca="false">IFERROR(IF(L22=0,0,IF(D10&lt;=2,MIN(L22,1),IF(D10&lt;=4,MIN(L22,2),L22))),0)</f>
        <v>0</v>
      </c>
      <c r="N22" s="81"/>
      <c r="O22" s="82" t="n">
        <v>0</v>
      </c>
      <c r="P22" s="78" t="n">
        <f aca="false">IFERROR(IF(O22=0,0,IF(D11&lt;=2,MIN(O22,1),IF(D11&lt;=4,MIN(O22,2),O22))),0)</f>
        <v>0</v>
      </c>
      <c r="Q22" s="81"/>
    </row>
    <row r="23" customFormat="false" ht="21.75" hidden="false" customHeight="true" outlineLevel="0" collapsed="false">
      <c r="A23" s="44" t="s">
        <v>88</v>
      </c>
      <c r="B23" s="76" t="s">
        <v>89</v>
      </c>
      <c r="C23" s="82" t="n">
        <v>0</v>
      </c>
      <c r="D23" s="78" t="n">
        <f aca="false">IFERROR(IF(C23=0,0,IF(D7&lt;=2,MIN(C23,1),IF(D7&lt;=4,MIN(C23,2),C23))),0)</f>
        <v>0</v>
      </c>
      <c r="E23" s="79"/>
      <c r="F23" s="82" t="n">
        <v>0</v>
      </c>
      <c r="G23" s="78" t="n">
        <f aca="false">IFERROR(IF(F23=0,0,IF(D8&lt;=2,MIN(F23,1),IF(D8&lt;=4,MIN(F23,2),F23))),0)</f>
        <v>0</v>
      </c>
      <c r="H23" s="79"/>
      <c r="I23" s="82" t="n">
        <v>0</v>
      </c>
      <c r="J23" s="78" t="n">
        <f aca="false">IFERROR(IF(I23=0,0,IF(D9&lt;=2,MIN(I23,1),IF(D9&lt;=4,MIN(I23,2),I23))),0)</f>
        <v>0</v>
      </c>
      <c r="K23" s="79"/>
      <c r="L23" s="82" t="n">
        <v>0</v>
      </c>
      <c r="M23" s="78" t="n">
        <f aca="false">IFERROR(IF(L23=0,0,IF(D10&lt;=2,MIN(L23,1),IF(D10&lt;=4,MIN(L23,2),L23))),0)</f>
        <v>0</v>
      </c>
      <c r="N23" s="79"/>
      <c r="O23" s="82" t="n">
        <v>0</v>
      </c>
      <c r="P23" s="78" t="n">
        <f aca="false">IFERROR(IF(O23=0,0,IF(D11&lt;=2,MIN(O23,1),IF(D11&lt;=4,MIN(O23,2),O23))),0)</f>
        <v>0</v>
      </c>
      <c r="Q23" s="79"/>
    </row>
    <row r="24" customFormat="false" ht="21.75" hidden="false" customHeight="true" outlineLevel="0" collapsed="false">
      <c r="A24" s="44" t="s">
        <v>91</v>
      </c>
      <c r="B24" s="80" t="s">
        <v>92</v>
      </c>
      <c r="C24" s="82" t="n">
        <v>0</v>
      </c>
      <c r="D24" s="78" t="n">
        <f aca="false">IFERROR(IF(C24=0,0,IF(D7&lt;=2,MIN(C24,1),IF(D7&lt;=4,MIN(C24,2),C24))),0)</f>
        <v>0</v>
      </c>
      <c r="E24" s="81"/>
      <c r="F24" s="82" t="n">
        <v>0</v>
      </c>
      <c r="G24" s="78" t="n">
        <f aca="false">IFERROR(IF(F24=0,0,IF(D8&lt;=2,MIN(F24,1),IF(D8&lt;=4,MIN(F24,2),F24))),0)</f>
        <v>0</v>
      </c>
      <c r="H24" s="81"/>
      <c r="I24" s="82" t="n">
        <v>0</v>
      </c>
      <c r="J24" s="78" t="n">
        <f aca="false">IFERROR(IF(I24=0,0,IF(D9&lt;=2,MIN(I24,1),IF(D9&lt;=4,MIN(I24,2),I24))),0)</f>
        <v>0</v>
      </c>
      <c r="K24" s="81"/>
      <c r="L24" s="82" t="n">
        <v>0</v>
      </c>
      <c r="M24" s="78" t="n">
        <f aca="false">IFERROR(IF(L24=0,0,IF(D10&lt;=2,MIN(L24,1),IF(D10&lt;=4,MIN(L24,2),L24))),0)</f>
        <v>0</v>
      </c>
      <c r="N24" s="81"/>
      <c r="O24" s="82" t="n">
        <v>0</v>
      </c>
      <c r="P24" s="78" t="n">
        <f aca="false">IFERROR(IF(O24=0,0,IF(D11&lt;=2,MIN(O24,1),IF(D11&lt;=4,MIN(O24,2),O24))),0)</f>
        <v>0</v>
      </c>
      <c r="Q24" s="81"/>
    </row>
    <row r="25" customFormat="false" ht="21.75" hidden="false" customHeight="true" outlineLevel="0" collapsed="false">
      <c r="A25" s="44" t="s">
        <v>94</v>
      </c>
      <c r="B25" s="76" t="s">
        <v>95</v>
      </c>
      <c r="C25" s="82" t="n">
        <v>0</v>
      </c>
      <c r="D25" s="78" t="n">
        <f aca="false">IFERROR(IF(C25=0,0,IF(D7&lt;=2,MIN(C25,1),IF(D7&lt;=4,MIN(C25,2),C25))),0)</f>
        <v>0</v>
      </c>
      <c r="E25" s="79"/>
      <c r="F25" s="82" t="n">
        <v>0</v>
      </c>
      <c r="G25" s="78" t="n">
        <f aca="false">IFERROR(IF(F25=0,0,IF(D8&lt;=2,MIN(F25,1),IF(D8&lt;=4,MIN(F25,2),F25))),0)</f>
        <v>0</v>
      </c>
      <c r="H25" s="79"/>
      <c r="I25" s="82" t="n">
        <v>0</v>
      </c>
      <c r="J25" s="78" t="n">
        <f aca="false">IFERROR(IF(I25=0,0,IF(D9&lt;=2,MIN(I25,1),IF(D9&lt;=4,MIN(I25,2),I25))),0)</f>
        <v>0</v>
      </c>
      <c r="K25" s="79"/>
      <c r="L25" s="82" t="n">
        <v>0</v>
      </c>
      <c r="M25" s="78" t="n">
        <f aca="false">IFERROR(IF(L25=0,0,IF(D10&lt;=2,MIN(L25,1),IF(D10&lt;=4,MIN(L25,2),L25))),0)</f>
        <v>0</v>
      </c>
      <c r="N25" s="79"/>
      <c r="O25" s="82" t="n">
        <v>0</v>
      </c>
      <c r="P25" s="78" t="n">
        <f aca="false">IFERROR(IF(O25=0,0,IF(D11&lt;=2,MIN(O25,1),IF(D11&lt;=4,MIN(O25,2),O25))),0)</f>
        <v>0</v>
      </c>
      <c r="Q25" s="79"/>
    </row>
    <row r="26" customFormat="false" ht="21.75" hidden="false" customHeight="true" outlineLevel="0" collapsed="false">
      <c r="A26" s="44" t="s">
        <v>97</v>
      </c>
      <c r="B26" s="80" t="s">
        <v>98</v>
      </c>
      <c r="C26" s="77" t="n">
        <v>1</v>
      </c>
      <c r="D26" s="78" t="n">
        <f aca="false">IFERROR(IF(C26=0,0,IF(D7&lt;=2,MIN(C26,1),IF(D7&lt;=4,MIN(C26,2),C26))),0)</f>
        <v>1</v>
      </c>
      <c r="E26" s="81" t="s">
        <v>312</v>
      </c>
      <c r="F26" s="77" t="n">
        <v>2</v>
      </c>
      <c r="G26" s="78" t="n">
        <f aca="false">IFERROR(IF(F26=0,0,IF(D8&lt;=2,MIN(F26,1),IF(D8&lt;=4,MIN(F26,2),F26))),0)</f>
        <v>2</v>
      </c>
      <c r="H26" s="81" t="s">
        <v>313</v>
      </c>
      <c r="I26" s="82" t="n">
        <v>0</v>
      </c>
      <c r="J26" s="78" t="n">
        <f aca="false">IFERROR(IF(I26=0,0,IF(D9&lt;=2,MIN(I26,1),IF(D9&lt;=4,MIN(I26,2),I26))),0)</f>
        <v>0</v>
      </c>
      <c r="K26" s="81"/>
      <c r="L26" s="82" t="n">
        <v>0</v>
      </c>
      <c r="M26" s="78" t="n">
        <f aca="false">IFERROR(IF(L26=0,0,IF(D10&lt;=2,MIN(L26,1),IF(D10&lt;=4,MIN(L26,2),L26))),0)</f>
        <v>0</v>
      </c>
      <c r="N26" s="81"/>
      <c r="O26" s="77" t="n">
        <v>2</v>
      </c>
      <c r="P26" s="78" t="n">
        <f aca="false">IFERROR(IF(O26=0,0,IF(D11&lt;=2,MIN(O26,1),IF(D11&lt;=4,MIN(O26,2),O26))),0)</f>
        <v>2</v>
      </c>
      <c r="Q26" s="81" t="s">
        <v>314</v>
      </c>
    </row>
    <row r="27" customFormat="false" ht="21.75" hidden="false" customHeight="true" outlineLevel="0" collapsed="false">
      <c r="A27" s="83" t="s">
        <v>202</v>
      </c>
      <c r="B27" s="76" t="s">
        <v>203</v>
      </c>
      <c r="C27" s="77" t="n">
        <v>1</v>
      </c>
      <c r="D27" s="78" t="n">
        <f aca="false">IFERROR(IF(C27=0,0,IF(D7&lt;=2,MIN(C27,1),IF(D7&lt;=4,MIN(C27,2),C27))),0)</f>
        <v>1</v>
      </c>
      <c r="E27" s="79" t="s">
        <v>315</v>
      </c>
      <c r="F27" s="77" t="n">
        <v>2</v>
      </c>
      <c r="G27" s="78" t="n">
        <f aca="false">IFERROR(IF(F27=0,0,IF(D8&lt;=2,MIN(F27,1),IF(D8&lt;=4,MIN(F27,2),F27))),0)</f>
        <v>2</v>
      </c>
      <c r="H27" s="79" t="s">
        <v>316</v>
      </c>
      <c r="I27" s="77" t="n">
        <v>3</v>
      </c>
      <c r="J27" s="78" t="n">
        <f aca="false">IFERROR(IF(I27=0,0,IF(D9&lt;=2,MIN(I27,1),IF(D9&lt;=4,MIN(I27,2),I27))),0)</f>
        <v>3</v>
      </c>
      <c r="K27" s="79" t="s">
        <v>317</v>
      </c>
      <c r="L27" s="77" t="n">
        <v>2</v>
      </c>
      <c r="M27" s="78" t="n">
        <f aca="false">IFERROR(IF(L27=0,0,IF(D10&lt;=2,MIN(L27,1),IF(D10&lt;=4,MIN(L27,2),L27))),0)</f>
        <v>2</v>
      </c>
      <c r="N27" s="79" t="s">
        <v>318</v>
      </c>
      <c r="O27" s="77" t="n">
        <v>2</v>
      </c>
      <c r="P27" s="78" t="n">
        <f aca="false">IFERROR(IF(O27=0,0,IF(D11&lt;=2,MIN(O27,1),IF(D11&lt;=4,MIN(O27,2),O27))),0)</f>
        <v>2</v>
      </c>
      <c r="Q27" s="79" t="s">
        <v>319</v>
      </c>
    </row>
    <row r="28" customFormat="false" ht="21.75" hidden="false" customHeight="true" outlineLevel="0" collapsed="false">
      <c r="A28" s="83" t="s">
        <v>209</v>
      </c>
      <c r="B28" s="80" t="s">
        <v>210</v>
      </c>
      <c r="C28" s="77" t="n">
        <v>1</v>
      </c>
      <c r="D28" s="78" t="n">
        <f aca="false">IFERROR(IF(C28=0,0,IF(D7&lt;=2,MIN(C28,1),IF(D7&lt;=4,MIN(C28,2),C28))),0)</f>
        <v>1</v>
      </c>
      <c r="E28" s="81" t="s">
        <v>320</v>
      </c>
      <c r="F28" s="77" t="n">
        <v>3</v>
      </c>
      <c r="G28" s="78" t="n">
        <f aca="false">IFERROR(IF(F28=0,0,IF(D8&lt;=2,MIN(F28,1),IF(D8&lt;=4,MIN(F28,2),F28))),0)</f>
        <v>2</v>
      </c>
      <c r="H28" s="81" t="s">
        <v>321</v>
      </c>
      <c r="I28" s="77" t="n">
        <v>3</v>
      </c>
      <c r="J28" s="78" t="n">
        <f aca="false">IFERROR(IF(I28=0,0,IF(D9&lt;=2,MIN(I28,1),IF(D9&lt;=4,MIN(I28,2),I28))),0)</f>
        <v>3</v>
      </c>
      <c r="K28" s="81" t="s">
        <v>215</v>
      </c>
      <c r="L28" s="77" t="n">
        <v>2</v>
      </c>
      <c r="M28" s="78" t="n">
        <f aca="false">IFERROR(IF(L28=0,0,IF(D10&lt;=2,MIN(L28,1),IF(D10&lt;=4,MIN(L28,2),L28))),0)</f>
        <v>2</v>
      </c>
      <c r="N28" s="81" t="s">
        <v>259</v>
      </c>
      <c r="O28" s="77" t="n">
        <v>3</v>
      </c>
      <c r="P28" s="78" t="n">
        <f aca="false">IFERROR(IF(O28=0,0,IF(D11&lt;=2,MIN(O28,1),IF(D11&lt;=4,MIN(O28,2),O28))),0)</f>
        <v>2</v>
      </c>
      <c r="Q28" s="81" t="s">
        <v>322</v>
      </c>
    </row>
    <row r="29" customFormat="false" ht="21.75" hidden="false" customHeight="true" outlineLevel="0" collapsed="false">
      <c r="A29" s="83" t="s">
        <v>216</v>
      </c>
      <c r="B29" s="76" t="s">
        <v>217</v>
      </c>
      <c r="C29" s="82" t="n">
        <v>0</v>
      </c>
      <c r="D29" s="78" t="n">
        <f aca="false">IFERROR(IF(C29=0,0,IF(D7&lt;=2,MIN(C29,1),IF(D7&lt;=4,MIN(C29,2),C29))),0)</f>
        <v>0</v>
      </c>
      <c r="E29" s="79"/>
      <c r="F29" s="82" t="n">
        <v>0</v>
      </c>
      <c r="G29" s="78" t="n">
        <f aca="false">IFERROR(IF(F29=0,0,IF(D8&lt;=2,MIN(F29,1),IF(D8&lt;=4,MIN(F29,2),F29))),0)</f>
        <v>0</v>
      </c>
      <c r="H29" s="79"/>
      <c r="I29" s="77" t="n">
        <v>2</v>
      </c>
      <c r="J29" s="78" t="n">
        <f aca="false">IFERROR(IF(I29=0,0,IF(D9&lt;=2,MIN(I29,1),IF(D9&lt;=4,MIN(I29,2),I29))),0)</f>
        <v>2</v>
      </c>
      <c r="K29" s="79" t="s">
        <v>323</v>
      </c>
      <c r="L29" s="82" t="n">
        <v>0</v>
      </c>
      <c r="M29" s="78" t="n">
        <f aca="false">IFERROR(IF(L29=0,0,IF(D10&lt;=2,MIN(L29,1),IF(D10&lt;=4,MIN(L29,2),L29))),0)</f>
        <v>0</v>
      </c>
      <c r="N29" s="79"/>
      <c r="O29" s="82" t="n">
        <v>0</v>
      </c>
      <c r="P29" s="78" t="n">
        <f aca="false">IFERROR(IF(O29=0,0,IF(D11&lt;=2,MIN(O29,1),IF(D11&lt;=4,MIN(O29,2),O29))),0)</f>
        <v>0</v>
      </c>
      <c r="Q29" s="79"/>
    </row>
    <row r="31" customFormat="false" ht="21.75" hidden="false" customHeight="true" outlineLevel="0" collapsed="false">
      <c r="A31" s="84" t="s">
        <v>220</v>
      </c>
      <c r="B31" s="84"/>
      <c r="C31" s="85"/>
      <c r="D31" s="86" t="n">
        <f aca="false">IFERROR(AVERAGE(D15:D29),0)</f>
        <v>0.333333333333333</v>
      </c>
      <c r="E31" s="85"/>
      <c r="F31" s="85"/>
      <c r="G31" s="86" t="n">
        <f aca="false">IFERROR(AVERAGE(G15:G29),0)</f>
        <v>0.8</v>
      </c>
      <c r="H31" s="85"/>
      <c r="I31" s="85"/>
      <c r="J31" s="86" t="n">
        <f aca="false">IFERROR(AVERAGE(J15:J29),0)</f>
        <v>1.33333333333333</v>
      </c>
      <c r="K31" s="85"/>
      <c r="L31" s="85"/>
      <c r="M31" s="86" t="n">
        <f aca="false">IFERROR(AVERAGE(M15:M29),0)</f>
        <v>0.733333333333333</v>
      </c>
      <c r="N31" s="85"/>
      <c r="O31" s="85"/>
      <c r="P31" s="86" t="n">
        <f aca="false">IFERROR(AVERAGE(P15:P29),0)</f>
        <v>0.8</v>
      </c>
      <c r="Q31" s="85"/>
    </row>
  </sheetData>
  <mergeCells count="13">
    <mergeCell ref="A1:L1"/>
    <mergeCell ref="A2:L2"/>
    <mergeCell ref="A4:B4"/>
    <mergeCell ref="G4:L4"/>
    <mergeCell ref="A5:L5"/>
    <mergeCell ref="G6:L6"/>
    <mergeCell ref="G7:L7"/>
    <mergeCell ref="G8:L8"/>
    <mergeCell ref="G9:L9"/>
    <mergeCell ref="G10:L10"/>
    <mergeCell ref="G11:L11"/>
    <mergeCell ref="A13:L13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12" min="8" style="1" width="11"/>
  </cols>
  <sheetData>
    <row r="1" customFormat="false" ht="39.75" hidden="false" customHeight="true" outlineLevel="0" collapsed="false">
      <c r="A1" s="2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3.5" hidden="false" customHeight="true" outlineLevel="0" collapsed="false">
      <c r="A2" s="96" t="s">
        <v>325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customFormat="false" ht="7.5" hidden="false" customHeight="true" outlineLevel="0" collapsed="false"/>
    <row r="4" customFormat="false" ht="25.5" hidden="false" customHeight="true" outlineLevel="0" collapsed="false">
      <c r="A4" s="87" t="s">
        <v>270</v>
      </c>
      <c r="B4" s="87" t="s">
        <v>139</v>
      </c>
      <c r="C4" s="97" t="s">
        <v>326</v>
      </c>
      <c r="D4" s="97" t="s">
        <v>327</v>
      </c>
      <c r="E4" s="98" t="s">
        <v>143</v>
      </c>
      <c r="F4" s="98" t="s">
        <v>144</v>
      </c>
      <c r="G4" s="99" t="s">
        <v>328</v>
      </c>
      <c r="H4" s="60" t="s">
        <v>329</v>
      </c>
      <c r="I4" s="60"/>
      <c r="J4" s="60"/>
      <c r="K4" s="60"/>
      <c r="L4" s="60"/>
    </row>
    <row r="5" customFormat="false" ht="19.5" hidden="false" customHeight="true" outlineLevel="0" collapsed="false">
      <c r="A5" s="87"/>
      <c r="B5" s="87"/>
      <c r="C5" s="87"/>
      <c r="D5" s="87"/>
      <c r="E5" s="87"/>
      <c r="F5" s="87"/>
      <c r="G5" s="87"/>
      <c r="H5" s="44" t="s">
        <v>278</v>
      </c>
      <c r="I5" s="44" t="s">
        <v>280</v>
      </c>
      <c r="J5" s="44" t="s">
        <v>282</v>
      </c>
      <c r="K5" s="44" t="s">
        <v>286</v>
      </c>
      <c r="L5" s="44" t="s">
        <v>288</v>
      </c>
    </row>
    <row r="6" customFormat="false" ht="19.5" hidden="false" customHeight="true" outlineLevel="0" collapsed="false">
      <c r="A6" s="100" t="n">
        <v>1</v>
      </c>
      <c r="B6" s="50" t="s">
        <v>330</v>
      </c>
      <c r="C6" s="67" t="s">
        <v>46</v>
      </c>
      <c r="D6" s="101" t="n">
        <f aca="false">CS301!D7</f>
        <v>3</v>
      </c>
      <c r="E6" s="102" t="str">
        <f aca="false">CHOOSE(CS301!D7,"Remember","Understand","Apply","Analyze","Evaluate","Create")</f>
        <v>Apply</v>
      </c>
      <c r="F6" s="70" t="str">
        <f aca="false">IF(CS301!D7&lt;=2,"LOTS","HOTS")</f>
        <v>HOTS</v>
      </c>
      <c r="G6" s="78" t="n">
        <f aca="false">IF(CS301!D7&lt;=2,1,IF(CS301!D7&lt;=4,2,3))</f>
        <v>2</v>
      </c>
      <c r="H6" s="103" t="n">
        <f aca="false">IFERROR(AVERAGE(CS301!D15,CS301!D16,CS301!D17,CS301!D18,CS301!D19,CS301!D20,CS301!D21,CS301!D22,CS301!D23,CS301!D24,CS301!D25,CS301!D26,CS301!D27,CS301!D28,CS301!D29),0)</f>
        <v>0.666666666666667</v>
      </c>
      <c r="I6" s="104" t="s">
        <v>10</v>
      </c>
      <c r="J6" s="104" t="s">
        <v>10</v>
      </c>
      <c r="K6" s="104" t="s">
        <v>10</v>
      </c>
      <c r="L6" s="104" t="s">
        <v>10</v>
      </c>
    </row>
    <row r="7" customFormat="false" ht="19.5" hidden="false" customHeight="true" outlineLevel="0" collapsed="false">
      <c r="A7" s="105" t="n">
        <v>2</v>
      </c>
      <c r="B7" s="48" t="s">
        <v>331</v>
      </c>
      <c r="C7" s="67" t="s">
        <v>51</v>
      </c>
      <c r="D7" s="101" t="n">
        <f aca="false">CS301!D8</f>
        <v>4</v>
      </c>
      <c r="E7" s="106" t="str">
        <f aca="false">CHOOSE(CS301!D8,"Remember","Understand","Apply","Analyze","Evaluate","Create")</f>
        <v>Analyze</v>
      </c>
      <c r="F7" s="70" t="str">
        <f aca="false">IF(CS301!D8&lt;=2,"LOTS","HOTS")</f>
        <v>HOTS</v>
      </c>
      <c r="G7" s="78" t="n">
        <f aca="false">IF(CS301!D8&lt;=2,1,IF(CS301!D8&lt;=4,2,3))</f>
        <v>2</v>
      </c>
      <c r="H7" s="103" t="n">
        <f aca="false">IFERROR(AVERAGE(CS301!G15,CS301!G16,CS301!G17,CS301!G18,CS301!G19,CS301!G20,CS301!G21,CS301!G22,CS301!G23,CS301!G24,CS301!G25,CS301!G26,CS301!G27,CS301!G28,CS301!G29),0)</f>
        <v>0.666666666666667</v>
      </c>
      <c r="I7" s="107" t="s">
        <v>10</v>
      </c>
      <c r="J7" s="107" t="s">
        <v>10</v>
      </c>
      <c r="K7" s="107" t="s">
        <v>10</v>
      </c>
      <c r="L7" s="107" t="s">
        <v>10</v>
      </c>
    </row>
    <row r="8" customFormat="false" ht="19.5" hidden="false" customHeight="true" outlineLevel="0" collapsed="false">
      <c r="A8" s="100" t="n">
        <v>3</v>
      </c>
      <c r="B8" s="50" t="s">
        <v>332</v>
      </c>
      <c r="C8" s="67" t="s">
        <v>154</v>
      </c>
      <c r="D8" s="101" t="n">
        <f aca="false">CS301!D9</f>
        <v>6</v>
      </c>
      <c r="E8" s="102" t="str">
        <f aca="false">CHOOSE(CS301!D9,"Remember","Understand","Apply","Analyze","Evaluate","Create")</f>
        <v>Create</v>
      </c>
      <c r="F8" s="70" t="str">
        <f aca="false">IF(CS301!D9&lt;=2,"LOTS","HOTS")</f>
        <v>HOTS</v>
      </c>
      <c r="G8" s="78" t="n">
        <f aca="false">IF(CS301!D9&lt;=2,1,IF(CS301!D9&lt;=4,2,3))</f>
        <v>3</v>
      </c>
      <c r="H8" s="103" t="n">
        <f aca="false">IFERROR(AVERAGE(CS301!J15,CS301!J16,CS301!J17,CS301!J18,CS301!J19,CS301!J20,CS301!J21,CS301!J22,CS301!J23,CS301!J24,CS301!J25,CS301!J26,CS301!J27,CS301!J28,CS301!J29),0)</f>
        <v>1.26666666666667</v>
      </c>
      <c r="I8" s="104" t="s">
        <v>10</v>
      </c>
      <c r="J8" s="104" t="s">
        <v>10</v>
      </c>
      <c r="K8" s="104" t="s">
        <v>10</v>
      </c>
      <c r="L8" s="104" t="s">
        <v>10</v>
      </c>
    </row>
    <row r="9" customFormat="false" ht="19.5" hidden="false" customHeight="true" outlineLevel="0" collapsed="false">
      <c r="A9" s="105" t="n">
        <v>4</v>
      </c>
      <c r="B9" s="48" t="s">
        <v>333</v>
      </c>
      <c r="C9" s="67" t="s">
        <v>54</v>
      </c>
      <c r="D9" s="101" t="n">
        <f aca="false">CS301!D10</f>
        <v>5</v>
      </c>
      <c r="E9" s="106" t="str">
        <f aca="false">CHOOSE(CS301!D10,"Remember","Understand","Apply","Analyze","Evaluate","Create")</f>
        <v>Evaluate</v>
      </c>
      <c r="F9" s="70" t="str">
        <f aca="false">IF(CS301!D10&lt;=2,"LOTS","HOTS")</f>
        <v>HOTS</v>
      </c>
      <c r="G9" s="78" t="n">
        <f aca="false">IF(CS301!D10&lt;=2,1,IF(CS301!D10&lt;=4,2,3))</f>
        <v>3</v>
      </c>
      <c r="H9" s="103" t="n">
        <f aca="false">IFERROR(AVERAGE(CS301!M15,CS301!M16,CS301!M17,CS301!M18,CS301!M19,CS301!M20,CS301!M21,CS301!M22,CS301!M23,CS301!M24,CS301!M25,CS301!M26,CS301!M27,CS301!M28,CS301!M29),0)</f>
        <v>0.933333333333333</v>
      </c>
      <c r="I9" s="107" t="s">
        <v>10</v>
      </c>
      <c r="J9" s="107" t="s">
        <v>10</v>
      </c>
      <c r="K9" s="107" t="s">
        <v>10</v>
      </c>
      <c r="L9" s="107" t="s">
        <v>10</v>
      </c>
    </row>
    <row r="10" customFormat="false" ht="19.5" hidden="false" customHeight="true" outlineLevel="0" collapsed="false">
      <c r="A10" s="100" t="n">
        <v>5</v>
      </c>
      <c r="B10" s="50" t="s">
        <v>334</v>
      </c>
      <c r="C10" s="67" t="s">
        <v>161</v>
      </c>
      <c r="D10" s="101" t="n">
        <f aca="false">CS301!D11</f>
        <v>3</v>
      </c>
      <c r="E10" s="102" t="str">
        <f aca="false">CHOOSE(CS301!D11,"Remember","Understand","Apply","Analyze","Evaluate","Create")</f>
        <v>Apply</v>
      </c>
      <c r="F10" s="70" t="str">
        <f aca="false">IF(CS301!D11&lt;=2,"LOTS","HOTS")</f>
        <v>HOTS</v>
      </c>
      <c r="G10" s="78" t="n">
        <f aca="false">IF(CS301!D11&lt;=2,1,IF(CS301!D11&lt;=4,2,3))</f>
        <v>2</v>
      </c>
      <c r="H10" s="103" t="n">
        <f aca="false">IFERROR(AVERAGE(CS301!P15,CS301!P16,CS301!P17,CS301!P18,CS301!P19,CS301!P20,CS301!P21,CS301!P22,CS301!P23,CS301!P24,CS301!P25,CS301!P26,CS301!P27,CS301!P28,CS301!P29),0)</f>
        <v>0.866666666666667</v>
      </c>
      <c r="I10" s="104" t="s">
        <v>10</v>
      </c>
      <c r="J10" s="104" t="s">
        <v>10</v>
      </c>
      <c r="K10" s="104" t="s">
        <v>10</v>
      </c>
      <c r="L10" s="104" t="s">
        <v>10</v>
      </c>
    </row>
    <row r="11" customFormat="false" ht="19.5" hidden="false" customHeight="true" outlineLevel="0" collapsed="false">
      <c r="A11" s="105" t="n">
        <v>6</v>
      </c>
      <c r="B11" s="48" t="s">
        <v>335</v>
      </c>
      <c r="C11" s="67" t="s">
        <v>223</v>
      </c>
      <c r="D11" s="101" t="n">
        <f aca="false">CS302!D7</f>
        <v>2</v>
      </c>
      <c r="E11" s="106" t="str">
        <f aca="false">CHOOSE(CS302!D7,"Remember","Understand","Apply","Analyze","Evaluate","Create")</f>
        <v>Understand</v>
      </c>
      <c r="F11" s="70" t="str">
        <f aca="false">IF(CS302!D7&lt;=2,"LOTS","HOTS")</f>
        <v>LOTS</v>
      </c>
      <c r="G11" s="78" t="n">
        <f aca="false">IF(CS302!D7&lt;=2,1,IF(CS302!D7&lt;=4,2,3))</f>
        <v>1</v>
      </c>
      <c r="H11" s="107" t="s">
        <v>10</v>
      </c>
      <c r="I11" s="103" t="n">
        <f aca="false">IFERROR(AVERAGE(CS302!D15,CS302!D16,CS302!D17,CS302!D18,CS302!D19,CS302!D20,CS302!D21,CS302!D22,CS302!D23,CS302!D24,CS302!D25,CS302!D26,CS302!D27,CS302!D28,CS302!D29),0)</f>
        <v>0.333333333333333</v>
      </c>
      <c r="J11" s="107" t="s">
        <v>10</v>
      </c>
      <c r="K11" s="107" t="s">
        <v>10</v>
      </c>
      <c r="L11" s="107" t="s">
        <v>10</v>
      </c>
    </row>
    <row r="12" customFormat="false" ht="19.5" hidden="false" customHeight="true" outlineLevel="0" collapsed="false">
      <c r="A12" s="100" t="n">
        <v>7</v>
      </c>
      <c r="B12" s="50" t="s">
        <v>336</v>
      </c>
      <c r="C12" s="67" t="s">
        <v>154</v>
      </c>
      <c r="D12" s="101" t="n">
        <f aca="false">CS302!D8</f>
        <v>6</v>
      </c>
      <c r="E12" s="102" t="str">
        <f aca="false">CHOOSE(CS302!D8,"Remember","Understand","Apply","Analyze","Evaluate","Create")</f>
        <v>Create</v>
      </c>
      <c r="F12" s="70" t="str">
        <f aca="false">IF(CS302!D8&lt;=2,"LOTS","HOTS")</f>
        <v>HOTS</v>
      </c>
      <c r="G12" s="78" t="n">
        <f aca="false">IF(CS302!D8&lt;=2,1,IF(CS302!D8&lt;=4,2,3))</f>
        <v>3</v>
      </c>
      <c r="H12" s="104" t="s">
        <v>10</v>
      </c>
      <c r="I12" s="103" t="n">
        <f aca="false">IFERROR(AVERAGE(CS302!G15,CS302!G16,CS302!G17,CS302!G18,CS302!G19,CS302!G20,CS302!G21,CS302!G22,CS302!G23,CS302!G24,CS302!G25,CS302!G26,CS302!G27,CS302!G28,CS302!G29),0)</f>
        <v>1.26666666666667</v>
      </c>
      <c r="J12" s="104" t="s">
        <v>10</v>
      </c>
      <c r="K12" s="104" t="s">
        <v>10</v>
      </c>
      <c r="L12" s="104" t="s">
        <v>10</v>
      </c>
    </row>
    <row r="13" customFormat="false" ht="19.5" hidden="false" customHeight="true" outlineLevel="0" collapsed="false">
      <c r="A13" s="105" t="n">
        <v>8</v>
      </c>
      <c r="B13" s="48" t="s">
        <v>337</v>
      </c>
      <c r="C13" s="67" t="s">
        <v>51</v>
      </c>
      <c r="D13" s="101" t="n">
        <f aca="false">CS302!D9</f>
        <v>4</v>
      </c>
      <c r="E13" s="106" t="str">
        <f aca="false">CHOOSE(CS302!D9,"Remember","Understand","Apply","Analyze","Evaluate","Create")</f>
        <v>Analyze</v>
      </c>
      <c r="F13" s="70" t="str">
        <f aca="false">IF(CS302!D9&lt;=2,"LOTS","HOTS")</f>
        <v>HOTS</v>
      </c>
      <c r="G13" s="78" t="n">
        <f aca="false">IF(CS302!D9&lt;=2,1,IF(CS302!D9&lt;=4,2,3))</f>
        <v>2</v>
      </c>
      <c r="H13" s="107" t="s">
        <v>10</v>
      </c>
      <c r="I13" s="103" t="n">
        <f aca="false">IFERROR(AVERAGE(CS302!J15,CS302!J16,CS302!J17,CS302!J18,CS302!J19,CS302!J20,CS302!J21,CS302!J22,CS302!J23,CS302!J24,CS302!J25,CS302!J26,CS302!J27,CS302!J28,CS302!J29),0)</f>
        <v>0.6</v>
      </c>
      <c r="J13" s="107" t="s">
        <v>10</v>
      </c>
      <c r="K13" s="107" t="s">
        <v>10</v>
      </c>
      <c r="L13" s="107" t="s">
        <v>10</v>
      </c>
    </row>
    <row r="14" customFormat="false" ht="19.5" hidden="false" customHeight="true" outlineLevel="0" collapsed="false">
      <c r="A14" s="100" t="n">
        <v>9</v>
      </c>
      <c r="B14" s="50" t="s">
        <v>338</v>
      </c>
      <c r="C14" s="67" t="s">
        <v>54</v>
      </c>
      <c r="D14" s="101" t="n">
        <f aca="false">CS302!D10</f>
        <v>5</v>
      </c>
      <c r="E14" s="102" t="str">
        <f aca="false">CHOOSE(CS302!D10,"Remember","Understand","Apply","Analyze","Evaluate","Create")</f>
        <v>Evaluate</v>
      </c>
      <c r="F14" s="70" t="str">
        <f aca="false">IF(CS302!D10&lt;=2,"LOTS","HOTS")</f>
        <v>HOTS</v>
      </c>
      <c r="G14" s="78" t="n">
        <f aca="false">IF(CS302!D10&lt;=2,1,IF(CS302!D10&lt;=4,2,3))</f>
        <v>3</v>
      </c>
      <c r="H14" s="104" t="s">
        <v>10</v>
      </c>
      <c r="I14" s="103" t="n">
        <f aca="false">IFERROR(AVERAGE(CS302!M15,CS302!M16,CS302!M17,CS302!M18,CS302!M19,CS302!M20,CS302!M21,CS302!M22,CS302!M23,CS302!M24,CS302!M25,CS302!M26,CS302!M27,CS302!M28,CS302!M29),0)</f>
        <v>0.933333333333333</v>
      </c>
      <c r="J14" s="104" t="s">
        <v>10</v>
      </c>
      <c r="K14" s="104" t="s">
        <v>10</v>
      </c>
      <c r="L14" s="104" t="s">
        <v>10</v>
      </c>
    </row>
    <row r="15" customFormat="false" ht="19.5" hidden="false" customHeight="true" outlineLevel="0" collapsed="false">
      <c r="A15" s="105" t="n">
        <v>10</v>
      </c>
      <c r="B15" s="48" t="s">
        <v>339</v>
      </c>
      <c r="C15" s="67" t="s">
        <v>154</v>
      </c>
      <c r="D15" s="101" t="n">
        <f aca="false">CS302!D11</f>
        <v>6</v>
      </c>
      <c r="E15" s="106" t="str">
        <f aca="false">CHOOSE(CS302!D11,"Remember","Understand","Apply","Analyze","Evaluate","Create")</f>
        <v>Create</v>
      </c>
      <c r="F15" s="70" t="str">
        <f aca="false">IF(CS302!D11&lt;=2,"LOTS","HOTS")</f>
        <v>HOTS</v>
      </c>
      <c r="G15" s="78" t="n">
        <f aca="false">IF(CS302!D11&lt;=2,1,IF(CS302!D11&lt;=4,2,3))</f>
        <v>3</v>
      </c>
      <c r="H15" s="107" t="s">
        <v>10</v>
      </c>
      <c r="I15" s="103" t="n">
        <f aca="false">IFERROR(AVERAGE(CS302!P15,CS302!P16,CS302!P17,CS302!P18,CS302!P19,CS302!P20,CS302!P21,CS302!P22,CS302!P23,CS302!P24,CS302!P25,CS302!P26,CS302!P27,CS302!P28,CS302!P29),0)</f>
        <v>1.4</v>
      </c>
      <c r="J15" s="107" t="s">
        <v>10</v>
      </c>
      <c r="K15" s="107" t="s">
        <v>10</v>
      </c>
      <c r="L15" s="107" t="s">
        <v>10</v>
      </c>
    </row>
    <row r="16" customFormat="false" ht="19.5" hidden="false" customHeight="true" outlineLevel="0" collapsed="false">
      <c r="A16" s="100" t="n">
        <v>11</v>
      </c>
      <c r="B16" s="50" t="s">
        <v>340</v>
      </c>
      <c r="C16" s="67" t="s">
        <v>283</v>
      </c>
      <c r="D16" s="101" t="n">
        <f aca="false">CS303!D7</f>
        <v>2</v>
      </c>
      <c r="E16" s="102" t="str">
        <f aca="false">CHOOSE(CS303!D7,"Remember","Understand","Apply","Analyze","Evaluate","Create")</f>
        <v>Understand</v>
      </c>
      <c r="F16" s="70" t="str">
        <f aca="false">IF(CS303!D7&lt;=2,"LOTS","HOTS")</f>
        <v>LOTS</v>
      </c>
      <c r="G16" s="78" t="n">
        <f aca="false">IF(CS303!D7&lt;=2,1,IF(CS303!D7&lt;=4,2,3))</f>
        <v>1</v>
      </c>
      <c r="H16" s="104" t="s">
        <v>10</v>
      </c>
      <c r="I16" s="104" t="s">
        <v>10</v>
      </c>
      <c r="J16" s="103" t="n">
        <f aca="false">IFERROR(AVERAGE(CS303!D15,CS303!D16,CS303!D17,CS303!D18,CS303!D19,CS303!D20,CS303!D21,CS303!D22,CS303!D23,CS303!D24,CS303!D25,CS303!D26,CS303!D27,CS303!D28,CS303!D29),0)</f>
        <v>0.333333333333333</v>
      </c>
      <c r="K16" s="104" t="s">
        <v>10</v>
      </c>
      <c r="L16" s="104" t="s">
        <v>10</v>
      </c>
    </row>
    <row r="17" customFormat="false" ht="19.5" hidden="false" customHeight="true" outlineLevel="0" collapsed="false">
      <c r="A17" s="105" t="n">
        <v>12</v>
      </c>
      <c r="B17" s="48" t="s">
        <v>341</v>
      </c>
      <c r="C17" s="67" t="s">
        <v>51</v>
      </c>
      <c r="D17" s="101" t="n">
        <f aca="false">CS303!D8</f>
        <v>4</v>
      </c>
      <c r="E17" s="106" t="str">
        <f aca="false">CHOOSE(CS303!D8,"Remember","Understand","Apply","Analyze","Evaluate","Create")</f>
        <v>Analyze</v>
      </c>
      <c r="F17" s="70" t="str">
        <f aca="false">IF(CS303!D8&lt;=2,"LOTS","HOTS")</f>
        <v>HOTS</v>
      </c>
      <c r="G17" s="78" t="n">
        <f aca="false">IF(CS303!D8&lt;=2,1,IF(CS303!D8&lt;=4,2,3))</f>
        <v>2</v>
      </c>
      <c r="H17" s="107" t="s">
        <v>10</v>
      </c>
      <c r="I17" s="107" t="s">
        <v>10</v>
      </c>
      <c r="J17" s="103" t="n">
        <f aca="false">IFERROR(AVERAGE(CS303!G15,CS303!G16,CS303!G17,CS303!G18,CS303!G19,CS303!G20,CS303!G21,CS303!G22,CS303!G23,CS303!G24,CS303!G25,CS303!G26,CS303!G27,CS303!G28,CS303!G29),0)</f>
        <v>0.8</v>
      </c>
      <c r="K17" s="107" t="s">
        <v>10</v>
      </c>
      <c r="L17" s="107" t="s">
        <v>10</v>
      </c>
    </row>
    <row r="18" customFormat="false" ht="19.5" hidden="false" customHeight="true" outlineLevel="0" collapsed="false">
      <c r="A18" s="100" t="n">
        <v>13</v>
      </c>
      <c r="B18" s="50" t="s">
        <v>342</v>
      </c>
      <c r="C18" s="67" t="s">
        <v>154</v>
      </c>
      <c r="D18" s="101" t="n">
        <f aca="false">CS303!D9</f>
        <v>6</v>
      </c>
      <c r="E18" s="102" t="str">
        <f aca="false">CHOOSE(CS303!D9,"Remember","Understand","Apply","Analyze","Evaluate","Create")</f>
        <v>Create</v>
      </c>
      <c r="F18" s="70" t="str">
        <f aca="false">IF(CS303!D9&lt;=2,"LOTS","HOTS")</f>
        <v>HOTS</v>
      </c>
      <c r="G18" s="78" t="n">
        <f aca="false">IF(CS303!D9&lt;=2,1,IF(CS303!D9&lt;=4,2,3))</f>
        <v>3</v>
      </c>
      <c r="H18" s="104" t="s">
        <v>10</v>
      </c>
      <c r="I18" s="104" t="s">
        <v>10</v>
      </c>
      <c r="J18" s="103" t="n">
        <f aca="false">IFERROR(AVERAGE(CS303!J15,CS303!J16,CS303!J17,CS303!J18,CS303!J19,CS303!J20,CS303!J21,CS303!J22,CS303!J23,CS303!J24,CS303!J25,CS303!J26,CS303!J27,CS303!J28,CS303!J29),0)</f>
        <v>1.33333333333333</v>
      </c>
      <c r="K18" s="104" t="s">
        <v>10</v>
      </c>
      <c r="L18" s="104" t="s">
        <v>10</v>
      </c>
    </row>
    <row r="19" customFormat="false" ht="19.5" hidden="false" customHeight="true" outlineLevel="0" collapsed="false">
      <c r="A19" s="105" t="n">
        <v>14</v>
      </c>
      <c r="B19" s="48" t="s">
        <v>343</v>
      </c>
      <c r="C19" s="67" t="s">
        <v>54</v>
      </c>
      <c r="D19" s="101" t="n">
        <f aca="false">CS303!D10</f>
        <v>5</v>
      </c>
      <c r="E19" s="106" t="str">
        <f aca="false">CHOOSE(CS303!D10,"Remember","Understand","Apply","Analyze","Evaluate","Create")</f>
        <v>Evaluate</v>
      </c>
      <c r="F19" s="70" t="str">
        <f aca="false">IF(CS303!D10&lt;=2,"LOTS","HOTS")</f>
        <v>HOTS</v>
      </c>
      <c r="G19" s="78" t="n">
        <f aca="false">IF(CS303!D10&lt;=2,1,IF(CS303!D10&lt;=4,2,3))</f>
        <v>3</v>
      </c>
      <c r="H19" s="107" t="s">
        <v>10</v>
      </c>
      <c r="I19" s="107" t="s">
        <v>10</v>
      </c>
      <c r="J19" s="103" t="n">
        <f aca="false">IFERROR(AVERAGE(CS303!M15,CS303!M16,CS303!M17,CS303!M18,CS303!M19,CS303!M20,CS303!M21,CS303!M22,CS303!M23,CS303!M24,CS303!M25,CS303!M26,CS303!M27,CS303!M28,CS303!M29),0)</f>
        <v>0.733333333333333</v>
      </c>
      <c r="K19" s="107" t="s">
        <v>10</v>
      </c>
      <c r="L19" s="107" t="s">
        <v>10</v>
      </c>
    </row>
    <row r="20" customFormat="false" ht="19.5" hidden="false" customHeight="true" outlineLevel="0" collapsed="false">
      <c r="A20" s="100" t="n">
        <v>15</v>
      </c>
      <c r="B20" s="50" t="s">
        <v>344</v>
      </c>
      <c r="C20" s="67" t="s">
        <v>284</v>
      </c>
      <c r="D20" s="101" t="n">
        <f aca="false">CS303!D11</f>
        <v>3</v>
      </c>
      <c r="E20" s="102" t="str">
        <f aca="false">CHOOSE(CS303!D11,"Remember","Understand","Apply","Analyze","Evaluate","Create")</f>
        <v>Apply</v>
      </c>
      <c r="F20" s="70" t="str">
        <f aca="false">IF(CS303!D11&lt;=2,"LOTS","HOTS")</f>
        <v>HOTS</v>
      </c>
      <c r="G20" s="78" t="n">
        <f aca="false">IF(CS303!D11&lt;=2,1,IF(CS303!D11&lt;=4,2,3))</f>
        <v>2</v>
      </c>
      <c r="H20" s="104" t="s">
        <v>10</v>
      </c>
      <c r="I20" s="104" t="s">
        <v>10</v>
      </c>
      <c r="J20" s="103" t="n">
        <f aca="false">IFERROR(AVERAGE(CS303!P15,CS303!P16,CS303!P17,CS303!P18,CS303!P19,CS303!P20,CS303!P21,CS303!P22,CS303!P23,CS303!P24,CS303!P25,CS303!P26,CS303!P27,CS303!P28,CS303!P29),0)</f>
        <v>0.8</v>
      </c>
      <c r="K20" s="104" t="s">
        <v>10</v>
      </c>
      <c r="L20" s="104" t="s">
        <v>10</v>
      </c>
    </row>
    <row r="21" customFormat="false" ht="19.5" hidden="false" customHeight="true" outlineLevel="0" collapsed="false">
      <c r="A21" s="105" t="n">
        <v>16</v>
      </c>
      <c r="B21" s="48" t="s">
        <v>345</v>
      </c>
      <c r="C21" s="67" t="s">
        <v>51</v>
      </c>
      <c r="D21" s="101" t="n">
        <f aca="false">CS304!D7</f>
        <v>4</v>
      </c>
      <c r="E21" s="106" t="str">
        <f aca="false">CHOOSE(CS304!D7,"Remember","Understand","Apply","Analyze","Evaluate","Create")</f>
        <v>Analyze</v>
      </c>
      <c r="F21" s="70" t="str">
        <f aca="false">IF(CS304!D7&lt;=2,"LOTS","HOTS")</f>
        <v>HOTS</v>
      </c>
      <c r="G21" s="78" t="n">
        <f aca="false">IF(CS304!D7&lt;=2,1,IF(CS304!D7&lt;=4,2,3))</f>
        <v>2</v>
      </c>
      <c r="H21" s="107" t="s">
        <v>10</v>
      </c>
      <c r="I21" s="107" t="s">
        <v>10</v>
      </c>
      <c r="J21" s="107" t="s">
        <v>10</v>
      </c>
      <c r="K21" s="103" t="n">
        <f aca="false">IFERROR(AVERAGE(CS304!D15,CS304!D16,CS304!D17,CS304!D18,CS304!D19,CS304!D20,CS304!D21,CS304!D22,CS304!D23,CS304!D24,CS304!D25,CS304!D26,CS304!D27,CS304!D28,CS304!D29),0)</f>
        <v>0.533333333333333</v>
      </c>
      <c r="L21" s="107" t="s">
        <v>10</v>
      </c>
    </row>
    <row r="22" customFormat="false" ht="19.5" hidden="false" customHeight="true" outlineLevel="0" collapsed="false">
      <c r="A22" s="100" t="n">
        <v>17</v>
      </c>
      <c r="B22" s="50" t="s">
        <v>346</v>
      </c>
      <c r="C22" s="67" t="s">
        <v>154</v>
      </c>
      <c r="D22" s="101" t="n">
        <f aca="false">CS304!D8</f>
        <v>6</v>
      </c>
      <c r="E22" s="102" t="str">
        <f aca="false">CHOOSE(CS304!D8,"Remember","Understand","Apply","Analyze","Evaluate","Create")</f>
        <v>Create</v>
      </c>
      <c r="F22" s="70" t="str">
        <f aca="false">IF(CS304!D8&lt;=2,"LOTS","HOTS")</f>
        <v>HOTS</v>
      </c>
      <c r="G22" s="78" t="n">
        <f aca="false">IF(CS304!D8&lt;=2,1,IF(CS304!D8&lt;=4,2,3))</f>
        <v>3</v>
      </c>
      <c r="H22" s="104" t="s">
        <v>10</v>
      </c>
      <c r="I22" s="104" t="s">
        <v>10</v>
      </c>
      <c r="J22" s="104" t="s">
        <v>10</v>
      </c>
      <c r="K22" s="103" t="n">
        <f aca="false">IFERROR(AVERAGE(CS304!G15,CS304!G16,CS304!G17,CS304!G18,CS304!G19,CS304!G20,CS304!G21,CS304!G22,CS304!G23,CS304!G24,CS304!G25,CS304!G26,CS304!G27,CS304!G28,CS304!G29),0)</f>
        <v>0.933333333333333</v>
      </c>
      <c r="L22" s="104" t="s">
        <v>10</v>
      </c>
    </row>
    <row r="23" customFormat="false" ht="19.5" hidden="false" customHeight="true" outlineLevel="0" collapsed="false">
      <c r="A23" s="105" t="n">
        <v>18</v>
      </c>
      <c r="B23" s="48" t="s">
        <v>347</v>
      </c>
      <c r="C23" s="67" t="s">
        <v>51</v>
      </c>
      <c r="D23" s="101" t="n">
        <f aca="false">CS304!D9</f>
        <v>4</v>
      </c>
      <c r="E23" s="106" t="str">
        <f aca="false">CHOOSE(CS304!D9,"Remember","Understand","Apply","Analyze","Evaluate","Create")</f>
        <v>Analyze</v>
      </c>
      <c r="F23" s="70" t="str">
        <f aca="false">IF(CS304!D9&lt;=2,"LOTS","HOTS")</f>
        <v>HOTS</v>
      </c>
      <c r="G23" s="78" t="n">
        <f aca="false">IF(CS304!D9&lt;=2,1,IF(CS304!D9&lt;=4,2,3))</f>
        <v>2</v>
      </c>
      <c r="H23" s="107" t="s">
        <v>10</v>
      </c>
      <c r="I23" s="107" t="s">
        <v>10</v>
      </c>
      <c r="J23" s="107" t="s">
        <v>10</v>
      </c>
      <c r="K23" s="103" t="n">
        <f aca="false">IFERROR(AVERAGE(CS304!J15,CS304!J16,CS304!J17,CS304!J18,CS304!J19,CS304!J20,CS304!J21,CS304!J22,CS304!J23,CS304!J24,CS304!J25,CS304!J26,CS304!J27,CS304!J28,CS304!J29),0)</f>
        <v>0.666666666666667</v>
      </c>
      <c r="L23" s="107" t="s">
        <v>10</v>
      </c>
    </row>
    <row r="24" customFormat="false" ht="19.5" hidden="false" customHeight="true" outlineLevel="0" collapsed="false">
      <c r="A24" s="100" t="n">
        <v>19</v>
      </c>
      <c r="B24" s="50" t="s">
        <v>348</v>
      </c>
      <c r="C24" s="67" t="s">
        <v>54</v>
      </c>
      <c r="D24" s="101" t="n">
        <f aca="false">CS304!D10</f>
        <v>5</v>
      </c>
      <c r="E24" s="102" t="str">
        <f aca="false">CHOOSE(CS304!D10,"Remember","Understand","Apply","Analyze","Evaluate","Create")</f>
        <v>Evaluate</v>
      </c>
      <c r="F24" s="70" t="str">
        <f aca="false">IF(CS304!D10&lt;=2,"LOTS","HOTS")</f>
        <v>HOTS</v>
      </c>
      <c r="G24" s="78" t="n">
        <f aca="false">IF(CS304!D10&lt;=2,1,IF(CS304!D10&lt;=4,2,3))</f>
        <v>3</v>
      </c>
      <c r="H24" s="104" t="s">
        <v>10</v>
      </c>
      <c r="I24" s="104" t="s">
        <v>10</v>
      </c>
      <c r="J24" s="104" t="s">
        <v>10</v>
      </c>
      <c r="K24" s="103" t="n">
        <f aca="false">IFERROR(AVERAGE(CS304!M15,CS304!M16,CS304!M17,CS304!M18,CS304!M19,CS304!M20,CS304!M21,CS304!M22,CS304!M23,CS304!M24,CS304!M25,CS304!M26,CS304!M27,CS304!M28,CS304!M29),0)</f>
        <v>0.733333333333333</v>
      </c>
      <c r="L24" s="104" t="s">
        <v>10</v>
      </c>
    </row>
    <row r="25" customFormat="false" ht="19.5" hidden="false" customHeight="true" outlineLevel="0" collapsed="false">
      <c r="A25" s="105" t="n">
        <v>20</v>
      </c>
      <c r="B25" s="48" t="s">
        <v>349</v>
      </c>
      <c r="C25" s="67" t="s">
        <v>161</v>
      </c>
      <c r="D25" s="101" t="n">
        <f aca="false">CS304!D11</f>
        <v>3</v>
      </c>
      <c r="E25" s="106" t="str">
        <f aca="false">CHOOSE(CS304!D11,"Remember","Understand","Apply","Analyze","Evaluate","Create")</f>
        <v>Apply</v>
      </c>
      <c r="F25" s="70" t="str">
        <f aca="false">IF(CS304!D11&lt;=2,"LOTS","HOTS")</f>
        <v>HOTS</v>
      </c>
      <c r="G25" s="78" t="n">
        <f aca="false">IF(CS304!D11&lt;=2,1,IF(CS304!D11&lt;=4,2,3))</f>
        <v>2</v>
      </c>
      <c r="H25" s="107" t="s">
        <v>10</v>
      </c>
      <c r="I25" s="107" t="s">
        <v>10</v>
      </c>
      <c r="J25" s="107" t="s">
        <v>10</v>
      </c>
      <c r="K25" s="103" t="n">
        <f aca="false">IFERROR(AVERAGE(CS304!P15,CS304!P16,CS304!P17,CS304!P18,CS304!P19,CS304!P20,CS304!P21,CS304!P22,CS304!P23,CS304!P24,CS304!P25,CS304!P26,CS304!P27,CS304!P28,CS304!P29),0)</f>
        <v>0.733333333333333</v>
      </c>
      <c r="L25" s="107" t="s">
        <v>10</v>
      </c>
    </row>
    <row r="26" customFormat="false" ht="19.5" hidden="false" customHeight="true" outlineLevel="0" collapsed="false">
      <c r="A26" s="100" t="n">
        <v>21</v>
      </c>
      <c r="B26" s="50" t="s">
        <v>350</v>
      </c>
      <c r="C26" s="67" t="s">
        <v>46</v>
      </c>
      <c r="D26" s="101" t="n">
        <f aca="false">CS305!D7</f>
        <v>3</v>
      </c>
      <c r="E26" s="102" t="str">
        <f aca="false">CHOOSE(CS305!D7,"Remember","Understand","Apply","Analyze","Evaluate","Create")</f>
        <v>Apply</v>
      </c>
      <c r="F26" s="70" t="str">
        <f aca="false">IF(CS305!D7&lt;=2,"LOTS","HOTS")</f>
        <v>HOTS</v>
      </c>
      <c r="G26" s="78" t="n">
        <f aca="false">IF(CS305!D7&lt;=2,1,IF(CS305!D7&lt;=4,2,3))</f>
        <v>2</v>
      </c>
      <c r="H26" s="104" t="s">
        <v>10</v>
      </c>
      <c r="I26" s="104" t="s">
        <v>10</v>
      </c>
      <c r="J26" s="104" t="s">
        <v>10</v>
      </c>
      <c r="K26" s="104" t="s">
        <v>10</v>
      </c>
      <c r="L26" s="103" t="n">
        <f aca="false">IFERROR(AVERAGE(CS305!D16,CS305!D17,CS305!D18,CS305!D19,CS305!D20,CS305!D21,CS305!D22,CS305!D23,CS305!D24,CS305!D25,CS305!D26,CS305!D27,CS305!D28,CS305!D29,CS305!D30),0)</f>
        <v>0.933333333333333</v>
      </c>
    </row>
    <row r="27" customFormat="false" ht="19.5" hidden="false" customHeight="true" outlineLevel="0" collapsed="false">
      <c r="A27" s="105" t="n">
        <v>22</v>
      </c>
      <c r="B27" s="48" t="s">
        <v>351</v>
      </c>
      <c r="C27" s="67" t="s">
        <v>51</v>
      </c>
      <c r="D27" s="101" t="n">
        <f aca="false">CS305!D8</f>
        <v>4</v>
      </c>
      <c r="E27" s="106" t="str">
        <f aca="false">CHOOSE(CS305!D8,"Remember","Understand","Apply","Analyze","Evaluate","Create")</f>
        <v>Analyze</v>
      </c>
      <c r="F27" s="70" t="str">
        <f aca="false">IF(CS305!D8&lt;=2,"LOTS","HOTS")</f>
        <v>HOTS</v>
      </c>
      <c r="G27" s="78" t="n">
        <f aca="false">IF(CS305!D8&lt;=2,1,IF(CS305!D8&lt;=4,2,3))</f>
        <v>2</v>
      </c>
      <c r="H27" s="107" t="s">
        <v>10</v>
      </c>
      <c r="I27" s="107" t="s">
        <v>10</v>
      </c>
      <c r="J27" s="107" t="s">
        <v>10</v>
      </c>
      <c r="K27" s="107" t="s">
        <v>10</v>
      </c>
      <c r="L27" s="103" t="n">
        <f aca="false">IFERROR(AVERAGE(CS305!G16,CS305!G17,CS305!G18,CS305!G19,CS305!G20,CS305!G21,CS305!G22,CS305!G23,CS305!G24,CS305!G25,CS305!G26,CS305!G27,CS305!G28,CS305!G29,CS305!G30),0)</f>
        <v>0.8</v>
      </c>
    </row>
    <row r="28" customFormat="false" ht="19.5" hidden="false" customHeight="true" outlineLevel="0" collapsed="false">
      <c r="A28" s="100" t="n">
        <v>23</v>
      </c>
      <c r="B28" s="50" t="s">
        <v>352</v>
      </c>
      <c r="C28" s="67" t="s">
        <v>154</v>
      </c>
      <c r="D28" s="101" t="n">
        <f aca="false">CS305!D9</f>
        <v>6</v>
      </c>
      <c r="E28" s="102" t="str">
        <f aca="false">CHOOSE(CS305!D9,"Remember","Understand","Apply","Analyze","Evaluate","Create")</f>
        <v>Create</v>
      </c>
      <c r="F28" s="70" t="str">
        <f aca="false">IF(CS305!D9&lt;=2,"LOTS","HOTS")</f>
        <v>HOTS</v>
      </c>
      <c r="G28" s="78" t="n">
        <f aca="false">IF(CS305!D9&lt;=2,1,IF(CS305!D9&lt;=4,2,3))</f>
        <v>3</v>
      </c>
      <c r="H28" s="104" t="s">
        <v>10</v>
      </c>
      <c r="I28" s="104" t="s">
        <v>10</v>
      </c>
      <c r="J28" s="104" t="s">
        <v>10</v>
      </c>
      <c r="K28" s="104" t="s">
        <v>10</v>
      </c>
      <c r="L28" s="103" t="n">
        <f aca="false">IFERROR(AVERAGE(CS305!J16,CS305!J17,CS305!J18,CS305!J19,CS305!J20,CS305!J21,CS305!J22,CS305!J23,CS305!J24,CS305!J25,CS305!J26,CS305!J27,CS305!J28,CS305!J29,CS305!J30),0)</f>
        <v>1.46666666666667</v>
      </c>
    </row>
    <row r="29" customFormat="false" ht="19.5" hidden="false" customHeight="true" outlineLevel="0" collapsed="false">
      <c r="A29" s="105" t="n">
        <v>24</v>
      </c>
      <c r="B29" s="48" t="s">
        <v>353</v>
      </c>
      <c r="C29" s="67" t="s">
        <v>54</v>
      </c>
      <c r="D29" s="101" t="n">
        <f aca="false">CS305!D10</f>
        <v>5</v>
      </c>
      <c r="E29" s="106" t="str">
        <f aca="false">CHOOSE(CS305!D10,"Remember","Understand","Apply","Analyze","Evaluate","Create")</f>
        <v>Evaluate</v>
      </c>
      <c r="F29" s="70" t="str">
        <f aca="false">IF(CS305!D10&lt;=2,"LOTS","HOTS")</f>
        <v>HOTS</v>
      </c>
      <c r="G29" s="78" t="n">
        <f aca="false">IF(CS305!D10&lt;=2,1,IF(CS305!D10&lt;=4,2,3))</f>
        <v>3</v>
      </c>
      <c r="H29" s="107" t="s">
        <v>10</v>
      </c>
      <c r="I29" s="107" t="s">
        <v>10</v>
      </c>
      <c r="J29" s="107" t="s">
        <v>10</v>
      </c>
      <c r="K29" s="107" t="s">
        <v>10</v>
      </c>
      <c r="L29" s="103" t="n">
        <f aca="false">IFERROR(AVERAGE(CS305!M16,CS305!M17,CS305!M18,CS305!M19,CS305!M20,CS305!M21,CS305!M22,CS305!M23,CS305!M24,CS305!M25,CS305!M26,CS305!M27,CS305!M28,CS305!M29,CS305!M30),0)</f>
        <v>1</v>
      </c>
    </row>
    <row r="30" customFormat="false" ht="19.5" hidden="false" customHeight="true" outlineLevel="0" collapsed="false">
      <c r="A30" s="100" t="n">
        <v>25</v>
      </c>
      <c r="B30" s="50" t="s">
        <v>354</v>
      </c>
      <c r="C30" s="67" t="s">
        <v>289</v>
      </c>
      <c r="D30" s="101" t="n">
        <f aca="false">CS305!D11</f>
        <v>4</v>
      </c>
      <c r="E30" s="102" t="str">
        <f aca="false">CHOOSE(CS305!D11,"Remember","Understand","Apply","Analyze","Evaluate","Create")</f>
        <v>Analyze</v>
      </c>
      <c r="F30" s="70" t="str">
        <f aca="false">IF(CS305!D11&lt;=2,"LOTS","HOTS")</f>
        <v>HOTS</v>
      </c>
      <c r="G30" s="78" t="n">
        <f aca="false">IF(CS305!D11&lt;=2,1,IF(CS305!D11&lt;=4,2,3))</f>
        <v>2</v>
      </c>
      <c r="H30" s="104" t="s">
        <v>10</v>
      </c>
      <c r="I30" s="104" t="s">
        <v>10</v>
      </c>
      <c r="J30" s="104" t="s">
        <v>10</v>
      </c>
      <c r="K30" s="104" t="s">
        <v>10</v>
      </c>
      <c r="L30" s="103" t="n">
        <f aca="false">IFERROR(AVERAGE(CS305!P16,CS305!P17,CS305!P18,CS305!P19,CS305!P20,CS305!P21,CS305!P22,CS305!P23,CS305!P24,CS305!P25,CS305!P26,CS305!P27,CS305!P28,CS305!P29,CS305!P30),0)</f>
        <v>0.933333333333333</v>
      </c>
    </row>
    <row r="31" customFormat="false" ht="19.5" hidden="false" customHeight="true" outlineLevel="0" collapsed="false">
      <c r="A31" s="105" t="n">
        <v>26</v>
      </c>
      <c r="B31" s="48" t="s">
        <v>355</v>
      </c>
      <c r="C31" s="67" t="s">
        <v>291</v>
      </c>
      <c r="D31" s="101" t="n">
        <f aca="false">CS305!D12</f>
        <v>6</v>
      </c>
      <c r="E31" s="106" t="str">
        <f aca="false">CHOOSE(CS305!D12,"Remember","Understand","Apply","Analyze","Evaluate","Create")</f>
        <v>Create</v>
      </c>
      <c r="F31" s="70" t="str">
        <f aca="false">IF(CS305!D12&lt;=2,"LOTS","HOTS")</f>
        <v>HOTS</v>
      </c>
      <c r="G31" s="78" t="n">
        <f aca="false">IF(CS305!D12&lt;=2,1,IF(CS305!D12&lt;=4,2,3))</f>
        <v>3</v>
      </c>
      <c r="H31" s="107" t="s">
        <v>10</v>
      </c>
      <c r="I31" s="107" t="s">
        <v>10</v>
      </c>
      <c r="J31" s="107" t="s">
        <v>10</v>
      </c>
      <c r="K31" s="107" t="s">
        <v>10</v>
      </c>
      <c r="L31" s="103" t="n">
        <f aca="false">IFERROR(AVERAGE(CS305!S16,CS305!S17,CS305!S18,CS305!S19,CS305!S20,CS305!S21,CS305!S22,CS305!S23,CS305!S24,CS305!S25,CS305!S26,CS305!S27,CS305!S28,CS305!S29,CS305!S30),0)</f>
        <v>1.73333333333333</v>
      </c>
    </row>
    <row r="34" customFormat="false" ht="21.75" hidden="false" customHeight="true" outlineLevel="0" collapsed="false">
      <c r="A34" s="108" t="s">
        <v>356</v>
      </c>
      <c r="B34" s="108"/>
      <c r="C34" s="108"/>
      <c r="D34" s="109" t="n">
        <f aca="false">COUNTIF(D6:D31,"&gt;2")</f>
        <v>24</v>
      </c>
      <c r="E34" s="110" t="str">
        <f aca="false">IFERROR(D34&amp;" of 26 COs ("+TEXT(D34/26,"0%")+" are HOTS)","")</f>
        <v/>
      </c>
      <c r="F34" s="110"/>
    </row>
    <row r="35" customFormat="false" ht="21.75" hidden="false" customHeight="true" outlineLevel="0" collapsed="false">
      <c r="A35" s="60" t="s">
        <v>357</v>
      </c>
      <c r="B35" s="60"/>
      <c r="C35" s="60"/>
      <c r="D35" s="111" t="n">
        <f aca="false">IFERROR(AVERAGE(D6:D31),0)</f>
        <v>4.38461538461539</v>
      </c>
    </row>
  </sheetData>
  <mergeCells count="13"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L4"/>
    <mergeCell ref="A34:C34"/>
    <mergeCell ref="E34:F34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4" min="3" style="1" width="9"/>
    <col collapsed="false" customWidth="true" hidden="false" outlineLevel="0" max="5" min="5" style="1" width="28"/>
    <col collapsed="false" customWidth="true" hidden="false" outlineLevel="0" max="7" min="6" style="1" width="9"/>
    <col collapsed="false" customWidth="true" hidden="false" outlineLevel="0" max="8" min="8" style="1" width="28"/>
    <col collapsed="false" customWidth="true" hidden="false" outlineLevel="0" max="10" min="9" style="1" width="9"/>
    <col collapsed="false" customWidth="true" hidden="false" outlineLevel="0" max="11" min="11" style="1" width="28"/>
    <col collapsed="false" customWidth="true" hidden="false" outlineLevel="0" max="13" min="12" style="1" width="9"/>
    <col collapsed="false" customWidth="true" hidden="false" outlineLevel="0" max="14" min="14" style="1" width="28"/>
    <col collapsed="false" customWidth="true" hidden="false" outlineLevel="0" max="16" min="15" style="1" width="9"/>
    <col collapsed="false" customWidth="true" hidden="false" outlineLevel="0" max="17" min="17" style="1" width="28"/>
  </cols>
  <sheetData>
    <row r="1" customFormat="false" ht="36" hidden="false" customHeight="true" outlineLevel="0" collapsed="false">
      <c r="A1" s="56" t="s">
        <v>358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3.5" hidden="false" customHeight="true" outlineLevel="0" collapsed="false">
      <c r="A2" s="57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4.5" hidden="false" customHeight="true" outlineLevel="0" collapsed="false"/>
    <row r="4" customFormat="false" ht="18" hidden="false" customHeight="true" outlineLevel="0" collapsed="false">
      <c r="A4" s="58" t="s">
        <v>132</v>
      </c>
      <c r="B4" s="58"/>
      <c r="C4" s="6" t="s">
        <v>133</v>
      </c>
      <c r="D4" s="10" t="s">
        <v>134</v>
      </c>
      <c r="E4" s="14" t="s">
        <v>135</v>
      </c>
      <c r="F4" s="18" t="s">
        <v>136</v>
      </c>
      <c r="G4" s="59" t="s">
        <v>137</v>
      </c>
      <c r="H4" s="59"/>
      <c r="I4" s="59"/>
      <c r="J4" s="59"/>
      <c r="K4" s="59"/>
      <c r="L4" s="59"/>
    </row>
    <row r="5" customFormat="false" ht="21.75" hidden="false" customHeight="true" outlineLevel="0" collapsed="false">
      <c r="A5" s="60" t="s">
        <v>138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customFormat="false" ht="19.5" hidden="false" customHeight="true" outlineLevel="0" collapsed="false">
      <c r="A6" s="61" t="s">
        <v>139</v>
      </c>
      <c r="B6" s="61" t="s">
        <v>140</v>
      </c>
      <c r="C6" s="62" t="s">
        <v>141</v>
      </c>
      <c r="D6" s="62" t="s">
        <v>142</v>
      </c>
      <c r="E6" s="63" t="s">
        <v>143</v>
      </c>
      <c r="F6" s="63" t="s">
        <v>144</v>
      </c>
      <c r="G6" s="64" t="s">
        <v>145</v>
      </c>
      <c r="H6" s="64"/>
      <c r="I6" s="64"/>
      <c r="J6" s="64"/>
      <c r="K6" s="64"/>
      <c r="L6" s="64"/>
    </row>
    <row r="7" customFormat="false" ht="21.75" hidden="false" customHeight="true" outlineLevel="0" collapsed="false">
      <c r="A7" s="65" t="s">
        <v>146</v>
      </c>
      <c r="B7" s="66" t="s">
        <v>359</v>
      </c>
      <c r="C7" s="67" t="s">
        <v>51</v>
      </c>
      <c r="D7" s="68" t="n">
        <v>4</v>
      </c>
      <c r="E7" s="69" t="str">
        <f aca="false">CHOOSE(D7,"Remember","Understand","Apply","Analyze","Evaluate","Create")</f>
        <v>Analyze</v>
      </c>
      <c r="F7" s="70" t="str">
        <f aca="false">IF(D7&lt;=2,"LOTS","HOTS")</f>
        <v>HOTS</v>
      </c>
      <c r="G7" s="9" t="s">
        <v>360</v>
      </c>
      <c r="H7" s="9"/>
      <c r="I7" s="9"/>
      <c r="J7" s="9"/>
      <c r="K7" s="9"/>
      <c r="L7" s="9"/>
    </row>
    <row r="8" customFormat="false" ht="21.75" hidden="false" customHeight="true" outlineLevel="0" collapsed="false">
      <c r="A8" s="65" t="s">
        <v>149</v>
      </c>
      <c r="B8" s="71" t="s">
        <v>361</v>
      </c>
      <c r="C8" s="67" t="s">
        <v>154</v>
      </c>
      <c r="D8" s="68" t="n">
        <v>6</v>
      </c>
      <c r="E8" s="69" t="str">
        <f aca="false">CHOOSE(D8,"Remember","Understand","Apply","Analyze","Evaluate","Create")</f>
        <v>Create</v>
      </c>
      <c r="F8" s="70" t="str">
        <f aca="false">IF(D8&lt;=2,"LOTS","HOTS")</f>
        <v>HOTS</v>
      </c>
      <c r="G8" s="72" t="s">
        <v>362</v>
      </c>
      <c r="H8" s="72"/>
      <c r="I8" s="72"/>
      <c r="J8" s="72"/>
      <c r="K8" s="72"/>
      <c r="L8" s="72"/>
    </row>
    <row r="9" customFormat="false" ht="21.75" hidden="false" customHeight="true" outlineLevel="0" collapsed="false">
      <c r="A9" s="65" t="s">
        <v>152</v>
      </c>
      <c r="B9" s="66" t="s">
        <v>363</v>
      </c>
      <c r="C9" s="67" t="s">
        <v>51</v>
      </c>
      <c r="D9" s="68" t="n">
        <v>4</v>
      </c>
      <c r="E9" s="69" t="str">
        <f aca="false">CHOOSE(D9,"Remember","Understand","Apply","Analyze","Evaluate","Create")</f>
        <v>Analyze</v>
      </c>
      <c r="F9" s="70" t="str">
        <f aca="false">IF(D9&lt;=2,"LOTS","HOTS")</f>
        <v>HOTS</v>
      </c>
      <c r="G9" s="9" t="s">
        <v>364</v>
      </c>
      <c r="H9" s="9"/>
      <c r="I9" s="9"/>
      <c r="J9" s="9"/>
      <c r="K9" s="9"/>
      <c r="L9" s="9"/>
    </row>
    <row r="10" customFormat="false" ht="21.75" hidden="false" customHeight="true" outlineLevel="0" collapsed="false">
      <c r="A10" s="65" t="s">
        <v>156</v>
      </c>
      <c r="B10" s="71" t="s">
        <v>365</v>
      </c>
      <c r="C10" s="67" t="s">
        <v>54</v>
      </c>
      <c r="D10" s="68" t="n">
        <v>5</v>
      </c>
      <c r="E10" s="69" t="str">
        <f aca="false">CHOOSE(D10,"Remember","Understand","Apply","Analyze","Evaluate","Create")</f>
        <v>Evaluate</v>
      </c>
      <c r="F10" s="70" t="str">
        <f aca="false">IF(D10&lt;=2,"LOTS","HOTS")</f>
        <v>HOTS</v>
      </c>
      <c r="G10" s="72" t="s">
        <v>366</v>
      </c>
      <c r="H10" s="72"/>
      <c r="I10" s="72"/>
      <c r="J10" s="72"/>
      <c r="K10" s="72"/>
      <c r="L10" s="72"/>
    </row>
    <row r="11" customFormat="false" ht="21.75" hidden="false" customHeight="true" outlineLevel="0" collapsed="false">
      <c r="A11" s="65" t="s">
        <v>159</v>
      </c>
      <c r="B11" s="66" t="s">
        <v>367</v>
      </c>
      <c r="C11" s="67" t="s">
        <v>161</v>
      </c>
      <c r="D11" s="68" t="n">
        <v>3</v>
      </c>
      <c r="E11" s="69" t="str">
        <f aca="false">CHOOSE(D11,"Remember","Understand","Apply","Analyze","Evaluate","Create")</f>
        <v>Apply</v>
      </c>
      <c r="F11" s="70" t="str">
        <f aca="false">IF(D11&lt;=2,"LOTS","HOTS")</f>
        <v>HOTS</v>
      </c>
      <c r="G11" s="9" t="s">
        <v>162</v>
      </c>
      <c r="H11" s="9"/>
      <c r="I11" s="9"/>
      <c r="J11" s="9"/>
      <c r="K11" s="9"/>
      <c r="L11" s="9"/>
    </row>
    <row r="13" customFormat="false" ht="21.75" hidden="false" customHeight="true" outlineLevel="0" collapsed="false">
      <c r="A13" s="73" t="s">
        <v>163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customFormat="false" ht="19.5" hidden="false" customHeight="true" outlineLevel="0" collapsed="false">
      <c r="A14" s="5" t="s">
        <v>164</v>
      </c>
      <c r="B14" s="5" t="s">
        <v>165</v>
      </c>
      <c r="C14" s="63" t="s">
        <v>166</v>
      </c>
      <c r="D14" s="74" t="s">
        <v>167</v>
      </c>
      <c r="E14" s="75" t="s">
        <v>168</v>
      </c>
      <c r="F14" s="63" t="s">
        <v>169</v>
      </c>
      <c r="G14" s="74" t="s">
        <v>170</v>
      </c>
      <c r="H14" s="75" t="s">
        <v>171</v>
      </c>
      <c r="I14" s="63" t="s">
        <v>172</v>
      </c>
      <c r="J14" s="74" t="s">
        <v>173</v>
      </c>
      <c r="K14" s="75" t="s">
        <v>174</v>
      </c>
      <c r="L14" s="63" t="s">
        <v>175</v>
      </c>
      <c r="M14" s="74" t="s">
        <v>176</v>
      </c>
      <c r="N14" s="75" t="s">
        <v>177</v>
      </c>
      <c r="O14" s="63" t="s">
        <v>178</v>
      </c>
      <c r="P14" s="74" t="s">
        <v>179</v>
      </c>
      <c r="Q14" s="75" t="s">
        <v>180</v>
      </c>
    </row>
    <row r="15" customFormat="false" ht="21.75" hidden="false" customHeight="true" outlineLevel="0" collapsed="false">
      <c r="A15" s="44" t="s">
        <v>64</v>
      </c>
      <c r="B15" s="76" t="s">
        <v>65</v>
      </c>
      <c r="C15" s="77" t="n">
        <v>2</v>
      </c>
      <c r="D15" s="78" t="n">
        <f aca="false">IFERROR(IF(C15=0,0,IF(D7&lt;=2,MIN(C15,1),IF(D7&lt;=4,MIN(C15,2),C15))),0)</f>
        <v>2</v>
      </c>
      <c r="E15" s="79" t="s">
        <v>368</v>
      </c>
      <c r="F15" s="77" t="n">
        <v>2</v>
      </c>
      <c r="G15" s="78" t="n">
        <f aca="false">IFERROR(IF(F15=0,0,IF(D8&lt;=2,MIN(F15,1),IF(D8&lt;=4,MIN(F15,2),F15))),0)</f>
        <v>2</v>
      </c>
      <c r="H15" s="79" t="s">
        <v>369</v>
      </c>
      <c r="I15" s="77" t="n">
        <v>2</v>
      </c>
      <c r="J15" s="78" t="n">
        <f aca="false">IFERROR(IF(I15=0,0,IF(D9&lt;=2,MIN(I15,1),IF(D9&lt;=4,MIN(I15,2),I15))),0)</f>
        <v>2</v>
      </c>
      <c r="K15" s="79" t="s">
        <v>370</v>
      </c>
      <c r="L15" s="77" t="n">
        <v>2</v>
      </c>
      <c r="M15" s="78" t="n">
        <f aca="false">IFERROR(IF(L15=0,0,IF(D10&lt;=2,MIN(L15,1),IF(D10&lt;=4,MIN(L15,2),L15))),0)</f>
        <v>2</v>
      </c>
      <c r="N15" s="79" t="s">
        <v>371</v>
      </c>
      <c r="O15" s="77" t="n">
        <v>2</v>
      </c>
      <c r="P15" s="78" t="n">
        <f aca="false">IFERROR(IF(O15=0,0,IF(D11&lt;=2,MIN(O15,1),IF(D11&lt;=4,MIN(O15,2),O15))),0)</f>
        <v>2</v>
      </c>
      <c r="Q15" s="79" t="s">
        <v>185</v>
      </c>
    </row>
    <row r="16" customFormat="false" ht="21.75" hidden="false" customHeight="true" outlineLevel="0" collapsed="false">
      <c r="A16" s="44" t="s">
        <v>67</v>
      </c>
      <c r="B16" s="80" t="s">
        <v>68</v>
      </c>
      <c r="C16" s="77" t="n">
        <v>3</v>
      </c>
      <c r="D16" s="78" t="n">
        <f aca="false">IFERROR(IF(C16=0,0,IF(D7&lt;=2,MIN(C16,1),IF(D7&lt;=4,MIN(C16,2),C16))),0)</f>
        <v>2</v>
      </c>
      <c r="E16" s="81" t="s">
        <v>239</v>
      </c>
      <c r="F16" s="77" t="n">
        <v>2</v>
      </c>
      <c r="G16" s="78" t="n">
        <f aca="false">IFERROR(IF(F16=0,0,IF(D8&lt;=2,MIN(F16,1),IF(D8&lt;=4,MIN(F16,2),F16))),0)</f>
        <v>2</v>
      </c>
      <c r="H16" s="81" t="s">
        <v>372</v>
      </c>
      <c r="I16" s="77" t="n">
        <v>3</v>
      </c>
      <c r="J16" s="78" t="n">
        <f aca="false">IFERROR(IF(I16=0,0,IF(D9&lt;=2,MIN(I16,1),IF(D9&lt;=4,MIN(I16,2),I16))),0)</f>
        <v>2</v>
      </c>
      <c r="K16" s="81" t="s">
        <v>239</v>
      </c>
      <c r="L16" s="77" t="n">
        <v>3</v>
      </c>
      <c r="M16" s="78" t="n">
        <f aca="false">IFERROR(IF(L16=0,0,IF(D10&lt;=2,MIN(L16,1),IF(D10&lt;=4,MIN(L16,2),L16))),0)</f>
        <v>3</v>
      </c>
      <c r="N16" s="81" t="s">
        <v>305</v>
      </c>
      <c r="O16" s="77" t="n">
        <v>2</v>
      </c>
      <c r="P16" s="78" t="n">
        <f aca="false">IFERROR(IF(O16=0,0,IF(D11&lt;=2,MIN(O16,1),IF(D11&lt;=4,MIN(O16,2),O16))),0)</f>
        <v>2</v>
      </c>
      <c r="Q16" s="81" t="s">
        <v>373</v>
      </c>
    </row>
    <row r="17" customFormat="false" ht="21.75" hidden="false" customHeight="true" outlineLevel="0" collapsed="false">
      <c r="A17" s="44" t="s">
        <v>70</v>
      </c>
      <c r="B17" s="76" t="s">
        <v>71</v>
      </c>
      <c r="C17" s="82" t="n">
        <v>0</v>
      </c>
      <c r="D17" s="78" t="n">
        <f aca="false">IFERROR(IF(C17=0,0,IF(D7&lt;=2,MIN(C17,1),IF(D7&lt;=4,MIN(C17,2),C17))),0)</f>
        <v>0</v>
      </c>
      <c r="E17" s="79"/>
      <c r="F17" s="77" t="n">
        <v>3</v>
      </c>
      <c r="G17" s="78" t="n">
        <f aca="false">IFERROR(IF(F17=0,0,IF(D8&lt;=2,MIN(F17,1),IF(D8&lt;=4,MIN(F17,2),F17))),0)</f>
        <v>3</v>
      </c>
      <c r="H17" s="79" t="s">
        <v>242</v>
      </c>
      <c r="I17" s="82" t="n">
        <v>0</v>
      </c>
      <c r="J17" s="78" t="n">
        <f aca="false">IFERROR(IF(I17=0,0,IF(D9&lt;=2,MIN(I17,1),IF(D9&lt;=4,MIN(I17,2),I17))),0)</f>
        <v>0</v>
      </c>
      <c r="K17" s="79"/>
      <c r="L17" s="82" t="n">
        <v>0</v>
      </c>
      <c r="M17" s="78" t="n">
        <f aca="false">IFERROR(IF(L17=0,0,IF(D10&lt;=2,MIN(L17,1),IF(D10&lt;=4,MIN(L17,2),L17))),0)</f>
        <v>0</v>
      </c>
      <c r="N17" s="79"/>
      <c r="O17" s="82" t="n">
        <v>0</v>
      </c>
      <c r="P17" s="78" t="n">
        <f aca="false">IFERROR(IF(O17=0,0,IF(D11&lt;=2,MIN(O17,1),IF(D11&lt;=4,MIN(O17,2),O17))),0)</f>
        <v>0</v>
      </c>
      <c r="Q17" s="79"/>
    </row>
    <row r="18" customFormat="false" ht="21.75" hidden="false" customHeight="true" outlineLevel="0" collapsed="false">
      <c r="A18" s="44" t="s">
        <v>73</v>
      </c>
      <c r="B18" s="80" t="s">
        <v>74</v>
      </c>
      <c r="C18" s="82" t="n">
        <v>0</v>
      </c>
      <c r="D18" s="78" t="n">
        <f aca="false">IFERROR(IF(C18=0,0,IF(D7&lt;=2,MIN(C18,1),IF(D7&lt;=4,MIN(C18,2),C18))),0)</f>
        <v>0</v>
      </c>
      <c r="E18" s="81"/>
      <c r="F18" s="77" t="n">
        <v>2</v>
      </c>
      <c r="G18" s="78" t="n">
        <f aca="false">IFERROR(IF(F18=0,0,IF(D8&lt;=2,MIN(F18,1),IF(D8&lt;=4,MIN(F18,2),F18))),0)</f>
        <v>2</v>
      </c>
      <c r="H18" s="81" t="s">
        <v>193</v>
      </c>
      <c r="I18" s="77" t="n">
        <v>2</v>
      </c>
      <c r="J18" s="78" t="n">
        <f aca="false">IFERROR(IF(I18=0,0,IF(D9&lt;=2,MIN(I18,1),IF(D9&lt;=4,MIN(I18,2),I18))),0)</f>
        <v>2</v>
      </c>
      <c r="K18" s="81" t="s">
        <v>374</v>
      </c>
      <c r="L18" s="82" t="n">
        <v>0</v>
      </c>
      <c r="M18" s="78" t="n">
        <f aca="false">IFERROR(IF(L18=0,0,IF(D10&lt;=2,MIN(L18,1),IF(D10&lt;=4,MIN(L18,2),L18))),0)</f>
        <v>0</v>
      </c>
      <c r="N18" s="81"/>
      <c r="O18" s="82" t="n">
        <v>0</v>
      </c>
      <c r="P18" s="78" t="n">
        <f aca="false">IFERROR(IF(O18=0,0,IF(D11&lt;=2,MIN(O18,1),IF(D11&lt;=4,MIN(O18,2),O18))),0)</f>
        <v>0</v>
      </c>
      <c r="Q18" s="81"/>
    </row>
    <row r="19" customFormat="false" ht="21.75" hidden="false" customHeight="true" outlineLevel="0" collapsed="false">
      <c r="A19" s="44" t="s">
        <v>76</v>
      </c>
      <c r="B19" s="76" t="s">
        <v>77</v>
      </c>
      <c r="C19" s="82" t="n">
        <v>0</v>
      </c>
      <c r="D19" s="78" t="n">
        <f aca="false">IFERROR(IF(C19=0,0,IF(D7&lt;=2,MIN(C19,1),IF(D7&lt;=4,MIN(C19,2),C19))),0)</f>
        <v>0</v>
      </c>
      <c r="E19" s="79"/>
      <c r="F19" s="82" t="n">
        <v>0</v>
      </c>
      <c r="G19" s="78" t="n">
        <f aca="false">IFERROR(IF(F19=0,0,IF(D8&lt;=2,MIN(F19,1),IF(D8&lt;=4,MIN(F19,2),F19))),0)</f>
        <v>0</v>
      </c>
      <c r="H19" s="79"/>
      <c r="I19" s="82" t="n">
        <v>0</v>
      </c>
      <c r="J19" s="78" t="n">
        <f aca="false">IFERROR(IF(I19=0,0,IF(D9&lt;=2,MIN(I19,1),IF(D9&lt;=4,MIN(I19,2),I19))),0)</f>
        <v>0</v>
      </c>
      <c r="K19" s="79"/>
      <c r="L19" s="77" t="n">
        <v>2</v>
      </c>
      <c r="M19" s="78" t="n">
        <f aca="false">IFERROR(IF(L19=0,0,IF(D10&lt;=2,MIN(L19,1),IF(D10&lt;=4,MIN(L19,2),L19))),0)</f>
        <v>2</v>
      </c>
      <c r="N19" s="79" t="s">
        <v>375</v>
      </c>
      <c r="O19" s="77" t="n">
        <v>2</v>
      </c>
      <c r="P19" s="78" t="n">
        <f aca="false">IFERROR(IF(O19=0,0,IF(D11&lt;=2,MIN(O19,1),IF(D11&lt;=4,MIN(O19,2),O19))),0)</f>
        <v>2</v>
      </c>
      <c r="Q19" s="79" t="s">
        <v>376</v>
      </c>
    </row>
    <row r="20" customFormat="false" ht="21.75" hidden="false" customHeight="true" outlineLevel="0" collapsed="false">
      <c r="A20" s="44" t="s">
        <v>79</v>
      </c>
      <c r="B20" s="80" t="s">
        <v>80</v>
      </c>
      <c r="C20" s="82" t="n">
        <v>0</v>
      </c>
      <c r="D20" s="78" t="n">
        <f aca="false">IFERROR(IF(C20=0,0,IF(D7&lt;=2,MIN(C20,1),IF(D7&lt;=4,MIN(C20,2),C20))),0)</f>
        <v>0</v>
      </c>
      <c r="E20" s="81"/>
      <c r="F20" s="82" t="n">
        <v>0</v>
      </c>
      <c r="G20" s="78" t="n">
        <f aca="false">IFERROR(IF(F20=0,0,IF(D8&lt;=2,MIN(F20,1),IF(D8&lt;=4,MIN(F20,2),F20))),0)</f>
        <v>0</v>
      </c>
      <c r="H20" s="81"/>
      <c r="I20" s="82" t="n">
        <v>0</v>
      </c>
      <c r="J20" s="78" t="n">
        <f aca="false">IFERROR(IF(I20=0,0,IF(D9&lt;=2,MIN(I20,1),IF(D9&lt;=4,MIN(I20,2),I20))),0)</f>
        <v>0</v>
      </c>
      <c r="K20" s="81"/>
      <c r="L20" s="82" t="n">
        <v>0</v>
      </c>
      <c r="M20" s="78" t="n">
        <f aca="false">IFERROR(IF(L20=0,0,IF(D10&lt;=2,MIN(L20,1),IF(D10&lt;=4,MIN(L20,2),L20))),0)</f>
        <v>0</v>
      </c>
      <c r="N20" s="81"/>
      <c r="O20" s="82" t="n">
        <v>0</v>
      </c>
      <c r="P20" s="78" t="n">
        <f aca="false">IFERROR(IF(O20=0,0,IF(D11&lt;=2,MIN(O20,1),IF(D11&lt;=4,MIN(O20,2),O20))),0)</f>
        <v>0</v>
      </c>
      <c r="Q20" s="81"/>
    </row>
    <row r="21" customFormat="false" ht="21.75" hidden="false" customHeight="true" outlineLevel="0" collapsed="false">
      <c r="A21" s="44" t="s">
        <v>82</v>
      </c>
      <c r="B21" s="76" t="s">
        <v>83</v>
      </c>
      <c r="C21" s="82" t="n">
        <v>0</v>
      </c>
      <c r="D21" s="78" t="n">
        <f aca="false">IFERROR(IF(C21=0,0,IF(D7&lt;=2,MIN(C21,1),IF(D7&lt;=4,MIN(C21,2),C21))),0)</f>
        <v>0</v>
      </c>
      <c r="E21" s="79"/>
      <c r="F21" s="82" t="n">
        <v>0</v>
      </c>
      <c r="G21" s="78" t="n">
        <f aca="false">IFERROR(IF(F21=0,0,IF(D8&lt;=2,MIN(F21,1),IF(D8&lt;=4,MIN(F21,2),F21))),0)</f>
        <v>0</v>
      </c>
      <c r="H21" s="79"/>
      <c r="I21" s="82" t="n">
        <v>0</v>
      </c>
      <c r="J21" s="78" t="n">
        <f aca="false">IFERROR(IF(I21=0,0,IF(D9&lt;=2,MIN(I21,1),IF(D9&lt;=4,MIN(I21,2),I21))),0)</f>
        <v>0</v>
      </c>
      <c r="K21" s="79"/>
      <c r="L21" s="82" t="n">
        <v>0</v>
      </c>
      <c r="M21" s="78" t="n">
        <f aca="false">IFERROR(IF(L21=0,0,IF(D10&lt;=2,MIN(L21,1),IF(D10&lt;=4,MIN(L21,2),L21))),0)</f>
        <v>0</v>
      </c>
      <c r="N21" s="79"/>
      <c r="O21" s="82" t="n">
        <v>0</v>
      </c>
      <c r="P21" s="78" t="n">
        <f aca="false">IFERROR(IF(O21=0,0,IF(D11&lt;=2,MIN(O21,1),IF(D11&lt;=4,MIN(O21,2),O21))),0)</f>
        <v>0</v>
      </c>
      <c r="Q21" s="79"/>
    </row>
    <row r="22" customFormat="false" ht="21.75" hidden="false" customHeight="true" outlineLevel="0" collapsed="false">
      <c r="A22" s="44" t="s">
        <v>85</v>
      </c>
      <c r="B22" s="80" t="s">
        <v>86</v>
      </c>
      <c r="C22" s="82" t="n">
        <v>0</v>
      </c>
      <c r="D22" s="78" t="n">
        <f aca="false">IFERROR(IF(C22=0,0,IF(D7&lt;=2,MIN(C22,1),IF(D7&lt;=4,MIN(C22,2),C22))),0)</f>
        <v>0</v>
      </c>
      <c r="E22" s="81"/>
      <c r="F22" s="82" t="n">
        <v>0</v>
      </c>
      <c r="G22" s="78" t="n">
        <f aca="false">IFERROR(IF(F22=0,0,IF(D8&lt;=2,MIN(F22,1),IF(D8&lt;=4,MIN(F22,2),F22))),0)</f>
        <v>0</v>
      </c>
      <c r="H22" s="81"/>
      <c r="I22" s="82" t="n">
        <v>0</v>
      </c>
      <c r="J22" s="78" t="n">
        <f aca="false">IFERROR(IF(I22=0,0,IF(D9&lt;=2,MIN(I22,1),IF(D9&lt;=4,MIN(I22,2),I22))),0)</f>
        <v>0</v>
      </c>
      <c r="K22" s="81"/>
      <c r="L22" s="82" t="n">
        <v>0</v>
      </c>
      <c r="M22" s="78" t="n">
        <f aca="false">IFERROR(IF(L22=0,0,IF(D10&lt;=2,MIN(L22,1),IF(D10&lt;=4,MIN(L22,2),L22))),0)</f>
        <v>0</v>
      </c>
      <c r="N22" s="81"/>
      <c r="O22" s="82" t="n">
        <v>0</v>
      </c>
      <c r="P22" s="78" t="n">
        <f aca="false">IFERROR(IF(O22=0,0,IF(D11&lt;=2,MIN(O22,1),IF(D11&lt;=4,MIN(O22,2),O22))),0)</f>
        <v>0</v>
      </c>
      <c r="Q22" s="81"/>
    </row>
    <row r="23" customFormat="false" ht="21.75" hidden="false" customHeight="true" outlineLevel="0" collapsed="false">
      <c r="A23" s="44" t="s">
        <v>88</v>
      </c>
      <c r="B23" s="76" t="s">
        <v>89</v>
      </c>
      <c r="C23" s="82" t="n">
        <v>0</v>
      </c>
      <c r="D23" s="78" t="n">
        <f aca="false">IFERROR(IF(C23=0,0,IF(D7&lt;=2,MIN(C23,1),IF(D7&lt;=4,MIN(C23,2),C23))),0)</f>
        <v>0</v>
      </c>
      <c r="E23" s="79"/>
      <c r="F23" s="82" t="n">
        <v>0</v>
      </c>
      <c r="G23" s="78" t="n">
        <f aca="false">IFERROR(IF(F23=0,0,IF(D8&lt;=2,MIN(F23,1),IF(D8&lt;=4,MIN(F23,2),F23))),0)</f>
        <v>0</v>
      </c>
      <c r="H23" s="79"/>
      <c r="I23" s="82" t="n">
        <v>0</v>
      </c>
      <c r="J23" s="78" t="n">
        <f aca="false">IFERROR(IF(I23=0,0,IF(D9&lt;=2,MIN(I23,1),IF(D9&lt;=4,MIN(I23,2),I23))),0)</f>
        <v>0</v>
      </c>
      <c r="K23" s="79"/>
      <c r="L23" s="82" t="n">
        <v>0</v>
      </c>
      <c r="M23" s="78" t="n">
        <f aca="false">IFERROR(IF(L23=0,0,IF(D10&lt;=2,MIN(L23,1),IF(D10&lt;=4,MIN(L23,2),L23))),0)</f>
        <v>0</v>
      </c>
      <c r="N23" s="79"/>
      <c r="O23" s="82" t="n">
        <v>0</v>
      </c>
      <c r="P23" s="78" t="n">
        <f aca="false">IFERROR(IF(O23=0,0,IF(D11&lt;=2,MIN(O23,1),IF(D11&lt;=4,MIN(O23,2),O23))),0)</f>
        <v>0</v>
      </c>
      <c r="Q23" s="79"/>
    </row>
    <row r="24" customFormat="false" ht="21.75" hidden="false" customHeight="true" outlineLevel="0" collapsed="false">
      <c r="A24" s="44" t="s">
        <v>91</v>
      </c>
      <c r="B24" s="80" t="s">
        <v>92</v>
      </c>
      <c r="C24" s="82" t="n">
        <v>0</v>
      </c>
      <c r="D24" s="78" t="n">
        <f aca="false">IFERROR(IF(C24=0,0,IF(D7&lt;=2,MIN(C24,1),IF(D7&lt;=4,MIN(C24,2),C24))),0)</f>
        <v>0</v>
      </c>
      <c r="E24" s="81"/>
      <c r="F24" s="82" t="n">
        <v>0</v>
      </c>
      <c r="G24" s="78" t="n">
        <f aca="false">IFERROR(IF(F24=0,0,IF(D8&lt;=2,MIN(F24,1),IF(D8&lt;=4,MIN(F24,2),F24))),0)</f>
        <v>0</v>
      </c>
      <c r="H24" s="81"/>
      <c r="I24" s="82" t="n">
        <v>0</v>
      </c>
      <c r="J24" s="78" t="n">
        <f aca="false">IFERROR(IF(I24=0,0,IF(D9&lt;=2,MIN(I24,1),IF(D9&lt;=4,MIN(I24,2),I24))),0)</f>
        <v>0</v>
      </c>
      <c r="K24" s="81"/>
      <c r="L24" s="82" t="n">
        <v>0</v>
      </c>
      <c r="M24" s="78" t="n">
        <f aca="false">IFERROR(IF(L24=0,0,IF(D10&lt;=2,MIN(L24,1),IF(D10&lt;=4,MIN(L24,2),L24))),0)</f>
        <v>0</v>
      </c>
      <c r="N24" s="81"/>
      <c r="O24" s="82" t="n">
        <v>0</v>
      </c>
      <c r="P24" s="78" t="n">
        <f aca="false">IFERROR(IF(O24=0,0,IF(D11&lt;=2,MIN(O24,1),IF(D11&lt;=4,MIN(O24,2),O24))),0)</f>
        <v>0</v>
      </c>
      <c r="Q24" s="81"/>
    </row>
    <row r="25" customFormat="false" ht="21.75" hidden="false" customHeight="true" outlineLevel="0" collapsed="false">
      <c r="A25" s="44" t="s">
        <v>94</v>
      </c>
      <c r="B25" s="76" t="s">
        <v>95</v>
      </c>
      <c r="C25" s="82" t="n">
        <v>0</v>
      </c>
      <c r="D25" s="78" t="n">
        <f aca="false">IFERROR(IF(C25=0,0,IF(D7&lt;=2,MIN(C25,1),IF(D7&lt;=4,MIN(C25,2),C25))),0)</f>
        <v>0</v>
      </c>
      <c r="E25" s="79"/>
      <c r="F25" s="82" t="n">
        <v>0</v>
      </c>
      <c r="G25" s="78" t="n">
        <f aca="false">IFERROR(IF(F25=0,0,IF(D8&lt;=2,MIN(F25,1),IF(D8&lt;=4,MIN(F25,2),F25))),0)</f>
        <v>0</v>
      </c>
      <c r="H25" s="79"/>
      <c r="I25" s="82" t="n">
        <v>0</v>
      </c>
      <c r="J25" s="78" t="n">
        <f aca="false">IFERROR(IF(I25=0,0,IF(D9&lt;=2,MIN(I25,1),IF(D9&lt;=4,MIN(I25,2),I25))),0)</f>
        <v>0</v>
      </c>
      <c r="K25" s="79"/>
      <c r="L25" s="82" t="n">
        <v>0</v>
      </c>
      <c r="M25" s="78" t="n">
        <f aca="false">IFERROR(IF(L25=0,0,IF(D10&lt;=2,MIN(L25,1),IF(D10&lt;=4,MIN(L25,2),L25))),0)</f>
        <v>0</v>
      </c>
      <c r="N25" s="79"/>
      <c r="O25" s="82" t="n">
        <v>0</v>
      </c>
      <c r="P25" s="78" t="n">
        <f aca="false">IFERROR(IF(O25=0,0,IF(D11&lt;=2,MIN(O25,1),IF(D11&lt;=4,MIN(O25,2),O25))),0)</f>
        <v>0</v>
      </c>
      <c r="Q25" s="79"/>
    </row>
    <row r="26" customFormat="false" ht="21.75" hidden="false" customHeight="true" outlineLevel="0" collapsed="false">
      <c r="A26" s="44" t="s">
        <v>97</v>
      </c>
      <c r="B26" s="80" t="s">
        <v>98</v>
      </c>
      <c r="C26" s="77" t="n">
        <v>1</v>
      </c>
      <c r="D26" s="78" t="n">
        <f aca="false">IFERROR(IF(C26=0,0,IF(D7&lt;=2,MIN(C26,1),IF(D7&lt;=4,MIN(C26,2),C26))),0)</f>
        <v>1</v>
      </c>
      <c r="E26" s="81" t="s">
        <v>197</v>
      </c>
      <c r="F26" s="82" t="n">
        <v>0</v>
      </c>
      <c r="G26" s="78" t="n">
        <f aca="false">IFERROR(IF(F26=0,0,IF(D8&lt;=2,MIN(F26,1),IF(D8&lt;=4,MIN(F26,2),F26))),0)</f>
        <v>0</v>
      </c>
      <c r="H26" s="81"/>
      <c r="I26" s="77" t="n">
        <v>1</v>
      </c>
      <c r="J26" s="78" t="n">
        <f aca="false">IFERROR(IF(I26=0,0,IF(D9&lt;=2,MIN(I26,1),IF(D9&lt;=4,MIN(I26,2),I26))),0)</f>
        <v>1</v>
      </c>
      <c r="K26" s="81" t="s">
        <v>377</v>
      </c>
      <c r="L26" s="82" t="n">
        <v>0</v>
      </c>
      <c r="M26" s="78" t="n">
        <f aca="false">IFERROR(IF(L26=0,0,IF(D10&lt;=2,MIN(L26,1),IF(D10&lt;=4,MIN(L26,2),L26))),0)</f>
        <v>0</v>
      </c>
      <c r="N26" s="81"/>
      <c r="O26" s="77" t="n">
        <v>1</v>
      </c>
      <c r="P26" s="78" t="n">
        <f aca="false">IFERROR(IF(O26=0,0,IF(D11&lt;=2,MIN(O26,1),IF(D11&lt;=4,MIN(O26,2),O26))),0)</f>
        <v>1</v>
      </c>
      <c r="Q26" s="81" t="s">
        <v>312</v>
      </c>
    </row>
    <row r="27" customFormat="false" ht="21.75" hidden="false" customHeight="true" outlineLevel="0" collapsed="false">
      <c r="A27" s="83" t="s">
        <v>202</v>
      </c>
      <c r="B27" s="76" t="s">
        <v>203</v>
      </c>
      <c r="C27" s="77" t="n">
        <v>2</v>
      </c>
      <c r="D27" s="78" t="n">
        <f aca="false">IFERROR(IF(C27=0,0,IF(D7&lt;=2,MIN(C27,1),IF(D7&lt;=4,MIN(C27,2),C27))),0)</f>
        <v>2</v>
      </c>
      <c r="E27" s="79" t="s">
        <v>378</v>
      </c>
      <c r="F27" s="77" t="n">
        <v>3</v>
      </c>
      <c r="G27" s="78" t="n">
        <f aca="false">IFERROR(IF(F27=0,0,IF(D8&lt;=2,MIN(F27,1),IF(D8&lt;=4,MIN(F27,2),F27))),0)</f>
        <v>3</v>
      </c>
      <c r="H27" s="79" t="s">
        <v>379</v>
      </c>
      <c r="I27" s="77" t="n">
        <v>3</v>
      </c>
      <c r="J27" s="78" t="n">
        <f aca="false">IFERROR(IF(I27=0,0,IF(D9&lt;=2,MIN(I27,1),IF(D9&lt;=4,MIN(I27,2),I27))),0)</f>
        <v>2</v>
      </c>
      <c r="K27" s="79" t="s">
        <v>380</v>
      </c>
      <c r="L27" s="77" t="n">
        <v>2</v>
      </c>
      <c r="M27" s="78" t="n">
        <f aca="false">IFERROR(IF(L27=0,0,IF(D10&lt;=2,MIN(L27,1),IF(D10&lt;=4,MIN(L27,2),L27))),0)</f>
        <v>2</v>
      </c>
      <c r="N27" s="79" t="s">
        <v>381</v>
      </c>
      <c r="O27" s="77" t="n">
        <v>2</v>
      </c>
      <c r="P27" s="78" t="n">
        <f aca="false">IFERROR(IF(O27=0,0,IF(D11&lt;=2,MIN(O27,1),IF(D11&lt;=4,MIN(O27,2),O27))),0)</f>
        <v>2</v>
      </c>
      <c r="Q27" s="79" t="s">
        <v>382</v>
      </c>
    </row>
    <row r="28" customFormat="false" ht="21.75" hidden="false" customHeight="true" outlineLevel="0" collapsed="false">
      <c r="A28" s="83" t="s">
        <v>209</v>
      </c>
      <c r="B28" s="80" t="s">
        <v>210</v>
      </c>
      <c r="C28" s="77" t="n">
        <v>1</v>
      </c>
      <c r="D28" s="78" t="n">
        <f aca="false">IFERROR(IF(C28=0,0,IF(D7&lt;=2,MIN(C28,1),IF(D7&lt;=4,MIN(C28,2),C28))),0)</f>
        <v>1</v>
      </c>
      <c r="E28" s="81" t="s">
        <v>212</v>
      </c>
      <c r="F28" s="77" t="n">
        <v>2</v>
      </c>
      <c r="G28" s="78" t="n">
        <f aca="false">IFERROR(IF(F28=0,0,IF(D8&lt;=2,MIN(F28,1),IF(D8&lt;=4,MIN(F28,2),F28))),0)</f>
        <v>2</v>
      </c>
      <c r="H28" s="81" t="s">
        <v>383</v>
      </c>
      <c r="I28" s="77" t="n">
        <v>1</v>
      </c>
      <c r="J28" s="78" t="n">
        <f aca="false">IFERROR(IF(I28=0,0,IF(D9&lt;=2,MIN(I28,1),IF(D9&lt;=4,MIN(I28,2),I28))),0)</f>
        <v>1</v>
      </c>
      <c r="K28" s="81" t="s">
        <v>384</v>
      </c>
      <c r="L28" s="77" t="n">
        <v>2</v>
      </c>
      <c r="M28" s="78" t="n">
        <f aca="false">IFERROR(IF(L28=0,0,IF(D10&lt;=2,MIN(L28,1),IF(D10&lt;=4,MIN(L28,2),L28))),0)</f>
        <v>2</v>
      </c>
      <c r="N28" s="81" t="s">
        <v>385</v>
      </c>
      <c r="O28" s="77" t="n">
        <v>2</v>
      </c>
      <c r="P28" s="78" t="n">
        <f aca="false">IFERROR(IF(O28=0,0,IF(D11&lt;=2,MIN(O28,1),IF(D11&lt;=4,MIN(O28,2),O28))),0)</f>
        <v>2</v>
      </c>
      <c r="Q28" s="81" t="s">
        <v>213</v>
      </c>
    </row>
    <row r="29" customFormat="false" ht="21.75" hidden="false" customHeight="true" outlineLevel="0" collapsed="false">
      <c r="A29" s="83" t="s">
        <v>216</v>
      </c>
      <c r="B29" s="76" t="s">
        <v>217</v>
      </c>
      <c r="C29" s="82" t="n">
        <v>0</v>
      </c>
      <c r="D29" s="78" t="n">
        <f aca="false">IFERROR(IF(C29=0,0,IF(D7&lt;=2,MIN(C29,1),IF(D7&lt;=4,MIN(C29,2),C29))),0)</f>
        <v>0</v>
      </c>
      <c r="E29" s="79"/>
      <c r="F29" s="82" t="n">
        <v>0</v>
      </c>
      <c r="G29" s="78" t="n">
        <f aca="false">IFERROR(IF(F29=0,0,IF(D8&lt;=2,MIN(F29,1),IF(D8&lt;=4,MIN(F29,2),F29))),0)</f>
        <v>0</v>
      </c>
      <c r="H29" s="79"/>
      <c r="I29" s="82" t="n">
        <v>0</v>
      </c>
      <c r="J29" s="78" t="n">
        <f aca="false">IFERROR(IF(I29=0,0,IF(D9&lt;=2,MIN(I29,1),IF(D9&lt;=4,MIN(I29,2),I29))),0)</f>
        <v>0</v>
      </c>
      <c r="K29" s="79"/>
      <c r="L29" s="82" t="n">
        <v>0</v>
      </c>
      <c r="M29" s="78" t="n">
        <f aca="false">IFERROR(IF(L29=0,0,IF(D10&lt;=2,MIN(L29,1),IF(D10&lt;=4,MIN(L29,2),L29))),0)</f>
        <v>0</v>
      </c>
      <c r="N29" s="79"/>
      <c r="O29" s="82" t="n">
        <v>0</v>
      </c>
      <c r="P29" s="78" t="n">
        <f aca="false">IFERROR(IF(O29=0,0,IF(D11&lt;=2,MIN(O29,1),IF(D11&lt;=4,MIN(O29,2),O29))),0)</f>
        <v>0</v>
      </c>
      <c r="Q29" s="79"/>
    </row>
    <row r="31" customFormat="false" ht="21.75" hidden="false" customHeight="true" outlineLevel="0" collapsed="false">
      <c r="A31" s="84" t="s">
        <v>220</v>
      </c>
      <c r="B31" s="84"/>
      <c r="C31" s="85"/>
      <c r="D31" s="86" t="n">
        <f aca="false">IFERROR(AVERAGE(D15:D29),0)</f>
        <v>0.533333333333333</v>
      </c>
      <c r="E31" s="85"/>
      <c r="F31" s="85"/>
      <c r="G31" s="86" t="n">
        <f aca="false">IFERROR(AVERAGE(G15:G29),0)</f>
        <v>0.933333333333333</v>
      </c>
      <c r="H31" s="85"/>
      <c r="I31" s="85"/>
      <c r="J31" s="86" t="n">
        <f aca="false">IFERROR(AVERAGE(J15:J29),0)</f>
        <v>0.666666666666667</v>
      </c>
      <c r="K31" s="85"/>
      <c r="L31" s="85"/>
      <c r="M31" s="86" t="n">
        <f aca="false">IFERROR(AVERAGE(M15:M29),0)</f>
        <v>0.733333333333333</v>
      </c>
      <c r="N31" s="85"/>
      <c r="O31" s="85"/>
      <c r="P31" s="86" t="n">
        <f aca="false">IFERROR(AVERAGE(P15:P29),0)</f>
        <v>0.733333333333333</v>
      </c>
      <c r="Q31" s="85"/>
    </row>
  </sheetData>
  <mergeCells count="13">
    <mergeCell ref="A1:L1"/>
    <mergeCell ref="A2:L2"/>
    <mergeCell ref="A4:B4"/>
    <mergeCell ref="G4:L4"/>
    <mergeCell ref="A5:L5"/>
    <mergeCell ref="G6:L6"/>
    <mergeCell ref="G7:L7"/>
    <mergeCell ref="G8:L8"/>
    <mergeCell ref="G9:L9"/>
    <mergeCell ref="G10:L10"/>
    <mergeCell ref="G11:L11"/>
    <mergeCell ref="A13:L13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4" min="3" style="1" width="9"/>
    <col collapsed="false" customWidth="true" hidden="false" outlineLevel="0" max="5" min="5" style="1" width="28"/>
    <col collapsed="false" customWidth="true" hidden="false" outlineLevel="0" max="7" min="6" style="1" width="9"/>
    <col collapsed="false" customWidth="true" hidden="false" outlineLevel="0" max="8" min="8" style="1" width="28"/>
    <col collapsed="false" customWidth="true" hidden="false" outlineLevel="0" max="10" min="9" style="1" width="9"/>
    <col collapsed="false" customWidth="true" hidden="false" outlineLevel="0" max="11" min="11" style="1" width="28"/>
    <col collapsed="false" customWidth="true" hidden="false" outlineLevel="0" max="13" min="12" style="1" width="9"/>
    <col collapsed="false" customWidth="true" hidden="false" outlineLevel="0" max="14" min="14" style="1" width="28"/>
    <col collapsed="false" customWidth="true" hidden="false" outlineLevel="0" max="16" min="15" style="1" width="9"/>
    <col collapsed="false" customWidth="true" hidden="false" outlineLevel="0" max="17" min="17" style="1" width="28"/>
    <col collapsed="false" customWidth="true" hidden="false" outlineLevel="0" max="19" min="18" style="1" width="9"/>
    <col collapsed="false" customWidth="true" hidden="false" outlineLevel="0" max="20" min="20" style="1" width="28"/>
  </cols>
  <sheetData>
    <row r="1" customFormat="false" ht="36" hidden="false" customHeight="true" outlineLevel="0" collapsed="false">
      <c r="A1" s="56" t="s">
        <v>386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3.5" hidden="false" customHeight="true" outlineLevel="0" collapsed="false">
      <c r="A2" s="57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4.5" hidden="false" customHeight="true" outlineLevel="0" collapsed="false"/>
    <row r="4" customFormat="false" ht="18" hidden="false" customHeight="true" outlineLevel="0" collapsed="false">
      <c r="A4" s="58" t="s">
        <v>132</v>
      </c>
      <c r="B4" s="58"/>
      <c r="C4" s="6" t="s">
        <v>133</v>
      </c>
      <c r="D4" s="10" t="s">
        <v>134</v>
      </c>
      <c r="E4" s="14" t="s">
        <v>135</v>
      </c>
      <c r="F4" s="18" t="s">
        <v>136</v>
      </c>
      <c r="G4" s="59" t="s">
        <v>137</v>
      </c>
      <c r="H4" s="59"/>
      <c r="I4" s="59"/>
      <c r="J4" s="59"/>
      <c r="K4" s="59"/>
      <c r="L4" s="59"/>
    </row>
    <row r="5" customFormat="false" ht="21.75" hidden="false" customHeight="true" outlineLevel="0" collapsed="false">
      <c r="A5" s="60" t="s">
        <v>138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customFormat="false" ht="19.5" hidden="false" customHeight="true" outlineLevel="0" collapsed="false">
      <c r="A6" s="61" t="s">
        <v>139</v>
      </c>
      <c r="B6" s="61" t="s">
        <v>140</v>
      </c>
      <c r="C6" s="62" t="s">
        <v>141</v>
      </c>
      <c r="D6" s="62" t="s">
        <v>142</v>
      </c>
      <c r="E6" s="63" t="s">
        <v>143</v>
      </c>
      <c r="F6" s="63" t="s">
        <v>144</v>
      </c>
      <c r="G6" s="64" t="s">
        <v>145</v>
      </c>
      <c r="H6" s="64"/>
      <c r="I6" s="64"/>
      <c r="J6" s="64"/>
      <c r="K6" s="64"/>
      <c r="L6" s="64"/>
    </row>
    <row r="7" customFormat="false" ht="21.75" hidden="false" customHeight="true" outlineLevel="0" collapsed="false">
      <c r="A7" s="65" t="s">
        <v>146</v>
      </c>
      <c r="B7" s="66" t="s">
        <v>387</v>
      </c>
      <c r="C7" s="67" t="s">
        <v>46</v>
      </c>
      <c r="D7" s="68" t="n">
        <v>3</v>
      </c>
      <c r="E7" s="69" t="str">
        <f aca="false">CHOOSE(D7,"Remember","Understand","Apply","Analyze","Evaluate","Create")</f>
        <v>Apply</v>
      </c>
      <c r="F7" s="70" t="str">
        <f aca="false">IF(D7&lt;=2,"LOTS","HOTS")</f>
        <v>HOTS</v>
      </c>
      <c r="G7" s="9" t="s">
        <v>388</v>
      </c>
      <c r="H7" s="9"/>
      <c r="I7" s="9"/>
      <c r="J7" s="9"/>
      <c r="K7" s="9"/>
      <c r="L7" s="9"/>
    </row>
    <row r="8" customFormat="false" ht="21.75" hidden="false" customHeight="true" outlineLevel="0" collapsed="false">
      <c r="A8" s="65" t="s">
        <v>149</v>
      </c>
      <c r="B8" s="71" t="s">
        <v>389</v>
      </c>
      <c r="C8" s="67" t="s">
        <v>51</v>
      </c>
      <c r="D8" s="68" t="n">
        <v>4</v>
      </c>
      <c r="E8" s="69" t="str">
        <f aca="false">CHOOSE(D8,"Remember","Understand","Apply","Analyze","Evaluate","Create")</f>
        <v>Analyze</v>
      </c>
      <c r="F8" s="70" t="str">
        <f aca="false">IF(D8&lt;=2,"LOTS","HOTS")</f>
        <v>HOTS</v>
      </c>
      <c r="G8" s="72" t="s">
        <v>390</v>
      </c>
      <c r="H8" s="72"/>
      <c r="I8" s="72"/>
      <c r="J8" s="72"/>
      <c r="K8" s="72"/>
      <c r="L8" s="72"/>
    </row>
    <row r="9" customFormat="false" ht="21.75" hidden="false" customHeight="true" outlineLevel="0" collapsed="false">
      <c r="A9" s="65" t="s">
        <v>152</v>
      </c>
      <c r="B9" s="66" t="s">
        <v>391</v>
      </c>
      <c r="C9" s="67" t="s">
        <v>154</v>
      </c>
      <c r="D9" s="68" t="n">
        <v>6</v>
      </c>
      <c r="E9" s="69" t="str">
        <f aca="false">CHOOSE(D9,"Remember","Understand","Apply","Analyze","Evaluate","Create")</f>
        <v>Create</v>
      </c>
      <c r="F9" s="70" t="str">
        <f aca="false">IF(D9&lt;=2,"LOTS","HOTS")</f>
        <v>HOTS</v>
      </c>
      <c r="G9" s="9" t="s">
        <v>392</v>
      </c>
      <c r="H9" s="9"/>
      <c r="I9" s="9"/>
      <c r="J9" s="9"/>
      <c r="K9" s="9"/>
      <c r="L9" s="9"/>
    </row>
    <row r="10" customFormat="false" ht="21.75" hidden="false" customHeight="true" outlineLevel="0" collapsed="false">
      <c r="A10" s="65" t="s">
        <v>156</v>
      </c>
      <c r="B10" s="71" t="s">
        <v>393</v>
      </c>
      <c r="C10" s="67" t="s">
        <v>54</v>
      </c>
      <c r="D10" s="68" t="n">
        <v>5</v>
      </c>
      <c r="E10" s="69" t="str">
        <f aca="false">CHOOSE(D10,"Remember","Understand","Apply","Analyze","Evaluate","Create")</f>
        <v>Evaluate</v>
      </c>
      <c r="F10" s="70" t="str">
        <f aca="false">IF(D10&lt;=2,"LOTS","HOTS")</f>
        <v>HOTS</v>
      </c>
      <c r="G10" s="72" t="s">
        <v>394</v>
      </c>
      <c r="H10" s="72"/>
      <c r="I10" s="72"/>
      <c r="J10" s="72"/>
      <c r="K10" s="72"/>
      <c r="L10" s="72"/>
    </row>
    <row r="11" customFormat="false" ht="21.75" hidden="false" customHeight="true" outlineLevel="0" collapsed="false">
      <c r="A11" s="65" t="s">
        <v>159</v>
      </c>
      <c r="B11" s="66" t="s">
        <v>395</v>
      </c>
      <c r="C11" s="67" t="s">
        <v>289</v>
      </c>
      <c r="D11" s="68" t="n">
        <v>4</v>
      </c>
      <c r="E11" s="69" t="str">
        <f aca="false">CHOOSE(D11,"Remember","Understand","Apply","Analyze","Evaluate","Create")</f>
        <v>Analyze</v>
      </c>
      <c r="F11" s="70" t="str">
        <f aca="false">IF(D11&lt;=2,"LOTS","HOTS")</f>
        <v>HOTS</v>
      </c>
      <c r="G11" s="9" t="s">
        <v>396</v>
      </c>
      <c r="H11" s="9"/>
      <c r="I11" s="9"/>
      <c r="J11" s="9"/>
      <c r="K11" s="9"/>
      <c r="L11" s="9"/>
    </row>
    <row r="12" customFormat="false" ht="21.75" hidden="false" customHeight="true" outlineLevel="0" collapsed="false">
      <c r="A12" s="65" t="s">
        <v>290</v>
      </c>
      <c r="B12" s="71" t="s">
        <v>397</v>
      </c>
      <c r="C12" s="67" t="s">
        <v>291</v>
      </c>
      <c r="D12" s="68" t="n">
        <v>6</v>
      </c>
      <c r="E12" s="69" t="str">
        <f aca="false">CHOOSE(D12,"Remember","Understand","Apply","Analyze","Evaluate","Create")</f>
        <v>Create</v>
      </c>
      <c r="F12" s="70" t="str">
        <f aca="false">IF(D12&lt;=2,"LOTS","HOTS")</f>
        <v>HOTS</v>
      </c>
      <c r="G12" s="72" t="s">
        <v>398</v>
      </c>
      <c r="H12" s="72"/>
      <c r="I12" s="72"/>
      <c r="J12" s="72"/>
      <c r="K12" s="72"/>
      <c r="L12" s="72"/>
    </row>
    <row r="14" customFormat="false" ht="21.75" hidden="false" customHeight="true" outlineLevel="0" collapsed="false">
      <c r="A14" s="73" t="s">
        <v>163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customFormat="false" ht="19.5" hidden="false" customHeight="true" outlineLevel="0" collapsed="false">
      <c r="A15" s="5" t="s">
        <v>164</v>
      </c>
      <c r="B15" s="5" t="s">
        <v>165</v>
      </c>
      <c r="C15" s="63" t="s">
        <v>166</v>
      </c>
      <c r="D15" s="74" t="s">
        <v>167</v>
      </c>
      <c r="E15" s="75" t="s">
        <v>168</v>
      </c>
      <c r="F15" s="63" t="s">
        <v>169</v>
      </c>
      <c r="G15" s="74" t="s">
        <v>170</v>
      </c>
      <c r="H15" s="75" t="s">
        <v>171</v>
      </c>
      <c r="I15" s="63" t="s">
        <v>172</v>
      </c>
      <c r="J15" s="74" t="s">
        <v>173</v>
      </c>
      <c r="K15" s="75" t="s">
        <v>174</v>
      </c>
      <c r="L15" s="63" t="s">
        <v>175</v>
      </c>
      <c r="M15" s="74" t="s">
        <v>176</v>
      </c>
      <c r="N15" s="75" t="s">
        <v>177</v>
      </c>
      <c r="O15" s="63" t="s">
        <v>178</v>
      </c>
      <c r="P15" s="74" t="s">
        <v>179</v>
      </c>
      <c r="Q15" s="75" t="s">
        <v>180</v>
      </c>
      <c r="R15" s="63" t="s">
        <v>399</v>
      </c>
      <c r="S15" s="74" t="s">
        <v>400</v>
      </c>
      <c r="T15" s="75" t="s">
        <v>401</v>
      </c>
    </row>
    <row r="16" customFormat="false" ht="21.75" hidden="false" customHeight="true" outlineLevel="0" collapsed="false">
      <c r="A16" s="44" t="s">
        <v>64</v>
      </c>
      <c r="B16" s="76" t="s">
        <v>65</v>
      </c>
      <c r="C16" s="77" t="n">
        <v>2</v>
      </c>
      <c r="D16" s="78" t="n">
        <f aca="false">IFERROR(IF(C16=0,0,IF(D7&lt;=2,MIN(C16,1),IF(D7&lt;=4,MIN(C16,2),C16))),0)</f>
        <v>2</v>
      </c>
      <c r="E16" s="79" t="s">
        <v>402</v>
      </c>
      <c r="F16" s="77" t="n">
        <v>2</v>
      </c>
      <c r="G16" s="78" t="n">
        <f aca="false">IFERROR(IF(F16=0,0,IF(D8&lt;=2,MIN(F16,1),IF(D8&lt;=4,MIN(F16,2),F16))),0)</f>
        <v>2</v>
      </c>
      <c r="H16" s="79" t="s">
        <v>403</v>
      </c>
      <c r="I16" s="77" t="n">
        <v>2</v>
      </c>
      <c r="J16" s="78" t="n">
        <f aca="false">IFERROR(IF(I16=0,0,IF(D9&lt;=2,MIN(I16,1),IF(D9&lt;=4,MIN(I16,2),I16))),0)</f>
        <v>2</v>
      </c>
      <c r="K16" s="79" t="s">
        <v>404</v>
      </c>
      <c r="L16" s="77" t="n">
        <v>2</v>
      </c>
      <c r="M16" s="78" t="n">
        <f aca="false">IFERROR(IF(L16=0,0,IF(D10&lt;=2,MIN(L16,1),IF(D10&lt;=4,MIN(L16,2),L16))),0)</f>
        <v>2</v>
      </c>
      <c r="N16" s="79" t="s">
        <v>405</v>
      </c>
      <c r="O16" s="77" t="n">
        <v>2</v>
      </c>
      <c r="P16" s="78" t="n">
        <f aca="false">IFERROR(IF(O16=0,0,IF(D11&lt;=2,MIN(O16,1),IF(D11&lt;=4,MIN(O16,2),O16))),0)</f>
        <v>2</v>
      </c>
      <c r="Q16" s="79" t="s">
        <v>406</v>
      </c>
      <c r="R16" s="77" t="n">
        <v>2</v>
      </c>
      <c r="S16" s="78" t="n">
        <f aca="false">IFERROR(IF(R16=0,0,IF(D12&lt;=2,MIN(R16,1),IF(D12&lt;=4,MIN(R16,2),R16))),0)</f>
        <v>2</v>
      </c>
      <c r="T16" s="79" t="s">
        <v>407</v>
      </c>
    </row>
    <row r="17" customFormat="false" ht="21.75" hidden="false" customHeight="true" outlineLevel="0" collapsed="false">
      <c r="A17" s="44" t="s">
        <v>67</v>
      </c>
      <c r="B17" s="80" t="s">
        <v>68</v>
      </c>
      <c r="C17" s="77" t="n">
        <v>2</v>
      </c>
      <c r="D17" s="78" t="n">
        <f aca="false">IFERROR(IF(C17=0,0,IF(D7&lt;=2,MIN(C17,1),IF(D7&lt;=4,MIN(C17,2),C17))),0)</f>
        <v>2</v>
      </c>
      <c r="E17" s="81" t="s">
        <v>408</v>
      </c>
      <c r="F17" s="77" t="n">
        <v>3</v>
      </c>
      <c r="G17" s="78" t="n">
        <f aca="false">IFERROR(IF(F17=0,0,IF(D8&lt;=2,MIN(F17,1),IF(D8&lt;=4,MIN(F17,2),F17))),0)</f>
        <v>2</v>
      </c>
      <c r="H17" s="81" t="s">
        <v>239</v>
      </c>
      <c r="I17" s="77" t="n">
        <v>2</v>
      </c>
      <c r="J17" s="78" t="n">
        <f aca="false">IFERROR(IF(I17=0,0,IF(D9&lt;=2,MIN(I17,1),IF(D9&lt;=4,MIN(I17,2),I17))),0)</f>
        <v>2</v>
      </c>
      <c r="K17" s="81" t="s">
        <v>409</v>
      </c>
      <c r="L17" s="77" t="n">
        <v>3</v>
      </c>
      <c r="M17" s="78" t="n">
        <f aca="false">IFERROR(IF(L17=0,0,IF(D10&lt;=2,MIN(L17,1),IF(D10&lt;=4,MIN(L17,2),L17))),0)</f>
        <v>3</v>
      </c>
      <c r="N17" s="81" t="s">
        <v>305</v>
      </c>
      <c r="O17" s="77" t="n">
        <v>2</v>
      </c>
      <c r="P17" s="78" t="n">
        <f aca="false">IFERROR(IF(O17=0,0,IF(D11&lt;=2,MIN(O17,1),IF(D11&lt;=4,MIN(O17,2),O17))),0)</f>
        <v>2</v>
      </c>
      <c r="Q17" s="81" t="s">
        <v>410</v>
      </c>
      <c r="R17" s="82" t="n">
        <v>0</v>
      </c>
      <c r="S17" s="78" t="n">
        <f aca="false">IFERROR(IF(R17=0,0,IF(D12&lt;=2,MIN(R17,1),IF(D12&lt;=4,MIN(R17,2),R17))),0)</f>
        <v>0</v>
      </c>
      <c r="T17" s="81"/>
    </row>
    <row r="18" customFormat="false" ht="21.75" hidden="false" customHeight="true" outlineLevel="0" collapsed="false">
      <c r="A18" s="44" t="s">
        <v>70</v>
      </c>
      <c r="B18" s="76" t="s">
        <v>71</v>
      </c>
      <c r="C18" s="82" t="n">
        <v>0</v>
      </c>
      <c r="D18" s="78" t="n">
        <f aca="false">IFERROR(IF(C18=0,0,IF(D7&lt;=2,MIN(C18,1),IF(D7&lt;=4,MIN(C18,2),C18))),0)</f>
        <v>0</v>
      </c>
      <c r="E18" s="79"/>
      <c r="F18" s="82" t="n">
        <v>0</v>
      </c>
      <c r="G18" s="78" t="n">
        <f aca="false">IFERROR(IF(F18=0,0,IF(D8&lt;=2,MIN(F18,1),IF(D8&lt;=4,MIN(F18,2),F18))),0)</f>
        <v>0</v>
      </c>
      <c r="H18" s="79"/>
      <c r="I18" s="77" t="n">
        <v>3</v>
      </c>
      <c r="J18" s="78" t="n">
        <f aca="false">IFERROR(IF(I18=0,0,IF(D9&lt;=2,MIN(I18,1),IF(D9&lt;=4,MIN(I18,2),I18))),0)</f>
        <v>3</v>
      </c>
      <c r="K18" s="79" t="s">
        <v>191</v>
      </c>
      <c r="L18" s="82" t="n">
        <v>0</v>
      </c>
      <c r="M18" s="78" t="n">
        <f aca="false">IFERROR(IF(L18=0,0,IF(D10&lt;=2,MIN(L18,1),IF(D10&lt;=4,MIN(L18,2),L18))),0)</f>
        <v>0</v>
      </c>
      <c r="N18" s="79"/>
      <c r="O18" s="82" t="n">
        <v>0</v>
      </c>
      <c r="P18" s="78" t="n">
        <f aca="false">IFERROR(IF(O18=0,0,IF(D11&lt;=2,MIN(O18,1),IF(D11&lt;=4,MIN(O18,2),O18))),0)</f>
        <v>0</v>
      </c>
      <c r="Q18" s="79"/>
      <c r="R18" s="77" t="n">
        <v>3</v>
      </c>
      <c r="S18" s="78" t="n">
        <f aca="false">IFERROR(IF(R18=0,0,IF(D12&lt;=2,MIN(R18,1),IF(D12&lt;=4,MIN(R18,2),R18))),0)</f>
        <v>3</v>
      </c>
      <c r="T18" s="79" t="s">
        <v>411</v>
      </c>
    </row>
    <row r="19" customFormat="false" ht="21.75" hidden="false" customHeight="true" outlineLevel="0" collapsed="false">
      <c r="A19" s="44" t="s">
        <v>73</v>
      </c>
      <c r="B19" s="80" t="s">
        <v>74</v>
      </c>
      <c r="C19" s="82" t="n">
        <v>0</v>
      </c>
      <c r="D19" s="78" t="n">
        <f aca="false">IFERROR(IF(C19=0,0,IF(D7&lt;=2,MIN(C19,1),IF(D7&lt;=4,MIN(C19,2),C19))),0)</f>
        <v>0</v>
      </c>
      <c r="E19" s="81"/>
      <c r="F19" s="77" t="n">
        <v>2</v>
      </c>
      <c r="G19" s="78" t="n">
        <f aca="false">IFERROR(IF(F19=0,0,IF(D8&lt;=2,MIN(F19,1),IF(D8&lt;=4,MIN(F19,2),F19))),0)</f>
        <v>2</v>
      </c>
      <c r="H19" s="81" t="s">
        <v>412</v>
      </c>
      <c r="I19" s="82" t="n">
        <v>0</v>
      </c>
      <c r="J19" s="78" t="n">
        <f aca="false">IFERROR(IF(I19=0,0,IF(D9&lt;=2,MIN(I19,1),IF(D9&lt;=4,MIN(I19,2),I19))),0)</f>
        <v>0</v>
      </c>
      <c r="K19" s="81"/>
      <c r="L19" s="77" t="n">
        <v>2</v>
      </c>
      <c r="M19" s="78" t="n">
        <f aca="false">IFERROR(IF(L19=0,0,IF(D10&lt;=2,MIN(L19,1),IF(D10&lt;=4,MIN(L19,2),L19))),0)</f>
        <v>2</v>
      </c>
      <c r="N19" s="81" t="s">
        <v>413</v>
      </c>
      <c r="O19" s="77" t="n">
        <v>3</v>
      </c>
      <c r="P19" s="78" t="n">
        <f aca="false">IFERROR(IF(O19=0,0,IF(D11&lt;=2,MIN(O19,1),IF(D11&lt;=4,MIN(O19,2),O19))),0)</f>
        <v>2</v>
      </c>
      <c r="Q19" s="81" t="s">
        <v>414</v>
      </c>
      <c r="R19" s="82" t="n">
        <v>0</v>
      </c>
      <c r="S19" s="78" t="n">
        <f aca="false">IFERROR(IF(R19=0,0,IF(D12&lt;=2,MIN(R19,1),IF(D12&lt;=4,MIN(R19,2),R19))),0)</f>
        <v>0</v>
      </c>
      <c r="T19" s="81"/>
    </row>
    <row r="20" customFormat="false" ht="21.75" hidden="false" customHeight="true" outlineLevel="0" collapsed="false">
      <c r="A20" s="44" t="s">
        <v>76</v>
      </c>
      <c r="B20" s="76" t="s">
        <v>77</v>
      </c>
      <c r="C20" s="77" t="n">
        <v>2</v>
      </c>
      <c r="D20" s="78" t="n">
        <f aca="false">IFERROR(IF(C20=0,0,IF(D7&lt;=2,MIN(C20,1),IF(D7&lt;=4,MIN(C20,2),C20))),0)</f>
        <v>2</v>
      </c>
      <c r="E20" s="79" t="s">
        <v>415</v>
      </c>
      <c r="F20" s="77" t="n">
        <v>2</v>
      </c>
      <c r="G20" s="78" t="n">
        <f aca="false">IFERROR(IF(F20=0,0,IF(D8&lt;=2,MIN(F20,1),IF(D8&lt;=4,MIN(F20,2),F20))),0)</f>
        <v>2</v>
      </c>
      <c r="H20" s="79" t="s">
        <v>416</v>
      </c>
      <c r="I20" s="77" t="n">
        <v>3</v>
      </c>
      <c r="J20" s="78" t="n">
        <f aca="false">IFERROR(IF(I20=0,0,IF(D9&lt;=2,MIN(I20,1),IF(D9&lt;=4,MIN(I20,2),I20))),0)</f>
        <v>3</v>
      </c>
      <c r="K20" s="79" t="s">
        <v>417</v>
      </c>
      <c r="L20" s="77" t="n">
        <v>2</v>
      </c>
      <c r="M20" s="78" t="n">
        <f aca="false">IFERROR(IF(L20=0,0,IF(D10&lt;=2,MIN(L20,1),IF(D10&lt;=4,MIN(L20,2),L20))),0)</f>
        <v>2</v>
      </c>
      <c r="N20" s="79" t="s">
        <v>418</v>
      </c>
      <c r="O20" s="77" t="n">
        <v>2</v>
      </c>
      <c r="P20" s="78" t="n">
        <f aca="false">IFERROR(IF(O20=0,0,IF(D11&lt;=2,MIN(O20,1),IF(D11&lt;=4,MIN(O20,2),O20))),0)</f>
        <v>2</v>
      </c>
      <c r="Q20" s="79" t="s">
        <v>419</v>
      </c>
      <c r="R20" s="77" t="n">
        <v>2</v>
      </c>
      <c r="S20" s="78" t="n">
        <f aca="false">IFERROR(IF(R20=0,0,IF(D12&lt;=2,MIN(R20,1),IF(D12&lt;=4,MIN(R20,2),R20))),0)</f>
        <v>2</v>
      </c>
      <c r="T20" s="79" t="s">
        <v>420</v>
      </c>
    </row>
    <row r="21" customFormat="false" ht="21.75" hidden="false" customHeight="true" outlineLevel="0" collapsed="false">
      <c r="A21" s="44" t="s">
        <v>79</v>
      </c>
      <c r="B21" s="80" t="s">
        <v>80</v>
      </c>
      <c r="C21" s="82" t="n">
        <v>0</v>
      </c>
      <c r="D21" s="78" t="n">
        <f aca="false">IFERROR(IF(C21=0,0,IF(D7&lt;=2,MIN(C21,1),IF(D7&lt;=4,MIN(C21,2),C21))),0)</f>
        <v>0</v>
      </c>
      <c r="E21" s="81"/>
      <c r="F21" s="82" t="n">
        <v>0</v>
      </c>
      <c r="G21" s="78" t="n">
        <f aca="false">IFERROR(IF(F21=0,0,IF(D8&lt;=2,MIN(F21,1),IF(D8&lt;=4,MIN(F21,2),F21))),0)</f>
        <v>0</v>
      </c>
      <c r="H21" s="81"/>
      <c r="I21" s="82" t="n">
        <v>0</v>
      </c>
      <c r="J21" s="78" t="n">
        <f aca="false">IFERROR(IF(I21=0,0,IF(D9&lt;=2,MIN(I21,1),IF(D9&lt;=4,MIN(I21,2),I21))),0)</f>
        <v>0</v>
      </c>
      <c r="K21" s="81"/>
      <c r="L21" s="82" t="n">
        <v>0</v>
      </c>
      <c r="M21" s="78" t="n">
        <f aca="false">IFERROR(IF(L21=0,0,IF(D10&lt;=2,MIN(L21,1),IF(D10&lt;=4,MIN(L21,2),L21))),0)</f>
        <v>0</v>
      </c>
      <c r="N21" s="81"/>
      <c r="O21" s="82" t="n">
        <v>0</v>
      </c>
      <c r="P21" s="78" t="n">
        <f aca="false">IFERROR(IF(O21=0,0,IF(D11&lt;=2,MIN(O21,1),IF(D11&lt;=4,MIN(O21,2),O21))),0)</f>
        <v>0</v>
      </c>
      <c r="Q21" s="81"/>
      <c r="R21" s="82" t="n">
        <v>0</v>
      </c>
      <c r="S21" s="78" t="n">
        <f aca="false">IFERROR(IF(R21=0,0,IF(D12&lt;=2,MIN(R21,1),IF(D12&lt;=4,MIN(R21,2),R21))),0)</f>
        <v>0</v>
      </c>
      <c r="T21" s="81"/>
    </row>
    <row r="22" customFormat="false" ht="21.75" hidden="false" customHeight="true" outlineLevel="0" collapsed="false">
      <c r="A22" s="44" t="s">
        <v>82</v>
      </c>
      <c r="B22" s="76" t="s">
        <v>83</v>
      </c>
      <c r="C22" s="82" t="n">
        <v>0</v>
      </c>
      <c r="D22" s="78" t="n">
        <f aca="false">IFERROR(IF(C22=0,0,IF(D7&lt;=2,MIN(C22,1),IF(D7&lt;=4,MIN(C22,2),C22))),0)</f>
        <v>0</v>
      </c>
      <c r="E22" s="79"/>
      <c r="F22" s="82" t="n">
        <v>0</v>
      </c>
      <c r="G22" s="78" t="n">
        <f aca="false">IFERROR(IF(F22=0,0,IF(D8&lt;=2,MIN(F22,1),IF(D8&lt;=4,MIN(F22,2),F22))),0)</f>
        <v>0</v>
      </c>
      <c r="H22" s="79"/>
      <c r="I22" s="82" t="n">
        <v>0</v>
      </c>
      <c r="J22" s="78" t="n">
        <f aca="false">IFERROR(IF(I22=0,0,IF(D9&lt;=2,MIN(I22,1),IF(D9&lt;=4,MIN(I22,2),I22))),0)</f>
        <v>0</v>
      </c>
      <c r="K22" s="79"/>
      <c r="L22" s="82" t="n">
        <v>0</v>
      </c>
      <c r="M22" s="78" t="n">
        <f aca="false">IFERROR(IF(L22=0,0,IF(D10&lt;=2,MIN(L22,1),IF(D10&lt;=4,MIN(L22,2),L22))),0)</f>
        <v>0</v>
      </c>
      <c r="N22" s="79"/>
      <c r="O22" s="82" t="n">
        <v>0</v>
      </c>
      <c r="P22" s="78" t="n">
        <f aca="false">IFERROR(IF(O22=0,0,IF(D11&lt;=2,MIN(O22,1),IF(D11&lt;=4,MIN(O22,2),O22))),0)</f>
        <v>0</v>
      </c>
      <c r="Q22" s="79"/>
      <c r="R22" s="82" t="n">
        <v>0</v>
      </c>
      <c r="S22" s="78" t="n">
        <f aca="false">IFERROR(IF(R22=0,0,IF(D12&lt;=2,MIN(R22,1),IF(D12&lt;=4,MIN(R22,2),R22))),0)</f>
        <v>0</v>
      </c>
      <c r="T22" s="79"/>
    </row>
    <row r="23" customFormat="false" ht="21.75" hidden="false" customHeight="true" outlineLevel="0" collapsed="false">
      <c r="A23" s="44" t="s">
        <v>85</v>
      </c>
      <c r="B23" s="80" t="s">
        <v>86</v>
      </c>
      <c r="C23" s="82" t="n">
        <v>0</v>
      </c>
      <c r="D23" s="78" t="n">
        <f aca="false">IFERROR(IF(C23=0,0,IF(D7&lt;=2,MIN(C23,1),IF(D7&lt;=4,MIN(C23,2),C23))),0)</f>
        <v>0</v>
      </c>
      <c r="E23" s="81"/>
      <c r="F23" s="82" t="n">
        <v>0</v>
      </c>
      <c r="G23" s="78" t="n">
        <f aca="false">IFERROR(IF(F23=0,0,IF(D8&lt;=2,MIN(F23,1),IF(D8&lt;=4,MIN(F23,2),F23))),0)</f>
        <v>0</v>
      </c>
      <c r="H23" s="81"/>
      <c r="I23" s="82" t="n">
        <v>0</v>
      </c>
      <c r="J23" s="78" t="n">
        <f aca="false">IFERROR(IF(I23=0,0,IF(D9&lt;=2,MIN(I23,1),IF(D9&lt;=4,MIN(I23,2),I23))),0)</f>
        <v>0</v>
      </c>
      <c r="K23" s="81"/>
      <c r="L23" s="82" t="n">
        <v>0</v>
      </c>
      <c r="M23" s="78" t="n">
        <f aca="false">IFERROR(IF(L23=0,0,IF(D10&lt;=2,MIN(L23,1),IF(D10&lt;=4,MIN(L23,2),L23))),0)</f>
        <v>0</v>
      </c>
      <c r="N23" s="81"/>
      <c r="O23" s="82" t="n">
        <v>0</v>
      </c>
      <c r="P23" s="78" t="n">
        <f aca="false">IFERROR(IF(O23=0,0,IF(D11&lt;=2,MIN(O23,1),IF(D11&lt;=4,MIN(O23,2),O23))),0)</f>
        <v>0</v>
      </c>
      <c r="Q23" s="81"/>
      <c r="R23" s="82" t="n">
        <v>0</v>
      </c>
      <c r="S23" s="78" t="n">
        <f aca="false">IFERROR(IF(R23=0,0,IF(D12&lt;=2,MIN(R23,1),IF(D12&lt;=4,MIN(R23,2),R23))),0)</f>
        <v>0</v>
      </c>
      <c r="T23" s="81"/>
    </row>
    <row r="24" customFormat="false" ht="21.75" hidden="false" customHeight="true" outlineLevel="0" collapsed="false">
      <c r="A24" s="44" t="s">
        <v>88</v>
      </c>
      <c r="B24" s="76" t="s">
        <v>89</v>
      </c>
      <c r="C24" s="82" t="n">
        <v>0</v>
      </c>
      <c r="D24" s="78" t="n">
        <f aca="false">IFERROR(IF(C24=0,0,IF(D7&lt;=2,MIN(C24,1),IF(D7&lt;=4,MIN(C24,2),C24))),0)</f>
        <v>0</v>
      </c>
      <c r="E24" s="79"/>
      <c r="F24" s="82" t="n">
        <v>0</v>
      </c>
      <c r="G24" s="78" t="n">
        <f aca="false">IFERROR(IF(F24=0,0,IF(D8&lt;=2,MIN(F24,1),IF(D8&lt;=4,MIN(F24,2),F24))),0)</f>
        <v>0</v>
      </c>
      <c r="H24" s="79"/>
      <c r="I24" s="82" t="n">
        <v>0</v>
      </c>
      <c r="J24" s="78" t="n">
        <f aca="false">IFERROR(IF(I24=0,0,IF(D9&lt;=2,MIN(I24,1),IF(D9&lt;=4,MIN(I24,2),I24))),0)</f>
        <v>0</v>
      </c>
      <c r="K24" s="79"/>
      <c r="L24" s="82" t="n">
        <v>0</v>
      </c>
      <c r="M24" s="78" t="n">
        <f aca="false">IFERROR(IF(L24=0,0,IF(D10&lt;=2,MIN(L24,1),IF(D10&lt;=4,MIN(L24,2),L24))),0)</f>
        <v>0</v>
      </c>
      <c r="N24" s="79"/>
      <c r="O24" s="82" t="n">
        <v>0</v>
      </c>
      <c r="P24" s="78" t="n">
        <f aca="false">IFERROR(IF(O24=0,0,IF(D11&lt;=2,MIN(O24,1),IF(D11&lt;=4,MIN(O24,2),O24))),0)</f>
        <v>0</v>
      </c>
      <c r="Q24" s="79"/>
      <c r="R24" s="77" t="n">
        <v>3</v>
      </c>
      <c r="S24" s="78" t="n">
        <f aca="false">IFERROR(IF(R24=0,0,IF(D12&lt;=2,MIN(R24,1),IF(D12&lt;=4,MIN(R24,2),R24))),0)</f>
        <v>3</v>
      </c>
      <c r="T24" s="79" t="s">
        <v>421</v>
      </c>
    </row>
    <row r="25" customFormat="false" ht="21.75" hidden="false" customHeight="true" outlineLevel="0" collapsed="false">
      <c r="A25" s="44" t="s">
        <v>91</v>
      </c>
      <c r="B25" s="80" t="s">
        <v>92</v>
      </c>
      <c r="C25" s="82" t="n">
        <v>0</v>
      </c>
      <c r="D25" s="78" t="n">
        <f aca="false">IFERROR(IF(C25=0,0,IF(D7&lt;=2,MIN(C25,1),IF(D7&lt;=4,MIN(C25,2),C25))),0)</f>
        <v>0</v>
      </c>
      <c r="E25" s="81"/>
      <c r="F25" s="82" t="n">
        <v>0</v>
      </c>
      <c r="G25" s="78" t="n">
        <f aca="false">IFERROR(IF(F25=0,0,IF(D8&lt;=2,MIN(F25,1),IF(D8&lt;=4,MIN(F25,2),F25))),0)</f>
        <v>0</v>
      </c>
      <c r="H25" s="81"/>
      <c r="I25" s="82" t="n">
        <v>0</v>
      </c>
      <c r="J25" s="78" t="n">
        <f aca="false">IFERROR(IF(I25=0,0,IF(D9&lt;=2,MIN(I25,1),IF(D9&lt;=4,MIN(I25,2),I25))),0)</f>
        <v>0</v>
      </c>
      <c r="K25" s="81"/>
      <c r="L25" s="82" t="n">
        <v>0</v>
      </c>
      <c r="M25" s="78" t="n">
        <f aca="false">IFERROR(IF(L25=0,0,IF(D10&lt;=2,MIN(L25,1),IF(D10&lt;=4,MIN(L25,2),L25))),0)</f>
        <v>0</v>
      </c>
      <c r="N25" s="81"/>
      <c r="O25" s="82" t="n">
        <v>0</v>
      </c>
      <c r="P25" s="78" t="n">
        <f aca="false">IFERROR(IF(O25=0,0,IF(D11&lt;=2,MIN(O25,1),IF(D11&lt;=4,MIN(O25,2),O25))),0)</f>
        <v>0</v>
      </c>
      <c r="Q25" s="81"/>
      <c r="R25" s="77" t="n">
        <v>3</v>
      </c>
      <c r="S25" s="78" t="n">
        <f aca="false">IFERROR(IF(R25=0,0,IF(D12&lt;=2,MIN(R25,1),IF(D12&lt;=4,MIN(R25,2),R25))),0)</f>
        <v>3</v>
      </c>
      <c r="T25" s="81" t="s">
        <v>422</v>
      </c>
    </row>
    <row r="26" customFormat="false" ht="21.75" hidden="false" customHeight="true" outlineLevel="0" collapsed="false">
      <c r="A26" s="44" t="s">
        <v>94</v>
      </c>
      <c r="B26" s="76" t="s">
        <v>95</v>
      </c>
      <c r="C26" s="82" t="n">
        <v>0</v>
      </c>
      <c r="D26" s="78" t="n">
        <f aca="false">IFERROR(IF(C26=0,0,IF(D7&lt;=2,MIN(C26,1),IF(D7&lt;=4,MIN(C26,2),C26))),0)</f>
        <v>0</v>
      </c>
      <c r="E26" s="79"/>
      <c r="F26" s="82" t="n">
        <v>0</v>
      </c>
      <c r="G26" s="78" t="n">
        <f aca="false">IFERROR(IF(F26=0,0,IF(D8&lt;=2,MIN(F26,1),IF(D8&lt;=4,MIN(F26,2),F26))),0)</f>
        <v>0</v>
      </c>
      <c r="H26" s="79"/>
      <c r="I26" s="82" t="n">
        <v>0</v>
      </c>
      <c r="J26" s="78" t="n">
        <f aca="false">IFERROR(IF(I26=0,0,IF(D9&lt;=2,MIN(I26,1),IF(D9&lt;=4,MIN(I26,2),I26))),0)</f>
        <v>0</v>
      </c>
      <c r="K26" s="79"/>
      <c r="L26" s="82" t="n">
        <v>0</v>
      </c>
      <c r="M26" s="78" t="n">
        <f aca="false">IFERROR(IF(L26=0,0,IF(D10&lt;=2,MIN(L26,1),IF(D10&lt;=4,MIN(L26,2),L26))),0)</f>
        <v>0</v>
      </c>
      <c r="N26" s="79"/>
      <c r="O26" s="82" t="n">
        <v>0</v>
      </c>
      <c r="P26" s="78" t="n">
        <f aca="false">IFERROR(IF(O26=0,0,IF(D11&lt;=2,MIN(O26,1),IF(D11&lt;=4,MIN(O26,2),O26))),0)</f>
        <v>0</v>
      </c>
      <c r="Q26" s="79"/>
      <c r="R26" s="77" t="n">
        <v>2</v>
      </c>
      <c r="S26" s="78" t="n">
        <f aca="false">IFERROR(IF(R26=0,0,IF(D12&lt;=2,MIN(R26,1),IF(D12&lt;=4,MIN(R26,2),R26))),0)</f>
        <v>2</v>
      </c>
      <c r="T26" s="79" t="s">
        <v>423</v>
      </c>
    </row>
    <row r="27" customFormat="false" ht="21.75" hidden="false" customHeight="true" outlineLevel="0" collapsed="false">
      <c r="A27" s="44" t="s">
        <v>97</v>
      </c>
      <c r="B27" s="80" t="s">
        <v>98</v>
      </c>
      <c r="C27" s="77" t="n">
        <v>2</v>
      </c>
      <c r="D27" s="78" t="n">
        <f aca="false">IFERROR(IF(C27=0,0,IF(D7&lt;=2,MIN(C27,1),IF(D7&lt;=4,MIN(C27,2),C27))),0)</f>
        <v>2</v>
      </c>
      <c r="E27" s="81" t="s">
        <v>424</v>
      </c>
      <c r="F27" s="82" t="n">
        <v>0</v>
      </c>
      <c r="G27" s="78" t="n">
        <f aca="false">IFERROR(IF(F27=0,0,IF(D8&lt;=2,MIN(F27,1),IF(D8&lt;=4,MIN(F27,2),F27))),0)</f>
        <v>0</v>
      </c>
      <c r="H27" s="81"/>
      <c r="I27" s="77" t="n">
        <v>3</v>
      </c>
      <c r="J27" s="78" t="n">
        <f aca="false">IFERROR(IF(I27=0,0,IF(D9&lt;=2,MIN(I27,1),IF(D9&lt;=4,MIN(I27,2),I27))),0)</f>
        <v>3</v>
      </c>
      <c r="K27" s="81" t="s">
        <v>425</v>
      </c>
      <c r="L27" s="82" t="n">
        <v>0</v>
      </c>
      <c r="M27" s="78" t="n">
        <f aca="false">IFERROR(IF(L27=0,0,IF(D10&lt;=2,MIN(L27,1),IF(D10&lt;=4,MIN(L27,2),L27))),0)</f>
        <v>0</v>
      </c>
      <c r="N27" s="81"/>
      <c r="O27" s="77" t="n">
        <v>2</v>
      </c>
      <c r="P27" s="78" t="n">
        <f aca="false">IFERROR(IF(O27=0,0,IF(D11&lt;=2,MIN(O27,1),IF(D11&lt;=4,MIN(O27,2),O27))),0)</f>
        <v>2</v>
      </c>
      <c r="Q27" s="81" t="s">
        <v>426</v>
      </c>
      <c r="R27" s="77" t="n">
        <v>2</v>
      </c>
      <c r="S27" s="78" t="n">
        <f aca="false">IFERROR(IF(R27=0,0,IF(D12&lt;=2,MIN(R27,1),IF(D12&lt;=4,MIN(R27,2),R27))),0)</f>
        <v>2</v>
      </c>
      <c r="T27" s="81" t="s">
        <v>427</v>
      </c>
    </row>
    <row r="28" customFormat="false" ht="21.75" hidden="false" customHeight="true" outlineLevel="0" collapsed="false">
      <c r="A28" s="83" t="s">
        <v>202</v>
      </c>
      <c r="B28" s="76" t="s">
        <v>203</v>
      </c>
      <c r="C28" s="77" t="n">
        <v>2</v>
      </c>
      <c r="D28" s="78" t="n">
        <f aca="false">IFERROR(IF(C28=0,0,IF(D7&lt;=2,MIN(C28,1),IF(D7&lt;=4,MIN(C28,2),C28))),0)</f>
        <v>2</v>
      </c>
      <c r="E28" s="79" t="s">
        <v>428</v>
      </c>
      <c r="F28" s="77" t="n">
        <v>3</v>
      </c>
      <c r="G28" s="78" t="n">
        <f aca="false">IFERROR(IF(F28=0,0,IF(D8&lt;=2,MIN(F28,1),IF(D8&lt;=4,MIN(F28,2),F28))),0)</f>
        <v>2</v>
      </c>
      <c r="H28" s="79" t="s">
        <v>429</v>
      </c>
      <c r="I28" s="77" t="n">
        <v>3</v>
      </c>
      <c r="J28" s="78" t="n">
        <f aca="false">IFERROR(IF(I28=0,0,IF(D9&lt;=2,MIN(I28,1),IF(D9&lt;=4,MIN(I28,2),I28))),0)</f>
        <v>3</v>
      </c>
      <c r="K28" s="79" t="s">
        <v>430</v>
      </c>
      <c r="L28" s="77" t="n">
        <v>3</v>
      </c>
      <c r="M28" s="78" t="n">
        <f aca="false">IFERROR(IF(L28=0,0,IF(D10&lt;=2,MIN(L28,1),IF(D10&lt;=4,MIN(L28,2),L28))),0)</f>
        <v>3</v>
      </c>
      <c r="N28" s="79" t="s">
        <v>431</v>
      </c>
      <c r="O28" s="77" t="n">
        <v>2</v>
      </c>
      <c r="P28" s="78" t="n">
        <f aca="false">IFERROR(IF(O28=0,0,IF(D11&lt;=2,MIN(O28,1),IF(D11&lt;=4,MIN(O28,2),O28))),0)</f>
        <v>2</v>
      </c>
      <c r="Q28" s="79" t="s">
        <v>432</v>
      </c>
      <c r="R28" s="77" t="n">
        <v>3</v>
      </c>
      <c r="S28" s="78" t="n">
        <f aca="false">IFERROR(IF(R28=0,0,IF(D12&lt;=2,MIN(R28,1),IF(D12&lt;=4,MIN(R28,2),R28))),0)</f>
        <v>3</v>
      </c>
      <c r="T28" s="79" t="s">
        <v>433</v>
      </c>
    </row>
    <row r="29" customFormat="false" ht="21.75" hidden="false" customHeight="true" outlineLevel="0" collapsed="false">
      <c r="A29" s="83" t="s">
        <v>209</v>
      </c>
      <c r="B29" s="80" t="s">
        <v>210</v>
      </c>
      <c r="C29" s="77" t="n">
        <v>3</v>
      </c>
      <c r="D29" s="78" t="n">
        <f aca="false">IFERROR(IF(C29=0,0,IF(D7&lt;=2,MIN(C29,1),IF(D7&lt;=4,MIN(C29,2),C29))),0)</f>
        <v>2</v>
      </c>
      <c r="E29" s="81" t="s">
        <v>434</v>
      </c>
      <c r="F29" s="77" t="n">
        <v>3</v>
      </c>
      <c r="G29" s="78" t="n">
        <f aca="false">IFERROR(IF(F29=0,0,IF(D8&lt;=2,MIN(F29,1),IF(D8&lt;=4,MIN(F29,2),F29))),0)</f>
        <v>2</v>
      </c>
      <c r="H29" s="81" t="s">
        <v>435</v>
      </c>
      <c r="I29" s="77" t="n">
        <v>3</v>
      </c>
      <c r="J29" s="78" t="n">
        <f aca="false">IFERROR(IF(I29=0,0,IF(D9&lt;=2,MIN(I29,1),IF(D9&lt;=4,MIN(I29,2),I29))),0)</f>
        <v>3</v>
      </c>
      <c r="K29" s="81" t="s">
        <v>436</v>
      </c>
      <c r="L29" s="77" t="n">
        <v>3</v>
      </c>
      <c r="M29" s="78" t="n">
        <f aca="false">IFERROR(IF(L29=0,0,IF(D10&lt;=2,MIN(L29,1),IF(D10&lt;=4,MIN(L29,2),L29))),0)</f>
        <v>3</v>
      </c>
      <c r="N29" s="81" t="s">
        <v>437</v>
      </c>
      <c r="O29" s="77" t="n">
        <v>3</v>
      </c>
      <c r="P29" s="78" t="n">
        <f aca="false">IFERROR(IF(O29=0,0,IF(D11&lt;=2,MIN(O29,1),IF(D11&lt;=4,MIN(O29,2),O29))),0)</f>
        <v>2</v>
      </c>
      <c r="Q29" s="81" t="s">
        <v>260</v>
      </c>
      <c r="R29" s="77" t="n">
        <v>3</v>
      </c>
      <c r="S29" s="78" t="n">
        <f aca="false">IFERROR(IF(R29=0,0,IF(D12&lt;=2,MIN(R29,1),IF(D12&lt;=4,MIN(R29,2),R29))),0)</f>
        <v>3</v>
      </c>
      <c r="T29" s="81" t="s">
        <v>438</v>
      </c>
    </row>
    <row r="30" customFormat="false" ht="21.75" hidden="false" customHeight="true" outlineLevel="0" collapsed="false">
      <c r="A30" s="83" t="s">
        <v>216</v>
      </c>
      <c r="B30" s="76" t="s">
        <v>217</v>
      </c>
      <c r="C30" s="77" t="n">
        <v>2</v>
      </c>
      <c r="D30" s="78" t="n">
        <f aca="false">IFERROR(IF(C30=0,0,IF(D7&lt;=2,MIN(C30,1),IF(D7&lt;=4,MIN(C30,2),C30))),0)</f>
        <v>2</v>
      </c>
      <c r="E30" s="79" t="s">
        <v>439</v>
      </c>
      <c r="F30" s="82" t="n">
        <v>0</v>
      </c>
      <c r="G30" s="78" t="n">
        <f aca="false">IFERROR(IF(F30=0,0,IF(D8&lt;=2,MIN(F30,1),IF(D8&lt;=4,MIN(F30,2),F30))),0)</f>
        <v>0</v>
      </c>
      <c r="H30" s="79"/>
      <c r="I30" s="77" t="n">
        <v>3</v>
      </c>
      <c r="J30" s="78" t="n">
        <f aca="false">IFERROR(IF(I30=0,0,IF(D9&lt;=2,MIN(I30,1),IF(D9&lt;=4,MIN(I30,2),I30))),0)</f>
        <v>3</v>
      </c>
      <c r="K30" s="79" t="s">
        <v>440</v>
      </c>
      <c r="L30" s="82" t="n">
        <v>0</v>
      </c>
      <c r="M30" s="78" t="n">
        <f aca="false">IFERROR(IF(L30=0,0,IF(D10&lt;=2,MIN(L30,1),IF(D10&lt;=4,MIN(L30,2),L30))),0)</f>
        <v>0</v>
      </c>
      <c r="N30" s="79"/>
      <c r="O30" s="82" t="n">
        <v>0</v>
      </c>
      <c r="P30" s="78" t="n">
        <f aca="false">IFERROR(IF(O30=0,0,IF(D11&lt;=2,MIN(O30,1),IF(D11&lt;=4,MIN(O30,2),O30))),0)</f>
        <v>0</v>
      </c>
      <c r="Q30" s="79"/>
      <c r="R30" s="77" t="n">
        <v>3</v>
      </c>
      <c r="S30" s="78" t="n">
        <f aca="false">IFERROR(IF(R30=0,0,IF(D12&lt;=2,MIN(R30,1),IF(D12&lt;=4,MIN(R30,2),R30))),0)</f>
        <v>3</v>
      </c>
      <c r="T30" s="79" t="s">
        <v>441</v>
      </c>
    </row>
    <row r="32" customFormat="false" ht="21.75" hidden="false" customHeight="true" outlineLevel="0" collapsed="false">
      <c r="A32" s="84" t="s">
        <v>220</v>
      </c>
      <c r="B32" s="84"/>
      <c r="C32" s="85"/>
      <c r="D32" s="86" t="n">
        <f aca="false">IFERROR(AVERAGE(D16:D30),0)</f>
        <v>0.933333333333333</v>
      </c>
      <c r="E32" s="85"/>
      <c r="F32" s="85"/>
      <c r="G32" s="86" t="n">
        <f aca="false">IFERROR(AVERAGE(G16:G30),0)</f>
        <v>0.8</v>
      </c>
      <c r="H32" s="85"/>
      <c r="I32" s="85"/>
      <c r="J32" s="86" t="n">
        <f aca="false">IFERROR(AVERAGE(J16:J30),0)</f>
        <v>1.46666666666667</v>
      </c>
      <c r="K32" s="85"/>
      <c r="L32" s="85"/>
      <c r="M32" s="86" t="n">
        <f aca="false">IFERROR(AVERAGE(M16:M30),0)</f>
        <v>1</v>
      </c>
      <c r="N32" s="85"/>
      <c r="O32" s="85"/>
      <c r="P32" s="86" t="n">
        <f aca="false">IFERROR(AVERAGE(P16:P30),0)</f>
        <v>0.933333333333333</v>
      </c>
      <c r="Q32" s="85"/>
      <c r="R32" s="85"/>
      <c r="S32" s="86" t="n">
        <f aca="false">IFERROR(AVERAGE(S16:S30),0)</f>
        <v>1.73333333333333</v>
      </c>
      <c r="T32" s="85"/>
    </row>
  </sheetData>
  <mergeCells count="14">
    <mergeCell ref="A1:L1"/>
    <mergeCell ref="A2:L2"/>
    <mergeCell ref="A4:B4"/>
    <mergeCell ref="G4:L4"/>
    <mergeCell ref="A5:L5"/>
    <mergeCell ref="G6:L6"/>
    <mergeCell ref="G7:L7"/>
    <mergeCell ref="G8:L8"/>
    <mergeCell ref="G9:L9"/>
    <mergeCell ref="G10:L10"/>
    <mergeCell ref="G11:L11"/>
    <mergeCell ref="G12:L12"/>
    <mergeCell ref="A14:L14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2026-05-12T05:50:06Z</dcterms:created>
  <dc:creator>openpyxl</dc:creator>
  <dc:description/>
  <dc:language>en-US</dc:language>
  <cp:lastModifiedBy/>
  <dcterms:modified xsi:type="dcterms:W3CDTF">2026-05-12T05:50:25Z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