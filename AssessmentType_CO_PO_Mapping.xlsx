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lines" sheetId="1" state="visible" r:id="rId3"/>
    <sheet name="CS301" sheetId="2" state="visible" r:id="rId4"/>
    <sheet name="CS302" sheetId="3" state="visible" r:id="rId5"/>
    <sheet name="CO-PO Mapping" sheetId="4" state="visible" r:id="rId6"/>
    <sheet name="CS303" sheetId="5" state="visible" r:id="rId7"/>
    <sheet name="Type Analysis" sheetId="6" state="visible" r:id="rId8"/>
    <sheet name="CS304" sheetId="7" state="visible" r:id="rId9"/>
    <sheet name="CS305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<sst xmlns="http://schemas.openxmlformats.org/spreadsheetml/2006/main" count="1038" uniqueCount="206">
  <si>
    <t xml:space="preserve">CO–PO MAPPING: ASSESSMENT TYPE METHOD (Test Items + Assessment Items)  —  Auto-Calculation Workbook</t>
  </si>
  <si>
    <t xml:space="preserve">Based on: NBA OBE Guidelines  |  Method C: Assessment Type / Depth Method</t>
  </si>
  <si>
    <t xml:space="preserve">TWO ASSESSMENT CATEGORIES  (from CO-PO Mapping Guidelines Document — Section C)</t>
  </si>
  <si>
    <t xml:space="preserve">CATEGORY 1: TEST ITEMS (TI)  —  Formal Written Examinations</t>
  </si>
  <si>
    <t xml:space="preserve">CATEGORY 2: ASSESSMENT ITEMS (AI)  —  Activity / Performance Based</t>
  </si>
  <si>
    <t xml:space="preserve">TI1: Mid-Term Exam  |  TI2: End-Term Exam  |  TI3: Class Test  |  TI4: Surprise Test  |  TI5: University Theory Exam</t>
  </si>
  <si>
    <t xml:space="preserve">AI1: Quiz  |  AI2: Assignment Problems  |  AI3: Simulation  |  AI4: Laboratory Experiments  |  AI5: Projects (Mini/Major)  |  AI6: Field Work  |  AI7: Report / Presentation  |  AI8: Tutorials  |  AI9: Activities (Seminar/Workshop)</t>
  </si>
  <si>
    <t xml:space="preserve">MAPPING LEVEL CRITERIA  (Test Items + Assessment Items Combination)</t>
  </si>
  <si>
    <t xml:space="preserve">Level</t>
  </si>
  <si>
    <t xml:space="preserve">Symbol</t>
  </si>
  <si>
    <t xml:space="preserve">TI Count</t>
  </si>
  <si>
    <t xml:space="preserve">AI Count</t>
  </si>
  <si>
    <t xml:space="preserve">Condition</t>
  </si>
  <si>
    <t xml:space="preserve">Meaning</t>
  </si>
  <si>
    <t xml:space="preserve">Example</t>
  </si>
  <si>
    <t xml:space="preserve">No Mapping</t>
  </si>
  <si>
    <t xml:space="preserve">—</t>
  </si>
  <si>
    <t xml:space="preserve">1</t>
  </si>
  <si>
    <t xml:space="preserve">0</t>
  </si>
  <si>
    <t xml:space="preserve">TI=1 OR Nil</t>
  </si>
  <si>
    <t xml:space="preserve">Very weak / no evidence</t>
  </si>
  <si>
    <t xml:space="preserve">Only one class test, no activity</t>
  </si>
  <si>
    <t xml:space="preserve">Low</t>
  </si>
  <si>
    <t xml:space="preserve">2</t>
  </si>
  <si>
    <t xml:space="preserve">TI=2 OR AI=1</t>
  </si>
  <si>
    <t xml:space="preserve">Limited eval: only theory OR one activity</t>
  </si>
  <si>
    <t xml:space="preserve">Mid+End exams only  OR  one assignment only</t>
  </si>
  <si>
    <t xml:space="preserve">Medium</t>
  </si>
  <si>
    <t xml:space="preserve">TI=2 + AI=1  OR  AI=2</t>
  </si>
  <si>
    <t xml:space="preserve">Moderate depth: theory + one activity OR two activities</t>
  </si>
  <si>
    <t xml:space="preserve">Mid+End+Assignment  OR  Quiz+Lab experiment</t>
  </si>
  <si>
    <t xml:space="preserve">High</t>
  </si>
  <si>
    <t xml:space="preserve">3</t>
  </si>
  <si>
    <t xml:space="preserve">2+</t>
  </si>
  <si>
    <t xml:space="preserve">TI=2 + AI≥2</t>
  </si>
  <si>
    <t xml:space="preserve">Comprehensive: theory + multiple activities</t>
  </si>
  <si>
    <t xml:space="preserve">Mid+End+Assignment+Lab+Project+Seminar</t>
  </si>
  <si>
    <t xml:space="preserve">EXCEL FORMULA LOGIC USED IN THIS WORKBOOK</t>
  </si>
  <si>
    <t xml:space="preserve">Step</t>
  </si>
  <si>
    <t xml:space="preserve">Formula / Logic</t>
  </si>
  <si>
    <t xml:space="preserve">Notes</t>
  </si>
  <si>
    <t xml:space="preserve">COUNTIF(TI column range for that row, 1)</t>
  </si>
  <si>
    <t xml:space="preserve">Counts how many Test Items are marked 1 (Used)</t>
  </si>
  <si>
    <t xml:space="preserve">COUNTIF(AI column range for that row, 1)</t>
  </si>
  <si>
    <t xml:space="preserve">Counts how many Assessment Items are marked 1 (Used)</t>
  </si>
  <si>
    <t xml:space="preserve">Mapping Level</t>
  </si>
  <si>
    <t xml:space="preserve">IF(AND(TI&gt;=2, AI&gt;=2), 3,  IF(OR(AND(TI&gt;=2, AI=1), AI&gt;=2), 2,  IF(OR(TI&gt;=2, AI&gt;=1), 1, 0)))</t>
  </si>
  <si>
    <t xml:space="preserve">0=No Map | 1=Low | 2=Medium | 3=High  (see criteria table above)</t>
  </si>
  <si>
    <t xml:space="preserve">IF(level = 0, "—",  TEXT(level, "0"))</t>
  </si>
  <si>
    <t xml:space="preserve">Displayed in matrix</t>
  </si>
  <si>
    <t xml:space="preserve">PO Mapping</t>
  </si>
  <si>
    <t xml:space="preserve">IF(CO relevant to PO AND level &gt; 0,  TEXT(level,"0"),  "—")</t>
  </si>
  <si>
    <t xml:space="preserve">Gated by CO-PO relevance flag</t>
  </si>
  <si>
    <t xml:space="preserve">RELATIONSHIP WITH BLOOM'S TAXONOMY (from guidelines document)</t>
  </si>
  <si>
    <t xml:space="preserve">Assessment Type</t>
  </si>
  <si>
    <t xml:space="preserve">Bloom's Cognitive Level</t>
  </si>
  <si>
    <t xml:space="preserve">Typical Mapping</t>
  </si>
  <si>
    <t xml:space="preserve">Written Exam (TI)</t>
  </si>
  <si>
    <t xml:space="preserve">Remembering / Understanding</t>
  </si>
  <si>
    <t xml:space="preserve">Low to Medium</t>
  </si>
  <si>
    <t xml:space="preserve">Assignment (AI)</t>
  </si>
  <si>
    <t xml:space="preserve">Applying / Analyzing</t>
  </si>
  <si>
    <t xml:space="preserve">Lab Experiment (AI)</t>
  </si>
  <si>
    <t xml:space="preserve">Applying</t>
  </si>
  <si>
    <t xml:space="preserve">Project (AI)</t>
  </si>
  <si>
    <t xml:space="preserve">Creating</t>
  </si>
  <si>
    <t xml:space="preserve">Seminar / Presentation (AI)</t>
  </si>
  <si>
    <t xml:space="preserve">Evaluating / Creating</t>
  </si>
  <si>
    <t xml:space="preserve">Simulation (AI)</t>
  </si>
  <si>
    <t xml:space="preserve">Medium to High</t>
  </si>
  <si>
    <t xml:space="preserve">HOW TO USE THIS WORKBOOK</t>
  </si>
  <si>
    <t xml:space="preserve">1.  Open any course sheet (CS301–CS305)  →  Mark 1=Used / 0=Not Used in TI (blue) and AI (orange) columns per CO</t>
  </si>
  <si>
    <t xml:space="preserve">2.  TI Count = COUNTIF(TI cols, 1)  and  AI Count = COUNTIF(AI cols, 1)  auto-calculate</t>
  </si>
  <si>
    <t xml:space="preserve">3.  Mapping Level auto-calculates using:  IF(TI&gt;=2 AND AI&gt;=2, 3,  IF(TI&gt;=2+AI=1 OR AI&gt;=2, 2,  IF(TI&gt;=2 OR AI&gt;=1, 1, 0)))</t>
  </si>
  <si>
    <t xml:space="preserve">4.  PO/PSO columns show the level only where the CO is relevant to that PO — else shows —</t>
  </si>
  <si>
    <t xml:space="preserve">5.  'CO-PO Mapping' sheet — all values auto-linked; shows full matrix with department averages</t>
  </si>
  <si>
    <t xml:space="preserve">6.  'Type Analysis' sheet — breakdown of TI vs AI usage patterns across all courses</t>
  </si>
  <si>
    <t xml:space="preserve">7.  Edit any 0→1 or 1→0 in yellow cells  →  All levels, symbols, and summaries recalculate instantly</t>
  </si>
  <si>
    <t xml:space="preserve">ASSESSMENT TYPE CO–PO MAPPING — Data Structures &amp; Algorithms (CS301)</t>
  </si>
  <si>
    <t xml:space="preserve">Method C: Mark 1=Used / 0=Not Used in TI (blue) and AI (orange) YELLOW cells  |  Level: TI≥2+AI≥2=3(High)  TI≥2+AI=1 or AI≥2=2(Med)  TI≥2 or AI≥1=1(Low)  else No Mapping</t>
  </si>
  <si>
    <t xml:space="preserve">TEST ITEMS (TI) — Formal Written Exams</t>
  </si>
  <si>
    <t xml:space="preserve">TI
Count</t>
  </si>
  <si>
    <t xml:space="preserve">ASSESSMENT ITEMS (AI) — Activity / Performance Based</t>
  </si>
  <si>
    <t xml:space="preserve">AI
Count</t>
  </si>
  <si>
    <t xml:space="preserve">Level
(0–3)</t>
  </si>
  <si>
    <t xml:space="preserve">CO–PO MAPPING LEVELS</t>
  </si>
  <si>
    <t xml:space="preserve">CO–PSO MAPPING</t>
  </si>
  <si>
    <t xml:space="preserve">CO</t>
  </si>
  <si>
    <t xml:space="preserve">CO Topic / Description</t>
  </si>
  <si>
    <t xml:space="preserve">Mid Exam</t>
  </si>
  <si>
    <t xml:space="preserve">End Exam</t>
  </si>
  <si>
    <t xml:space="preserve">Class Test</t>
  </si>
  <si>
    <t xml:space="preserve">Surprise Test</t>
  </si>
  <si>
    <t xml:space="preserve">Univ. Exam</t>
  </si>
  <si>
    <t xml:space="preserve">TI
Total</t>
  </si>
  <si>
    <t xml:space="preserve">Quiz</t>
  </si>
  <si>
    <t xml:space="preserve">Assignment</t>
  </si>
  <si>
    <t xml:space="preserve">Simulation</t>
  </si>
  <si>
    <t xml:space="preserve">Lab Expt</t>
  </si>
  <si>
    <t xml:space="preserve">Project</t>
  </si>
  <si>
    <t xml:space="preserve">Field Work</t>
  </si>
  <si>
    <t xml:space="preserve">Report/Pres.</t>
  </si>
  <si>
    <t xml:space="preserve">Tutorials</t>
  </si>
  <si>
    <t xml:space="preserve">Activities</t>
  </si>
  <si>
    <t xml:space="preserve">AI
Total</t>
  </si>
  <si>
    <t xml:space="preserve">Map
Level</t>
  </si>
  <si>
    <t xml:space="preserve">Symbol
—/1/2/3</t>
  </si>
  <si>
    <t xml:space="preserve">PO1</t>
  </si>
  <si>
    <t xml:space="preserve">PO2</t>
  </si>
  <si>
    <t xml:space="preserve">PO3</t>
  </si>
  <si>
    <t xml:space="preserve">PO4</t>
  </si>
  <si>
    <t xml:space="preserve">PO5</t>
  </si>
  <si>
    <t xml:space="preserve">PO6</t>
  </si>
  <si>
    <t xml:space="preserve">PO7</t>
  </si>
  <si>
    <t xml:space="preserve">PO8</t>
  </si>
  <si>
    <t xml:space="preserve">PO9</t>
  </si>
  <si>
    <t xml:space="preserve">PO10</t>
  </si>
  <si>
    <t xml:space="preserve">PO11</t>
  </si>
  <si>
    <t xml:space="preserve">PO12</t>
  </si>
  <si>
    <t xml:space="preserve">PSO1</t>
  </si>
  <si>
    <t xml:space="preserve">PSO2</t>
  </si>
  <si>
    <t xml:space="preserve">PSO3</t>
  </si>
  <si>
    <t xml:space="preserve">Item ID →</t>
  </si>
  <si>
    <t xml:space="preserve">TI1</t>
  </si>
  <si>
    <t xml:space="preserve">TI2</t>
  </si>
  <si>
    <t xml:space="preserve">TI3</t>
  </si>
  <si>
    <t xml:space="preserve">TI4</t>
  </si>
  <si>
    <t xml:space="preserve">TI5</t>
  </si>
  <si>
    <t xml:space="preserve">AI1</t>
  </si>
  <si>
    <t xml:space="preserve">AI2</t>
  </si>
  <si>
    <t xml:space="preserve">AI3</t>
  </si>
  <si>
    <t xml:space="preserve">AI4</t>
  </si>
  <si>
    <t xml:space="preserve">AI5</t>
  </si>
  <si>
    <t xml:space="preserve">AI6</t>
  </si>
  <si>
    <t xml:space="preserve">AI7</t>
  </si>
  <si>
    <t xml:space="preserve">AI8</t>
  </si>
  <si>
    <t xml:space="preserve">AI9</t>
  </si>
  <si>
    <t xml:space="preserve">↓  Enter  1 = Used   /   0 = Not Used  in YELLOW cells below    [Blue = Test Items   |   Orange = Assessment Items]  ↓</t>
  </si>
  <si>
    <t xml:space="preserve">CO1</t>
  </si>
  <si>
    <t xml:space="preserve">Arrays, Linked Lists, Stacks, Queues</t>
  </si>
  <si>
    <t xml:space="preserve">CO2</t>
  </si>
  <si>
    <t xml:space="preserve">Trees, Binary Search Trees, Heaps</t>
  </si>
  <si>
    <t xml:space="preserve">CO3</t>
  </si>
  <si>
    <t xml:space="preserve">Graphs: BFS, DFS, Shortest Paths</t>
  </si>
  <si>
    <t xml:space="preserve">CO4</t>
  </si>
  <si>
    <t xml:space="preserve">Sorting &amp; Searching Algorithms</t>
  </si>
  <si>
    <t xml:space="preserve">CO5</t>
  </si>
  <si>
    <t xml:space="preserve">Hashing, Complexity Analysis</t>
  </si>
  <si>
    <t xml:space="preserve">COURSE TOTALS</t>
  </si>
  <si>
    <t xml:space="preserve">AVERAGE MAPPING LEVEL</t>
  </si>
  <si>
    <t xml:space="preserve">ASSESSMENT TYPE CO–PO MAPPING — Database Management Systems (CS302)</t>
  </si>
  <si>
    <t xml:space="preserve">ER Model, Relational Algebra</t>
  </si>
  <si>
    <t xml:space="preserve">SQL — DDL, DML, Complex Queries</t>
  </si>
  <si>
    <t xml:space="preserve">Normalization: 1NF to BCNF</t>
  </si>
  <si>
    <t xml:space="preserve">Transaction Management &amp; Concurrency</t>
  </si>
  <si>
    <t xml:space="preserve">Indexing &amp; Query Optimization</t>
  </si>
  <si>
    <t xml:space="preserve">CO–PO MAPPING MATRIX  (Assessment Type Method)  —  Auto-linked from all course sheets</t>
  </si>
  <si>
    <t xml:space="preserve">Level: — No Mapping  |  1 Low (TI≥2 OR AI≥1)  |  2 Medium (TI≥2+AI=1 OR AI≥2)  |  3 High (TI≥2+AI≥2)  |  — in PO column = CO not relevant to that PO</t>
  </si>
  <si>
    <t xml:space="preserve">LEGEND →</t>
  </si>
  <si>
    <t xml:space="preserve">— No Mapping</t>
  </si>
  <si>
    <t xml:space="preserve">1 Low</t>
  </si>
  <si>
    <t xml:space="preserve">2 Medium</t>
  </si>
  <si>
    <t xml:space="preserve">3 High</t>
  </si>
  <si>
    <t xml:space="preserve">#</t>
  </si>
  <si>
    <t xml:space="preserve">Course</t>
  </si>
  <si>
    <t xml:space="preserve">Code</t>
  </si>
  <si>
    <t xml:space="preserve">PROGRAMME OUTCOMES (PO1–PO12)</t>
  </si>
  <si>
    <t xml:space="preserve">PSOs</t>
  </si>
  <si>
    <t xml:space="preserve">Data Structures &amp; Algorithms</t>
  </si>
  <si>
    <t xml:space="preserve">CS301</t>
  </si>
  <si>
    <t xml:space="preserve">Database Management Systems</t>
  </si>
  <si>
    <t xml:space="preserve">CS302</t>
  </si>
  <si>
    <t xml:space="preserve">Computer Networks</t>
  </si>
  <si>
    <t xml:space="preserve">CS303</t>
  </si>
  <si>
    <t xml:space="preserve">Operating Systems</t>
  </si>
  <si>
    <t xml:space="preserve">CS304</t>
  </si>
  <si>
    <t xml:space="preserve">Machine Learning</t>
  </si>
  <si>
    <t xml:space="preserve">CS305</t>
  </si>
  <si>
    <t xml:space="preserve">CO6</t>
  </si>
  <si>
    <t xml:space="preserve">DEPT AVERAGE (all courses &amp; COs)</t>
  </si>
  <si>
    <t xml:space="preserve">ASSESSMENT TYPE CO–PO MAPPING — Computer Networks (CS303)</t>
  </si>
  <si>
    <t xml:space="preserve">OSI &amp; TCP/IP Model, Protocols</t>
  </si>
  <si>
    <t xml:space="preserve">Data Link Layer, MAC, Error Control</t>
  </si>
  <si>
    <t xml:space="preserve">Network Layer: IP, Routing Algorithms</t>
  </si>
  <si>
    <t xml:space="preserve">Transport Layer: TCP, UDP</t>
  </si>
  <si>
    <t xml:space="preserve">Application Layer: DNS, HTTP, FTP</t>
  </si>
  <si>
    <t xml:space="preserve">ASSESSMENT TYPE ANALYSIS — TI vs AI COUNT  (All Courses)</t>
  </si>
  <si>
    <t xml:space="preserve">Breakdown of Test Items (TI) and Assessment Items (AI) used per CO across all courses. All values auto-linked.</t>
  </si>
  <si>
    <t xml:space="preserve">Topic</t>
  </si>
  <si>
    <t xml:space="preserve">TI</t>
  </si>
  <si>
    <t xml:space="preserve">AI</t>
  </si>
  <si>
    <t xml:space="preserve">(see course sheet)</t>
  </si>
  <si>
    <t xml:space="preserve">COURSE AVERAGES</t>
  </si>
  <si>
    <t xml:space="preserve">ASSESSMENT TYPE CO–PO MAPPING — Operating Systems (CS304)</t>
  </si>
  <si>
    <t xml:space="preserve">Processes, Threads, CPU Scheduling</t>
  </si>
  <si>
    <t xml:space="preserve">Synchronization, Deadlock Handling</t>
  </si>
  <si>
    <t xml:space="preserve">Memory Management: Paging, Segmentation</t>
  </si>
  <si>
    <t xml:space="preserve">File System Organization</t>
  </si>
  <si>
    <t xml:space="preserve">I/O Management &amp; Disk Scheduling</t>
  </si>
  <si>
    <t xml:space="preserve">ASSESSMENT TYPE CO–PO MAPPING — Machine Learning (CS305)</t>
  </si>
  <si>
    <t xml:space="preserve">Supervised Learning: Regression, SVM</t>
  </si>
  <si>
    <t xml:space="preserve">Classification: Decision Trees, KNN</t>
  </si>
  <si>
    <t xml:space="preserve">Neural Networks &amp; Deep Learning</t>
  </si>
  <si>
    <t xml:space="preserve">Unsupervised Learning: Clustering, PCA</t>
  </si>
  <si>
    <t xml:space="preserve">Model Evaluation &amp; Optimization</t>
  </si>
  <si>
    <t xml:space="preserve">Applied ML Projects &amp; Case Studies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</si>
</sst>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0.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8"/>
      <color rgb="FF40404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10"/>
      <color rgb="FFCCCCCC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CCCCCC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BDD7EE"/>
        <bgColor rgb="FFCCCCCC"/>
      </patternFill>
    </fill>
    <fill>
      <patternFill patternType="solid">
        <fgColor rgb="FFFCE4D6"/>
        <bgColor rgb="FFFFF2CC"/>
      </patternFill>
    </fill>
    <fill>
      <patternFill patternType="solid">
        <fgColor rgb="FF00695C"/>
        <bgColor rgb="FF008080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0F2F1"/>
      </patternFill>
    </fill>
    <fill>
      <patternFill patternType="solid">
        <fgColor rgb="FFFFF8DC"/>
        <bgColor rgb="FFFFF2CC"/>
      </patternFill>
    </fill>
    <fill>
      <patternFill patternType="solid">
        <fgColor rgb="FFE2EFDA"/>
        <bgColor rgb="FFE0F2F1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8DC"/>
      </patternFill>
    </fill>
    <fill>
      <patternFill patternType="solid">
        <fgColor rgb="FF8B0000"/>
        <bgColor rgb="FF800000"/>
      </patternFill>
    </fill>
    <fill>
      <patternFill patternType="solid">
        <fgColor rgb="FFFFF2CC"/>
        <bgColor rgb="FFFFF8DC"/>
      </patternFill>
    </fill>
    <fill>
      <patternFill patternType="solid">
        <fgColor rgb="FFE0F2F1"/>
        <bgColor rgb="FFDEEAF1"/>
      </patternFill>
    </fill>
    <fill>
      <patternFill patternType="solid">
        <fgColor rgb="FFDEEAF1"/>
        <bgColor rgb="FFE0F2F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CCCCCC"/>
      <rgbColor rgb="FF808080"/>
      <rgbColor rgb="FF9999FF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F2F2F2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4" min="3" style="1" width="8"/>
    <col collapsed="false" customWidth="true" hidden="false" outlineLevel="0" max="5" min="5" style="1" width="26"/>
    <col collapsed="false" customWidth="true" hidden="false" outlineLevel="0" max="10" min="6" style="1" width="18"/>
  </cols>
  <sheetData>
    <row r="1" customFormat="false" ht="4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6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9.5" hidden="false" customHeight="true" outlineLevel="0" collapsed="false">
      <c r="A5" s="5" t="s">
        <v>3</v>
      </c>
      <c r="B5" s="5"/>
      <c r="C5" s="5"/>
      <c r="D5" s="5"/>
      <c r="E5" s="5"/>
      <c r="F5" s="6" t="s">
        <v>4</v>
      </c>
      <c r="G5" s="6"/>
      <c r="H5" s="6"/>
      <c r="I5" s="6"/>
      <c r="J5" s="6"/>
    </row>
    <row r="6" customFormat="false" ht="18" hidden="false" customHeight="true" outlineLevel="0" collapsed="false">
      <c r="A6" s="7" t="s">
        <v>5</v>
      </c>
      <c r="B6" s="7"/>
      <c r="C6" s="7"/>
      <c r="D6" s="7"/>
      <c r="E6" s="7"/>
      <c r="F6" s="8" t="s">
        <v>6</v>
      </c>
      <c r="G6" s="8"/>
      <c r="H6" s="8"/>
      <c r="I6" s="8"/>
      <c r="J6" s="8"/>
    </row>
    <row r="8" customFormat="false" ht="21.75" hidden="false" customHeight="true" outlineLevel="0" collapsed="false">
      <c r="A8" s="9" t="s">
        <v>7</v>
      </c>
      <c r="B8" s="9"/>
      <c r="C8" s="9"/>
      <c r="D8" s="9"/>
      <c r="E8" s="9"/>
      <c r="F8" s="9"/>
      <c r="G8" s="9"/>
      <c r="H8" s="9"/>
      <c r="I8" s="9"/>
      <c r="J8" s="9"/>
    </row>
    <row r="9" customFormat="false" ht="19.5" hidden="false" customHeight="true" outlineLevel="0" collapsed="false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</row>
    <row r="10" customFormat="false" ht="21.75" hidden="false" customHeight="true" outlineLevel="0" collapsed="false">
      <c r="A10" s="11" t="s">
        <v>15</v>
      </c>
      <c r="B10" s="12" t="s">
        <v>16</v>
      </c>
      <c r="C10" s="13" t="s">
        <v>17</v>
      </c>
      <c r="D10" s="13" t="s">
        <v>18</v>
      </c>
      <c r="E10" s="13" t="s">
        <v>19</v>
      </c>
      <c r="F10" s="13" t="s">
        <v>20</v>
      </c>
      <c r="G10" s="14" t="s">
        <v>21</v>
      </c>
      <c r="H10" s="14"/>
      <c r="I10" s="14"/>
      <c r="J10" s="14"/>
    </row>
    <row r="11" customFormat="false" ht="21.75" hidden="false" customHeight="true" outlineLevel="0" collapsed="false">
      <c r="A11" s="15" t="s">
        <v>22</v>
      </c>
      <c r="B11" s="16" t="s">
        <v>17</v>
      </c>
      <c r="C11" s="17" t="s">
        <v>23</v>
      </c>
      <c r="D11" s="17" t="s">
        <v>18</v>
      </c>
      <c r="E11" s="17" t="s">
        <v>24</v>
      </c>
      <c r="F11" s="17" t="s">
        <v>25</v>
      </c>
      <c r="G11" s="18" t="s">
        <v>26</v>
      </c>
      <c r="H11" s="18"/>
      <c r="I11" s="18"/>
      <c r="J11" s="18"/>
    </row>
    <row r="12" customFormat="false" ht="21.75" hidden="false" customHeight="true" outlineLevel="0" collapsed="false">
      <c r="A12" s="19" t="s">
        <v>27</v>
      </c>
      <c r="B12" s="20" t="s">
        <v>23</v>
      </c>
      <c r="C12" s="21" t="s">
        <v>23</v>
      </c>
      <c r="D12" s="21" t="s">
        <v>17</v>
      </c>
      <c r="E12" s="21" t="s">
        <v>28</v>
      </c>
      <c r="F12" s="21" t="s">
        <v>29</v>
      </c>
      <c r="G12" s="22" t="s">
        <v>30</v>
      </c>
      <c r="H12" s="22"/>
      <c r="I12" s="22"/>
      <c r="J12" s="22"/>
    </row>
    <row r="13" customFormat="false" ht="21.75" hidden="false" customHeight="true" outlineLevel="0" collapsed="false">
      <c r="A13" s="23" t="s">
        <v>31</v>
      </c>
      <c r="B13" s="24" t="s">
        <v>32</v>
      </c>
      <c r="C13" s="25" t="s">
        <v>23</v>
      </c>
      <c r="D13" s="25" t="s">
        <v>33</v>
      </c>
      <c r="E13" s="25" t="s">
        <v>34</v>
      </c>
      <c r="F13" s="25" t="s">
        <v>35</v>
      </c>
      <c r="G13" s="26" t="s">
        <v>36</v>
      </c>
      <c r="H13" s="26"/>
      <c r="I13" s="26"/>
      <c r="J13" s="26"/>
    </row>
    <row r="15" customFormat="false" ht="21.75" hidden="false" customHeight="true" outlineLevel="0" collapsed="false">
      <c r="A15" s="27" t="s">
        <v>37</v>
      </c>
      <c r="B15" s="27"/>
      <c r="C15" s="27"/>
      <c r="D15" s="27"/>
      <c r="E15" s="27"/>
      <c r="F15" s="27"/>
      <c r="G15" s="27"/>
      <c r="H15" s="27"/>
      <c r="I15" s="27"/>
      <c r="J15" s="27"/>
    </row>
    <row r="16" customFormat="false" ht="18" hidden="false" customHeight="true" outlineLevel="0" collapsed="false">
      <c r="A16" s="10" t="s">
        <v>38</v>
      </c>
      <c r="B16" s="10" t="s">
        <v>39</v>
      </c>
      <c r="C16" s="10" t="s">
        <v>40</v>
      </c>
    </row>
    <row r="17" customFormat="false" ht="19.5" hidden="false" customHeight="true" outlineLevel="0" collapsed="false">
      <c r="A17" s="28" t="s">
        <v>10</v>
      </c>
      <c r="B17" s="29" t="s">
        <v>41</v>
      </c>
      <c r="C17" s="30" t="s">
        <v>42</v>
      </c>
      <c r="D17" s="30"/>
      <c r="E17" s="30"/>
      <c r="F17" s="30"/>
      <c r="G17" s="30"/>
      <c r="H17" s="30"/>
      <c r="I17" s="30"/>
      <c r="J17" s="30"/>
    </row>
    <row r="18" customFormat="false" ht="19.5" hidden="false" customHeight="true" outlineLevel="0" collapsed="false">
      <c r="A18" s="31" t="s">
        <v>11</v>
      </c>
      <c r="B18" s="32" t="s">
        <v>43</v>
      </c>
      <c r="C18" s="33" t="s">
        <v>44</v>
      </c>
      <c r="D18" s="33"/>
      <c r="E18" s="33"/>
      <c r="F18" s="33"/>
      <c r="G18" s="33"/>
      <c r="H18" s="33"/>
      <c r="I18" s="33"/>
      <c r="J18" s="33"/>
    </row>
    <row r="19" customFormat="false" ht="19.5" hidden="false" customHeight="true" outlineLevel="0" collapsed="false">
      <c r="A19" s="28" t="s">
        <v>45</v>
      </c>
      <c r="B19" s="29" t="s">
        <v>46</v>
      </c>
      <c r="C19" s="30" t="s">
        <v>47</v>
      </c>
      <c r="D19" s="30"/>
      <c r="E19" s="30"/>
      <c r="F19" s="30"/>
      <c r="G19" s="30"/>
      <c r="H19" s="30"/>
      <c r="I19" s="30"/>
      <c r="J19" s="30"/>
    </row>
    <row r="20" customFormat="false" ht="19.5" hidden="false" customHeight="true" outlineLevel="0" collapsed="false">
      <c r="A20" s="31" t="s">
        <v>9</v>
      </c>
      <c r="B20" s="32" t="s">
        <v>48</v>
      </c>
      <c r="C20" s="33" t="s">
        <v>49</v>
      </c>
      <c r="D20" s="33"/>
      <c r="E20" s="33"/>
      <c r="F20" s="33"/>
      <c r="G20" s="33"/>
      <c r="H20" s="33"/>
      <c r="I20" s="33"/>
      <c r="J20" s="33"/>
    </row>
    <row r="21" customFormat="false" ht="19.5" hidden="false" customHeight="true" outlineLevel="0" collapsed="false">
      <c r="A21" s="28" t="s">
        <v>50</v>
      </c>
      <c r="B21" s="29" t="s">
        <v>51</v>
      </c>
      <c r="C21" s="30" t="s">
        <v>52</v>
      </c>
      <c r="D21" s="30"/>
      <c r="E21" s="30"/>
      <c r="F21" s="30"/>
      <c r="G21" s="30"/>
      <c r="H21" s="30"/>
      <c r="I21" s="30"/>
      <c r="J21" s="30"/>
    </row>
    <row r="23" customFormat="false" ht="21.75" hidden="false" customHeight="true" outlineLevel="0" collapsed="false">
      <c r="A23" s="34" t="s">
        <v>53</v>
      </c>
      <c r="B23" s="34"/>
      <c r="C23" s="34"/>
      <c r="D23" s="34"/>
      <c r="E23" s="34"/>
      <c r="F23" s="34"/>
      <c r="G23" s="34"/>
      <c r="H23" s="34"/>
      <c r="I23" s="34"/>
      <c r="J23" s="34"/>
    </row>
    <row r="24" customFormat="false" ht="18" hidden="false" customHeight="true" outlineLevel="0" collapsed="false">
      <c r="A24" s="10" t="s">
        <v>54</v>
      </c>
      <c r="B24" s="10" t="s">
        <v>55</v>
      </c>
      <c r="C24" s="10" t="s">
        <v>56</v>
      </c>
    </row>
    <row r="25" customFormat="false" ht="18" hidden="false" customHeight="true" outlineLevel="0" collapsed="false">
      <c r="A25" s="35" t="s">
        <v>57</v>
      </c>
      <c r="B25" s="36" t="s">
        <v>58</v>
      </c>
      <c r="C25" s="36"/>
      <c r="D25" s="36"/>
      <c r="E25" s="14" t="s">
        <v>59</v>
      </c>
      <c r="F25" s="14"/>
      <c r="G25" s="14"/>
      <c r="H25" s="14"/>
      <c r="I25" s="14"/>
      <c r="J25" s="14"/>
    </row>
    <row r="26" customFormat="false" ht="18" hidden="false" customHeight="true" outlineLevel="0" collapsed="false">
      <c r="A26" s="37" t="s">
        <v>60</v>
      </c>
      <c r="B26" s="36" t="s">
        <v>61</v>
      </c>
      <c r="C26" s="36"/>
      <c r="D26" s="36"/>
      <c r="E26" s="38" t="s">
        <v>27</v>
      </c>
      <c r="F26" s="38"/>
      <c r="G26" s="38"/>
      <c r="H26" s="38"/>
      <c r="I26" s="38"/>
      <c r="J26" s="38"/>
    </row>
    <row r="27" customFormat="false" ht="18" hidden="false" customHeight="true" outlineLevel="0" collapsed="false">
      <c r="A27" s="35" t="s">
        <v>62</v>
      </c>
      <c r="B27" s="36" t="s">
        <v>63</v>
      </c>
      <c r="C27" s="36"/>
      <c r="D27" s="36"/>
      <c r="E27" s="14" t="s">
        <v>27</v>
      </c>
      <c r="F27" s="14"/>
      <c r="G27" s="14"/>
      <c r="H27" s="14"/>
      <c r="I27" s="14"/>
      <c r="J27" s="14"/>
    </row>
    <row r="28" customFormat="false" ht="18" hidden="false" customHeight="true" outlineLevel="0" collapsed="false">
      <c r="A28" s="37" t="s">
        <v>64</v>
      </c>
      <c r="B28" s="36" t="s">
        <v>65</v>
      </c>
      <c r="C28" s="36"/>
      <c r="D28" s="36"/>
      <c r="E28" s="38" t="s">
        <v>31</v>
      </c>
      <c r="F28" s="38"/>
      <c r="G28" s="38"/>
      <c r="H28" s="38"/>
      <c r="I28" s="38"/>
      <c r="J28" s="38"/>
    </row>
    <row r="29" customFormat="false" ht="18" hidden="false" customHeight="true" outlineLevel="0" collapsed="false">
      <c r="A29" s="35" t="s">
        <v>66</v>
      </c>
      <c r="B29" s="36" t="s">
        <v>67</v>
      </c>
      <c r="C29" s="36"/>
      <c r="D29" s="36"/>
      <c r="E29" s="14" t="s">
        <v>31</v>
      </c>
      <c r="F29" s="14"/>
      <c r="G29" s="14"/>
      <c r="H29" s="14"/>
      <c r="I29" s="14"/>
      <c r="J29" s="14"/>
    </row>
    <row r="30" customFormat="false" ht="18" hidden="false" customHeight="true" outlineLevel="0" collapsed="false">
      <c r="A30" s="37" t="s">
        <v>68</v>
      </c>
      <c r="B30" s="36" t="s">
        <v>61</v>
      </c>
      <c r="C30" s="36"/>
      <c r="D30" s="36"/>
      <c r="E30" s="38" t="s">
        <v>69</v>
      </c>
      <c r="F30" s="38"/>
      <c r="G30" s="38"/>
      <c r="H30" s="38"/>
      <c r="I30" s="38"/>
      <c r="J30" s="38"/>
    </row>
    <row r="32" customFormat="false" ht="21.75" hidden="false" customHeight="true" outlineLevel="0" collapsed="false">
      <c r="A32" s="27" t="s">
        <v>70</v>
      </c>
      <c r="B32" s="27"/>
      <c r="C32" s="27"/>
      <c r="D32" s="27"/>
      <c r="E32" s="27"/>
      <c r="F32" s="27"/>
      <c r="G32" s="27"/>
      <c r="H32" s="27"/>
      <c r="I32" s="27"/>
      <c r="J32" s="27"/>
    </row>
    <row r="33" customFormat="false" ht="18" hidden="false" customHeight="true" outlineLevel="0" collapsed="false">
      <c r="A33" s="39" t="s">
        <v>71</v>
      </c>
      <c r="B33" s="39"/>
      <c r="C33" s="39"/>
      <c r="D33" s="39"/>
      <c r="E33" s="39"/>
      <c r="F33" s="39"/>
      <c r="G33" s="39"/>
      <c r="H33" s="39"/>
      <c r="I33" s="39"/>
      <c r="J33" s="39"/>
    </row>
    <row r="34" customFormat="false" ht="18" hidden="false" customHeight="true" outlineLevel="0" collapsed="false">
      <c r="A34" s="40" t="s">
        <v>72</v>
      </c>
      <c r="B34" s="40"/>
      <c r="C34" s="40"/>
      <c r="D34" s="40"/>
      <c r="E34" s="40"/>
      <c r="F34" s="40"/>
      <c r="G34" s="40"/>
      <c r="H34" s="40"/>
      <c r="I34" s="40"/>
      <c r="J34" s="40"/>
    </row>
    <row r="35" customFormat="false" ht="18" hidden="false" customHeight="true" outlineLevel="0" collapsed="false">
      <c r="A35" s="39" t="s">
        <v>73</v>
      </c>
      <c r="B35" s="39"/>
      <c r="C35" s="39"/>
      <c r="D35" s="39"/>
      <c r="E35" s="39"/>
      <c r="F35" s="39"/>
      <c r="G35" s="39"/>
      <c r="H35" s="39"/>
      <c r="I35" s="39"/>
      <c r="J35" s="39"/>
    </row>
    <row r="36" customFormat="false" ht="18" hidden="false" customHeight="true" outlineLevel="0" collapsed="false">
      <c r="A36" s="40" t="s">
        <v>74</v>
      </c>
      <c r="B36" s="40"/>
      <c r="C36" s="40"/>
      <c r="D36" s="40"/>
      <c r="E36" s="40"/>
      <c r="F36" s="40"/>
      <c r="G36" s="40"/>
      <c r="H36" s="40"/>
      <c r="I36" s="40"/>
      <c r="J36" s="40"/>
    </row>
    <row r="37" customFormat="false" ht="18" hidden="false" customHeight="true" outlineLevel="0" collapsed="false">
      <c r="A37" s="39" t="s">
        <v>75</v>
      </c>
      <c r="B37" s="39"/>
      <c r="C37" s="39"/>
      <c r="D37" s="39"/>
      <c r="E37" s="39"/>
      <c r="F37" s="39"/>
      <c r="G37" s="39"/>
      <c r="H37" s="39"/>
      <c r="I37" s="39"/>
      <c r="J37" s="39"/>
    </row>
    <row r="38" customFormat="false" ht="18" hidden="false" customHeight="true" outlineLevel="0" collapsed="false">
      <c r="A38" s="40" t="s">
        <v>76</v>
      </c>
      <c r="B38" s="40"/>
      <c r="C38" s="40"/>
      <c r="D38" s="40"/>
      <c r="E38" s="40"/>
      <c r="F38" s="40"/>
      <c r="G38" s="40"/>
      <c r="H38" s="40"/>
      <c r="I38" s="40"/>
      <c r="J38" s="40"/>
    </row>
    <row r="39" customFormat="false" ht="18" hidden="false" customHeight="true" outlineLevel="0" collapsed="false">
      <c r="A39" s="39" t="s">
        <v>77</v>
      </c>
      <c r="B39" s="39"/>
      <c r="C39" s="39"/>
      <c r="D39" s="39"/>
      <c r="E39" s="39"/>
      <c r="F39" s="39"/>
      <c r="G39" s="39"/>
      <c r="H39" s="39"/>
      <c r="I39" s="39"/>
      <c r="J39" s="39"/>
    </row>
  </sheetData>
  <mergeCells count="39">
    <mergeCell ref="A1:J1"/>
    <mergeCell ref="A2:J2"/>
    <mergeCell ref="A4:J4"/>
    <mergeCell ref="A5:E5"/>
    <mergeCell ref="F5:J5"/>
    <mergeCell ref="A6:E6"/>
    <mergeCell ref="F6:J6"/>
    <mergeCell ref="A8:J8"/>
    <mergeCell ref="G10:J10"/>
    <mergeCell ref="G11:J11"/>
    <mergeCell ref="G12:J12"/>
    <mergeCell ref="G13:J13"/>
    <mergeCell ref="A15:J15"/>
    <mergeCell ref="C17:J17"/>
    <mergeCell ref="C18:J18"/>
    <mergeCell ref="C19:J19"/>
    <mergeCell ref="C20:J20"/>
    <mergeCell ref="C21:J21"/>
    <mergeCell ref="A23:J23"/>
    <mergeCell ref="B25:D25"/>
    <mergeCell ref="E25:J25"/>
    <mergeCell ref="B26:D26"/>
    <mergeCell ref="E26:J26"/>
    <mergeCell ref="B27:D27"/>
    <mergeCell ref="E27:J27"/>
    <mergeCell ref="B28:D28"/>
    <mergeCell ref="E28:J28"/>
    <mergeCell ref="B29:D29"/>
    <mergeCell ref="E29:J29"/>
    <mergeCell ref="B30:D30"/>
    <mergeCell ref="E30:J30"/>
    <mergeCell ref="A32:J32"/>
    <mergeCell ref="A33:J33"/>
    <mergeCell ref="A34:J34"/>
    <mergeCell ref="A35:J35"/>
    <mergeCell ref="A36:J36"/>
    <mergeCell ref="A37:J37"/>
    <mergeCell ref="A38:J38"/>
    <mergeCell ref="A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8" min="3" style="1" width="10"/>
    <col collapsed="false" customWidth="true" hidden="false" outlineLevel="0" max="18" min="9" style="1" width="11"/>
    <col collapsed="false" customWidth="true" hidden="false" outlineLevel="0" max="20" min="19" style="1" width="9"/>
    <col collapsed="false" customWidth="true" hidden="false" outlineLevel="0" max="35" min="21" style="1" width="8"/>
  </cols>
  <sheetData>
    <row r="1" customFormat="false" ht="36" hidden="false" customHeight="true" outlineLevel="0" collapsed="false">
      <c r="A1" s="41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customFormat="false" ht="13.5" hidden="false" customHeight="true" outlineLevel="0" collapsed="false">
      <c r="A2" s="42" t="s">
        <v>79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</row>
    <row r="3" customFormat="false" ht="4.5" hidden="false" customHeight="true" outlineLevel="0" collapsed="false"/>
    <row r="4" customFormat="false" ht="21.75" hidden="false" customHeight="true" outlineLevel="0" collapsed="false">
      <c r="A4" s="43"/>
      <c r="B4" s="43"/>
      <c r="C4" s="5" t="s">
        <v>80</v>
      </c>
      <c r="D4" s="5"/>
      <c r="E4" s="5"/>
      <c r="F4" s="5"/>
      <c r="G4" s="5"/>
      <c r="H4" s="44" t="s">
        <v>81</v>
      </c>
      <c r="I4" s="6" t="s">
        <v>82</v>
      </c>
      <c r="J4" s="6"/>
      <c r="K4" s="6"/>
      <c r="L4" s="6"/>
      <c r="M4" s="6"/>
      <c r="N4" s="6"/>
      <c r="O4" s="6"/>
      <c r="P4" s="6"/>
      <c r="Q4" s="6"/>
      <c r="R4" s="45" t="s">
        <v>83</v>
      </c>
      <c r="S4" s="46" t="s">
        <v>84</v>
      </c>
      <c r="T4" s="47" t="s">
        <v>9</v>
      </c>
      <c r="U4" s="5" t="s">
        <v>85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8" t="s">
        <v>86</v>
      </c>
      <c r="AH4" s="48"/>
      <c r="AI4" s="48"/>
    </row>
    <row r="5" customFormat="false" ht="30" hidden="false" customHeight="true" outlineLevel="0" collapsed="false">
      <c r="A5" s="10" t="s">
        <v>87</v>
      </c>
      <c r="B5" s="10" t="s">
        <v>88</v>
      </c>
      <c r="C5" s="49" t="s">
        <v>89</v>
      </c>
      <c r="D5" s="49" t="s">
        <v>90</v>
      </c>
      <c r="E5" s="49" t="s">
        <v>91</v>
      </c>
      <c r="F5" s="49" t="s">
        <v>92</v>
      </c>
      <c r="G5" s="49" t="s">
        <v>93</v>
      </c>
      <c r="H5" s="44" t="s">
        <v>94</v>
      </c>
      <c r="I5" s="50" t="s">
        <v>95</v>
      </c>
      <c r="J5" s="50" t="s">
        <v>96</v>
      </c>
      <c r="K5" s="50" t="s">
        <v>97</v>
      </c>
      <c r="L5" s="50" t="s">
        <v>98</v>
      </c>
      <c r="M5" s="50" t="s">
        <v>99</v>
      </c>
      <c r="N5" s="50" t="s">
        <v>100</v>
      </c>
      <c r="O5" s="50" t="s">
        <v>101</v>
      </c>
      <c r="P5" s="50" t="s">
        <v>102</v>
      </c>
      <c r="Q5" s="50" t="s">
        <v>103</v>
      </c>
      <c r="R5" s="45" t="s">
        <v>104</v>
      </c>
      <c r="S5" s="46" t="s">
        <v>105</v>
      </c>
      <c r="T5" s="51" t="s">
        <v>106</v>
      </c>
      <c r="U5" s="52" t="s">
        <v>107</v>
      </c>
      <c r="V5" s="52" t="s">
        <v>108</v>
      </c>
      <c r="W5" s="52" t="s">
        <v>109</v>
      </c>
      <c r="X5" s="52" t="s">
        <v>110</v>
      </c>
      <c r="Y5" s="52" t="s">
        <v>111</v>
      </c>
      <c r="Z5" s="52" t="s">
        <v>112</v>
      </c>
      <c r="AA5" s="52" t="s">
        <v>113</v>
      </c>
      <c r="AB5" s="52" t="s">
        <v>114</v>
      </c>
      <c r="AC5" s="52" t="s">
        <v>115</v>
      </c>
      <c r="AD5" s="52" t="s">
        <v>116</v>
      </c>
      <c r="AE5" s="52" t="s">
        <v>117</v>
      </c>
      <c r="AF5" s="52" t="s">
        <v>118</v>
      </c>
      <c r="AG5" s="53" t="s">
        <v>119</v>
      </c>
      <c r="AH5" s="53" t="s">
        <v>120</v>
      </c>
      <c r="AI5" s="53" t="s">
        <v>121</v>
      </c>
    </row>
    <row r="6" customFormat="false" ht="15.75" hidden="false" customHeight="true" outlineLevel="0" collapsed="false">
      <c r="A6" s="54"/>
      <c r="B6" s="55" t="s">
        <v>122</v>
      </c>
      <c r="C6" s="56" t="s">
        <v>123</v>
      </c>
      <c r="D6" s="56" t="s">
        <v>124</v>
      </c>
      <c r="E6" s="56" t="s">
        <v>125</v>
      </c>
      <c r="F6" s="56" t="s">
        <v>126</v>
      </c>
      <c r="G6" s="56" t="s">
        <v>127</v>
      </c>
      <c r="H6" s="13"/>
      <c r="I6" s="56" t="s">
        <v>128</v>
      </c>
      <c r="J6" s="56" t="s">
        <v>129</v>
      </c>
      <c r="K6" s="56" t="s">
        <v>130</v>
      </c>
      <c r="L6" s="56" t="s">
        <v>131</v>
      </c>
      <c r="M6" s="56" t="s">
        <v>132</v>
      </c>
      <c r="N6" s="56" t="s">
        <v>133</v>
      </c>
      <c r="O6" s="56" t="s">
        <v>134</v>
      </c>
      <c r="P6" s="56" t="s">
        <v>135</v>
      </c>
      <c r="Q6" s="56" t="s">
        <v>136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customFormat="false" ht="13.5" hidden="false" customHeight="true" outlineLevel="0" collapsed="false">
      <c r="A7" s="57" t="s">
        <v>137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</row>
    <row r="8" customFormat="false" ht="19.5" hidden="false" customHeight="true" outlineLevel="0" collapsed="false">
      <c r="A8" s="58" t="s">
        <v>138</v>
      </c>
      <c r="B8" s="35" t="s">
        <v>139</v>
      </c>
      <c r="C8" s="59" t="n">
        <v>1</v>
      </c>
      <c r="D8" s="59" t="n">
        <v>1</v>
      </c>
      <c r="E8" s="60" t="n">
        <v>0</v>
      </c>
      <c r="F8" s="60" t="n">
        <v>0</v>
      </c>
      <c r="G8" s="59" t="n">
        <v>1</v>
      </c>
      <c r="H8" s="61" t="n">
        <f aca="false">COUNTIF(C8:G8,1)</f>
        <v>3</v>
      </c>
      <c r="I8" s="62" t="n">
        <v>1</v>
      </c>
      <c r="J8" s="62" t="n">
        <v>1</v>
      </c>
      <c r="K8" s="60" t="n">
        <v>0</v>
      </c>
      <c r="L8" s="60" t="n">
        <v>0</v>
      </c>
      <c r="M8" s="60" t="n">
        <v>0</v>
      </c>
      <c r="N8" s="60" t="n">
        <v>0</v>
      </c>
      <c r="O8" s="60" t="n">
        <v>0</v>
      </c>
      <c r="P8" s="62" t="n">
        <v>1</v>
      </c>
      <c r="Q8" s="60" t="n">
        <v>0</v>
      </c>
      <c r="R8" s="63" t="n">
        <f aca="false">COUNTIF(I8:Q8,1)</f>
        <v>3</v>
      </c>
      <c r="S8" s="64" t="n">
        <f aca="false">IF(AND(H8&gt;=2,R8&gt;=2),3,IF(OR(AND(H8&gt;=2,R8=1),R8&gt;=2),2,IF(OR(H8&gt;=2,R8&gt;=1),1,0)))</f>
        <v>3</v>
      </c>
      <c r="T8" s="65" t="str">
        <f aca="false">IF(S8=0,"—",TEXT(S8,"0"))</f>
        <v>3</v>
      </c>
      <c r="U8" s="66" t="str">
        <f aca="false">IF(S8=0,"—",TEXT(S8,"0"))</f>
        <v>3</v>
      </c>
      <c r="V8" s="66" t="str">
        <f aca="false">IF(S8=0,"—",TEXT(S8,"0"))</f>
        <v>3</v>
      </c>
      <c r="W8" s="66" t="str">
        <f aca="false">IF(S8=0,"—",TEXT(S8,"0"))</f>
        <v>3</v>
      </c>
      <c r="X8" s="67" t="s">
        <v>16</v>
      </c>
      <c r="Y8" s="67" t="s">
        <v>16</v>
      </c>
      <c r="Z8" s="67" t="s">
        <v>16</v>
      </c>
      <c r="AA8" s="67" t="s">
        <v>16</v>
      </c>
      <c r="AB8" s="67" t="s">
        <v>16</v>
      </c>
      <c r="AC8" s="67" t="s">
        <v>16</v>
      </c>
      <c r="AD8" s="67" t="s">
        <v>16</v>
      </c>
      <c r="AE8" s="67" t="s">
        <v>16</v>
      </c>
      <c r="AF8" s="66" t="str">
        <f aca="false">IF(S8=0,"—",TEXT(S8,"0"))</f>
        <v>3</v>
      </c>
      <c r="AG8" s="66" t="str">
        <f aca="false">IF(S8=0,"—",TEXT(S8,"0"))</f>
        <v>3</v>
      </c>
      <c r="AH8" s="67" t="s">
        <v>16</v>
      </c>
      <c r="AI8" s="67" t="s">
        <v>16</v>
      </c>
    </row>
    <row r="9" customFormat="false" ht="19.5" hidden="false" customHeight="true" outlineLevel="0" collapsed="false">
      <c r="A9" s="58" t="s">
        <v>140</v>
      </c>
      <c r="B9" s="37" t="s">
        <v>141</v>
      </c>
      <c r="C9" s="59" t="n">
        <v>1</v>
      </c>
      <c r="D9" s="59" t="n">
        <v>1</v>
      </c>
      <c r="E9" s="60" t="n">
        <v>0</v>
      </c>
      <c r="F9" s="60" t="n">
        <v>0</v>
      </c>
      <c r="G9" s="59" t="n">
        <v>1</v>
      </c>
      <c r="H9" s="61" t="n">
        <f aca="false">COUNTIF(C9:G9,1)</f>
        <v>3</v>
      </c>
      <c r="I9" s="62" t="n">
        <v>1</v>
      </c>
      <c r="J9" s="62" t="n">
        <v>1</v>
      </c>
      <c r="K9" s="60" t="n">
        <v>0</v>
      </c>
      <c r="L9" s="62" t="n">
        <v>1</v>
      </c>
      <c r="M9" s="60" t="n">
        <v>0</v>
      </c>
      <c r="N9" s="60" t="n">
        <v>0</v>
      </c>
      <c r="O9" s="60" t="n">
        <v>0</v>
      </c>
      <c r="P9" s="62" t="n">
        <v>1</v>
      </c>
      <c r="Q9" s="60" t="n">
        <v>0</v>
      </c>
      <c r="R9" s="63" t="n">
        <f aca="false">COUNTIF(I9:Q9,1)</f>
        <v>4</v>
      </c>
      <c r="S9" s="64" t="n">
        <f aca="false">IF(AND(H9&gt;=2,R9&gt;=2),3,IF(OR(AND(H9&gt;=2,R9=1),R9&gt;=2),2,IF(OR(H9&gt;=2,R9&gt;=1),1,0)))</f>
        <v>3</v>
      </c>
      <c r="T9" s="65" t="str">
        <f aca="false">IF(S9=0,"—",TEXT(S9,"0"))</f>
        <v>3</v>
      </c>
      <c r="U9" s="68" t="str">
        <f aca="false">IF(S9=0,"—",TEXT(S9,"0"))</f>
        <v>3</v>
      </c>
      <c r="V9" s="68" t="str">
        <f aca="false">IF(S9=0,"—",TEXT(S9,"0"))</f>
        <v>3</v>
      </c>
      <c r="W9" s="68" t="str">
        <f aca="false">IF(S9=0,"—",TEXT(S9,"0"))</f>
        <v>3</v>
      </c>
      <c r="X9" s="68" t="str">
        <f aca="false">IF(S9=0,"—",TEXT(S9,"0"))</f>
        <v>3</v>
      </c>
      <c r="Y9" s="69" t="s">
        <v>16</v>
      </c>
      <c r="Z9" s="69" t="s">
        <v>16</v>
      </c>
      <c r="AA9" s="69" t="s">
        <v>16</v>
      </c>
      <c r="AB9" s="69" t="s">
        <v>16</v>
      </c>
      <c r="AC9" s="69" t="s">
        <v>16</v>
      </c>
      <c r="AD9" s="69" t="s">
        <v>16</v>
      </c>
      <c r="AE9" s="69" t="s">
        <v>16</v>
      </c>
      <c r="AF9" s="68" t="str">
        <f aca="false">IF(S9=0,"—",TEXT(S9,"0"))</f>
        <v>3</v>
      </c>
      <c r="AG9" s="68" t="str">
        <f aca="false">IF(S9=0,"—",TEXT(S9,"0"))</f>
        <v>3</v>
      </c>
      <c r="AH9" s="69" t="s">
        <v>16</v>
      </c>
      <c r="AI9" s="69" t="s">
        <v>16</v>
      </c>
    </row>
    <row r="10" customFormat="false" ht="19.5" hidden="false" customHeight="true" outlineLevel="0" collapsed="false">
      <c r="A10" s="58" t="s">
        <v>142</v>
      </c>
      <c r="B10" s="35" t="s">
        <v>143</v>
      </c>
      <c r="C10" s="59" t="n">
        <v>1</v>
      </c>
      <c r="D10" s="59" t="n">
        <v>1</v>
      </c>
      <c r="E10" s="59" t="n">
        <v>1</v>
      </c>
      <c r="F10" s="60" t="n">
        <v>0</v>
      </c>
      <c r="G10" s="59" t="n">
        <v>1</v>
      </c>
      <c r="H10" s="61" t="n">
        <f aca="false">COUNTIF(C10:G10,1)</f>
        <v>4</v>
      </c>
      <c r="I10" s="62" t="n">
        <v>1</v>
      </c>
      <c r="J10" s="62" t="n">
        <v>1</v>
      </c>
      <c r="K10" s="62" t="n">
        <v>1</v>
      </c>
      <c r="L10" s="62" t="n">
        <v>1</v>
      </c>
      <c r="M10" s="60" t="n">
        <v>0</v>
      </c>
      <c r="N10" s="60" t="n">
        <v>0</v>
      </c>
      <c r="O10" s="60" t="n">
        <v>0</v>
      </c>
      <c r="P10" s="62" t="n">
        <v>1</v>
      </c>
      <c r="Q10" s="60" t="n">
        <v>0</v>
      </c>
      <c r="R10" s="63" t="n">
        <f aca="false">COUNTIF(I10:Q10,1)</f>
        <v>5</v>
      </c>
      <c r="S10" s="64" t="n">
        <f aca="false">IF(AND(H10&gt;=2,R10&gt;=2),3,IF(OR(AND(H10&gt;=2,R10=1),R10&gt;=2),2,IF(OR(H10&gt;=2,R10&gt;=1),1,0)))</f>
        <v>3</v>
      </c>
      <c r="T10" s="65" t="str">
        <f aca="false">IF(S10=0,"—",TEXT(S10,"0"))</f>
        <v>3</v>
      </c>
      <c r="U10" s="66" t="str">
        <f aca="false">IF(S10=0,"—",TEXT(S10,"0"))</f>
        <v>3</v>
      </c>
      <c r="V10" s="66" t="str">
        <f aca="false">IF(S10=0,"—",TEXT(S10,"0"))</f>
        <v>3</v>
      </c>
      <c r="W10" s="66" t="str">
        <f aca="false">IF(S10=0,"—",TEXT(S10,"0"))</f>
        <v>3</v>
      </c>
      <c r="X10" s="66" t="str">
        <f aca="false">IF(S10=0,"—",TEXT(S10,"0"))</f>
        <v>3</v>
      </c>
      <c r="Y10" s="66" t="str">
        <f aca="false">IF(S10=0,"—",TEXT(S10,"0"))</f>
        <v>3</v>
      </c>
      <c r="Z10" s="67" t="s">
        <v>16</v>
      </c>
      <c r="AA10" s="67" t="s">
        <v>16</v>
      </c>
      <c r="AB10" s="67" t="s">
        <v>16</v>
      </c>
      <c r="AC10" s="67" t="s">
        <v>16</v>
      </c>
      <c r="AD10" s="67" t="s">
        <v>16</v>
      </c>
      <c r="AE10" s="67" t="s">
        <v>16</v>
      </c>
      <c r="AF10" s="66" t="str">
        <f aca="false">IF(S10=0,"—",TEXT(S10,"0"))</f>
        <v>3</v>
      </c>
      <c r="AG10" s="66" t="str">
        <f aca="false">IF(S10=0,"—",TEXT(S10,"0"))</f>
        <v>3</v>
      </c>
      <c r="AH10" s="66" t="str">
        <f aca="false">IF(S10=0,"—",TEXT(S10,"0"))</f>
        <v>3</v>
      </c>
      <c r="AI10" s="67" t="s">
        <v>16</v>
      </c>
    </row>
    <row r="11" customFormat="false" ht="19.5" hidden="false" customHeight="true" outlineLevel="0" collapsed="false">
      <c r="A11" s="58" t="s">
        <v>144</v>
      </c>
      <c r="B11" s="37" t="s">
        <v>145</v>
      </c>
      <c r="C11" s="59" t="n">
        <v>1</v>
      </c>
      <c r="D11" s="59" t="n">
        <v>1</v>
      </c>
      <c r="E11" s="60" t="n">
        <v>0</v>
      </c>
      <c r="F11" s="59" t="n">
        <v>1</v>
      </c>
      <c r="G11" s="59" t="n">
        <v>1</v>
      </c>
      <c r="H11" s="61" t="n">
        <f aca="false">COUNTIF(C11:G11,1)</f>
        <v>4</v>
      </c>
      <c r="I11" s="62" t="n">
        <v>1</v>
      </c>
      <c r="J11" s="62" t="n">
        <v>1</v>
      </c>
      <c r="K11" s="60" t="n">
        <v>0</v>
      </c>
      <c r="L11" s="60" t="n">
        <v>0</v>
      </c>
      <c r="M11" s="62" t="n">
        <v>1</v>
      </c>
      <c r="N11" s="60" t="n">
        <v>0</v>
      </c>
      <c r="O11" s="60" t="n">
        <v>0</v>
      </c>
      <c r="P11" s="62" t="n">
        <v>1</v>
      </c>
      <c r="Q11" s="60" t="n">
        <v>0</v>
      </c>
      <c r="R11" s="63" t="n">
        <f aca="false">COUNTIF(I11:Q11,1)</f>
        <v>4</v>
      </c>
      <c r="S11" s="64" t="n">
        <f aca="false">IF(AND(H11&gt;=2,R11&gt;=2),3,IF(OR(AND(H11&gt;=2,R11=1),R11&gt;=2),2,IF(OR(H11&gt;=2,R11&gt;=1),1,0)))</f>
        <v>3</v>
      </c>
      <c r="T11" s="65" t="str">
        <f aca="false">IF(S11=0,"—",TEXT(S11,"0"))</f>
        <v>3</v>
      </c>
      <c r="U11" s="68" t="str">
        <f aca="false">IF(S11=0,"—",TEXT(S11,"0"))</f>
        <v>3</v>
      </c>
      <c r="V11" s="68" t="str">
        <f aca="false">IF(S11=0,"—",TEXT(S11,"0"))</f>
        <v>3</v>
      </c>
      <c r="W11" s="68" t="str">
        <f aca="false">IF(S11=0,"—",TEXT(S11,"0"))</f>
        <v>3</v>
      </c>
      <c r="X11" s="69" t="s">
        <v>16</v>
      </c>
      <c r="Y11" s="69" t="s">
        <v>16</v>
      </c>
      <c r="Z11" s="69" t="s">
        <v>16</v>
      </c>
      <c r="AA11" s="69" t="s">
        <v>16</v>
      </c>
      <c r="AB11" s="69" t="s">
        <v>16</v>
      </c>
      <c r="AC11" s="69" t="s">
        <v>16</v>
      </c>
      <c r="AD11" s="69" t="s">
        <v>16</v>
      </c>
      <c r="AE11" s="69" t="s">
        <v>16</v>
      </c>
      <c r="AF11" s="68" t="str">
        <f aca="false">IF(S11=0,"—",TEXT(S11,"0"))</f>
        <v>3</v>
      </c>
      <c r="AG11" s="68" t="str">
        <f aca="false">IF(S11=0,"—",TEXT(S11,"0"))</f>
        <v>3</v>
      </c>
      <c r="AH11" s="69" t="s">
        <v>16</v>
      </c>
      <c r="AI11" s="69" t="s">
        <v>16</v>
      </c>
    </row>
    <row r="12" customFormat="false" ht="19.5" hidden="false" customHeight="true" outlineLevel="0" collapsed="false">
      <c r="A12" s="58" t="s">
        <v>146</v>
      </c>
      <c r="B12" s="35" t="s">
        <v>147</v>
      </c>
      <c r="C12" s="59" t="n">
        <v>1</v>
      </c>
      <c r="D12" s="59" t="n">
        <v>1</v>
      </c>
      <c r="E12" s="60" t="n">
        <v>0</v>
      </c>
      <c r="F12" s="60" t="n">
        <v>0</v>
      </c>
      <c r="G12" s="59" t="n">
        <v>1</v>
      </c>
      <c r="H12" s="61" t="n">
        <f aca="false">COUNTIF(C12:G12,1)</f>
        <v>3</v>
      </c>
      <c r="I12" s="62" t="n">
        <v>1</v>
      </c>
      <c r="J12" s="62" t="n">
        <v>1</v>
      </c>
      <c r="K12" s="60" t="n">
        <v>0</v>
      </c>
      <c r="L12" s="60" t="n">
        <v>0</v>
      </c>
      <c r="M12" s="60" t="n">
        <v>0</v>
      </c>
      <c r="N12" s="60" t="n">
        <v>0</v>
      </c>
      <c r="O12" s="62" t="n">
        <v>1</v>
      </c>
      <c r="P12" s="62" t="n">
        <v>1</v>
      </c>
      <c r="Q12" s="62" t="n">
        <v>1</v>
      </c>
      <c r="R12" s="63" t="n">
        <f aca="false">COUNTIF(I12:Q12,1)</f>
        <v>5</v>
      </c>
      <c r="S12" s="64" t="n">
        <f aca="false">IF(AND(H12&gt;=2,R12&gt;=2),3,IF(OR(AND(H12&gt;=2,R12=1),R12&gt;=2),2,IF(OR(H12&gt;=2,R12&gt;=1),1,0)))</f>
        <v>3</v>
      </c>
      <c r="T12" s="65" t="str">
        <f aca="false">IF(S12=0,"—",TEXT(S12,"0"))</f>
        <v>3</v>
      </c>
      <c r="U12" s="66" t="str">
        <f aca="false">IF(S12=0,"—",TEXT(S12,"0"))</f>
        <v>3</v>
      </c>
      <c r="V12" s="66" t="str">
        <f aca="false">IF(S12=0,"—",TEXT(S12,"0"))</f>
        <v>3</v>
      </c>
      <c r="W12" s="67" t="s">
        <v>16</v>
      </c>
      <c r="X12" s="67" t="s">
        <v>16</v>
      </c>
      <c r="Y12" s="67" t="s">
        <v>16</v>
      </c>
      <c r="Z12" s="67" t="s">
        <v>16</v>
      </c>
      <c r="AA12" s="67" t="s">
        <v>16</v>
      </c>
      <c r="AB12" s="67" t="s">
        <v>16</v>
      </c>
      <c r="AC12" s="67" t="s">
        <v>16</v>
      </c>
      <c r="AD12" s="67" t="s">
        <v>16</v>
      </c>
      <c r="AE12" s="67" t="s">
        <v>16</v>
      </c>
      <c r="AF12" s="66" t="str">
        <f aca="false">IF(S12=0,"—",TEXT(S12,"0"))</f>
        <v>3</v>
      </c>
      <c r="AG12" s="66" t="str">
        <f aca="false">IF(S12=0,"—",TEXT(S12,"0"))</f>
        <v>3</v>
      </c>
      <c r="AH12" s="67" t="s">
        <v>16</v>
      </c>
      <c r="AI12" s="66" t="str">
        <f aca="false">IF(S12=0,"—",TEXT(S12,"0"))</f>
        <v>3</v>
      </c>
    </row>
    <row r="14" customFormat="false" ht="21.75" hidden="false" customHeight="true" outlineLevel="0" collapsed="false">
      <c r="A14" s="70" t="s">
        <v>148</v>
      </c>
      <c r="B14" s="70"/>
      <c r="C14" s="71" t="n">
        <f aca="false">COUNTIF(C8:C12,1)</f>
        <v>5</v>
      </c>
      <c r="D14" s="71" t="n">
        <f aca="false">COUNTIF(D8:D12,1)</f>
        <v>5</v>
      </c>
      <c r="E14" s="71" t="n">
        <f aca="false">COUNTIF(E8:E12,1)</f>
        <v>1</v>
      </c>
      <c r="F14" s="71" t="n">
        <f aca="false">COUNTIF(F8:F12,1)</f>
        <v>1</v>
      </c>
      <c r="G14" s="71" t="n">
        <f aca="false">COUNTIF(G8:G12,1)</f>
        <v>5</v>
      </c>
      <c r="H14" s="71" t="n">
        <f aca="false">SUM(H8:H12)</f>
        <v>17</v>
      </c>
      <c r="I14" s="71" t="n">
        <f aca="false">COUNTIF(I8:I12,1)</f>
        <v>5</v>
      </c>
      <c r="J14" s="71" t="n">
        <f aca="false">COUNTIF(J8:J12,1)</f>
        <v>5</v>
      </c>
      <c r="K14" s="71" t="n">
        <f aca="false">COUNTIF(K8:K12,1)</f>
        <v>1</v>
      </c>
      <c r="L14" s="71" t="n">
        <f aca="false">COUNTIF(L8:L12,1)</f>
        <v>2</v>
      </c>
      <c r="M14" s="71" t="n">
        <f aca="false">COUNTIF(M8:M12,1)</f>
        <v>1</v>
      </c>
      <c r="N14" s="71" t="n">
        <f aca="false">COUNTIF(N8:N12,1)</f>
        <v>0</v>
      </c>
      <c r="O14" s="71" t="n">
        <f aca="false">COUNTIF(O8:O12,1)</f>
        <v>1</v>
      </c>
      <c r="P14" s="71" t="n">
        <f aca="false">COUNTIF(P8:P12,1)</f>
        <v>5</v>
      </c>
      <c r="Q14" s="71" t="n">
        <f aca="false">COUNTIF(Q8:Q12,1)</f>
        <v>1</v>
      </c>
      <c r="R14" s="71" t="n">
        <f aca="false">SUM(R8:R12)</f>
        <v>21</v>
      </c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</row>
    <row r="15" customFormat="false" ht="21.75" hidden="false" customHeight="true" outlineLevel="0" collapsed="false">
      <c r="A15" s="5" t="s">
        <v>149</v>
      </c>
      <c r="B15" s="5"/>
      <c r="C15" s="73"/>
      <c r="D15" s="73"/>
      <c r="E15" s="73"/>
      <c r="F15" s="73"/>
      <c r="G15" s="73"/>
      <c r="H15" s="74" t="n">
        <f aca="false">IFERROR(AVERAGE(H8:H12),0)</f>
        <v>3.4</v>
      </c>
      <c r="I15" s="73"/>
      <c r="J15" s="73"/>
      <c r="K15" s="73"/>
      <c r="L15" s="73"/>
      <c r="M15" s="73"/>
      <c r="N15" s="73"/>
      <c r="O15" s="73"/>
      <c r="P15" s="73"/>
      <c r="Q15" s="73"/>
      <c r="R15" s="74" t="n">
        <f aca="false">IFERROR(AVERAGE(R8:R12),0)</f>
        <v>4.2</v>
      </c>
      <c r="S15" s="74" t="n">
        <f aca="false">IFERROR(AVERAGE(S8:S12),0)</f>
        <v>3</v>
      </c>
      <c r="T15" s="73"/>
      <c r="U15" s="74" t="str">
        <f aca="false">IFERROR(AVERAGEIF(U8:U12,"&lt;&gt;—"),"")</f>
        <v/>
      </c>
      <c r="V15" s="74" t="str">
        <f aca="false">IFERROR(AVERAGEIF(V8:V12,"&lt;&gt;—"),"")</f>
        <v/>
      </c>
      <c r="W15" s="74" t="str">
        <f aca="false">IFERROR(AVERAGEIF(W8:W12,"&lt;&gt;—"),"")</f>
        <v/>
      </c>
      <c r="X15" s="74" t="str">
        <f aca="false">IFERROR(AVERAGEIF(X8:X12,"&lt;&gt;—"),"")</f>
        <v/>
      </c>
      <c r="Y15" s="74" t="str">
        <f aca="false">IFERROR(AVERAGEIF(Y8:Y12,"&lt;&gt;—"),"")</f>
        <v/>
      </c>
      <c r="Z15" s="74" t="str">
        <f aca="false">IFERROR(AVERAGEIF(Z8:Z12,"&lt;&gt;—"),"")</f>
        <v/>
      </c>
      <c r="AA15" s="74" t="str">
        <f aca="false">IFERROR(AVERAGEIF(AA8:AA12,"&lt;&gt;—"),"")</f>
        <v/>
      </c>
      <c r="AB15" s="74" t="str">
        <f aca="false">IFERROR(AVERAGEIF(AB8:AB12,"&lt;&gt;—"),"")</f>
        <v/>
      </c>
      <c r="AC15" s="74" t="str">
        <f aca="false">IFERROR(AVERAGEIF(AC8:AC12,"&lt;&gt;—"),"")</f>
        <v/>
      </c>
      <c r="AD15" s="74" t="str">
        <f aca="false">IFERROR(AVERAGEIF(AD8:AD12,"&lt;&gt;—"),"")</f>
        <v/>
      </c>
      <c r="AE15" s="74" t="str">
        <f aca="false">IFERROR(AVERAGEIF(AE8:AE12,"&lt;&gt;—"),"")</f>
        <v/>
      </c>
      <c r="AF15" s="74" t="str">
        <f aca="false">IFERROR(AVERAGEIF(AF8:AF12,"&lt;&gt;—"),"")</f>
        <v/>
      </c>
      <c r="AG15" s="74" t="str">
        <f aca="false">IFERROR(AVERAGEIF(AG8:AG12,"&lt;&gt;—"),"")</f>
        <v/>
      </c>
      <c r="AH15" s="74" t="str">
        <f aca="false">IFERROR(AVERAGEIF(AH8:AH12,"&lt;&gt;—"),"")</f>
        <v/>
      </c>
      <c r="AI15" s="74" t="str">
        <f aca="false">IFERROR(AVERAGEIF(AI8:AI12,"&lt;&gt;—"),"")</f>
        <v/>
      </c>
    </row>
  </sheetData>
  <mergeCells count="9">
    <mergeCell ref="A1:AI1"/>
    <mergeCell ref="A2:AI2"/>
    <mergeCell ref="C4:G4"/>
    <mergeCell ref="I4:Q4"/>
    <mergeCell ref="U4:AF4"/>
    <mergeCell ref="AG4:AI4"/>
    <mergeCell ref="A7:AI7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8" min="3" style="1" width="10"/>
    <col collapsed="false" customWidth="true" hidden="false" outlineLevel="0" max="18" min="9" style="1" width="11"/>
    <col collapsed="false" customWidth="true" hidden="false" outlineLevel="0" max="20" min="19" style="1" width="9"/>
    <col collapsed="false" customWidth="true" hidden="false" outlineLevel="0" max="35" min="21" style="1" width="8"/>
  </cols>
  <sheetData>
    <row r="1" customFormat="false" ht="36" hidden="false" customHeight="true" outlineLevel="0" collapsed="false">
      <c r="A1" s="41" t="s">
        <v>150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customFormat="false" ht="13.5" hidden="false" customHeight="true" outlineLevel="0" collapsed="false">
      <c r="A2" s="42" t="s">
        <v>79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</row>
    <row r="3" customFormat="false" ht="4.5" hidden="false" customHeight="true" outlineLevel="0" collapsed="false"/>
    <row r="4" customFormat="false" ht="21.75" hidden="false" customHeight="true" outlineLevel="0" collapsed="false">
      <c r="A4" s="43"/>
      <c r="B4" s="43"/>
      <c r="C4" s="5" t="s">
        <v>80</v>
      </c>
      <c r="D4" s="5"/>
      <c r="E4" s="5"/>
      <c r="F4" s="5"/>
      <c r="G4" s="5"/>
      <c r="H4" s="44" t="s">
        <v>81</v>
      </c>
      <c r="I4" s="6" t="s">
        <v>82</v>
      </c>
      <c r="J4" s="6"/>
      <c r="K4" s="6"/>
      <c r="L4" s="6"/>
      <c r="M4" s="6"/>
      <c r="N4" s="6"/>
      <c r="O4" s="6"/>
      <c r="P4" s="6"/>
      <c r="Q4" s="6"/>
      <c r="R4" s="45" t="s">
        <v>83</v>
      </c>
      <c r="S4" s="46" t="s">
        <v>84</v>
      </c>
      <c r="T4" s="47" t="s">
        <v>9</v>
      </c>
      <c r="U4" s="5" t="s">
        <v>85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8" t="s">
        <v>86</v>
      </c>
      <c r="AH4" s="48"/>
      <c r="AI4" s="48"/>
    </row>
    <row r="5" customFormat="false" ht="30" hidden="false" customHeight="true" outlineLevel="0" collapsed="false">
      <c r="A5" s="10" t="s">
        <v>87</v>
      </c>
      <c r="B5" s="10" t="s">
        <v>88</v>
      </c>
      <c r="C5" s="49" t="s">
        <v>89</v>
      </c>
      <c r="D5" s="49" t="s">
        <v>90</v>
      </c>
      <c r="E5" s="49" t="s">
        <v>91</v>
      </c>
      <c r="F5" s="49" t="s">
        <v>92</v>
      </c>
      <c r="G5" s="49" t="s">
        <v>93</v>
      </c>
      <c r="H5" s="44" t="s">
        <v>94</v>
      </c>
      <c r="I5" s="50" t="s">
        <v>95</v>
      </c>
      <c r="J5" s="50" t="s">
        <v>96</v>
      </c>
      <c r="K5" s="50" t="s">
        <v>97</v>
      </c>
      <c r="L5" s="50" t="s">
        <v>98</v>
      </c>
      <c r="M5" s="50" t="s">
        <v>99</v>
      </c>
      <c r="N5" s="50" t="s">
        <v>100</v>
      </c>
      <c r="O5" s="50" t="s">
        <v>101</v>
      </c>
      <c r="P5" s="50" t="s">
        <v>102</v>
      </c>
      <c r="Q5" s="50" t="s">
        <v>103</v>
      </c>
      <c r="R5" s="45" t="s">
        <v>104</v>
      </c>
      <c r="S5" s="46" t="s">
        <v>105</v>
      </c>
      <c r="T5" s="51" t="s">
        <v>106</v>
      </c>
      <c r="U5" s="52" t="s">
        <v>107</v>
      </c>
      <c r="V5" s="52" t="s">
        <v>108</v>
      </c>
      <c r="W5" s="52" t="s">
        <v>109</v>
      </c>
      <c r="X5" s="52" t="s">
        <v>110</v>
      </c>
      <c r="Y5" s="52" t="s">
        <v>111</v>
      </c>
      <c r="Z5" s="52" t="s">
        <v>112</v>
      </c>
      <c r="AA5" s="52" t="s">
        <v>113</v>
      </c>
      <c r="AB5" s="52" t="s">
        <v>114</v>
      </c>
      <c r="AC5" s="52" t="s">
        <v>115</v>
      </c>
      <c r="AD5" s="52" t="s">
        <v>116</v>
      </c>
      <c r="AE5" s="52" t="s">
        <v>117</v>
      </c>
      <c r="AF5" s="52" t="s">
        <v>118</v>
      </c>
      <c r="AG5" s="53" t="s">
        <v>119</v>
      </c>
      <c r="AH5" s="53" t="s">
        <v>120</v>
      </c>
      <c r="AI5" s="53" t="s">
        <v>121</v>
      </c>
    </row>
    <row r="6" customFormat="false" ht="15.75" hidden="false" customHeight="true" outlineLevel="0" collapsed="false">
      <c r="A6" s="54"/>
      <c r="B6" s="55" t="s">
        <v>122</v>
      </c>
      <c r="C6" s="56" t="s">
        <v>123</v>
      </c>
      <c r="D6" s="56" t="s">
        <v>124</v>
      </c>
      <c r="E6" s="56" t="s">
        <v>125</v>
      </c>
      <c r="F6" s="56" t="s">
        <v>126</v>
      </c>
      <c r="G6" s="56" t="s">
        <v>127</v>
      </c>
      <c r="H6" s="13"/>
      <c r="I6" s="56" t="s">
        <v>128</v>
      </c>
      <c r="J6" s="56" t="s">
        <v>129</v>
      </c>
      <c r="K6" s="56" t="s">
        <v>130</v>
      </c>
      <c r="L6" s="56" t="s">
        <v>131</v>
      </c>
      <c r="M6" s="56" t="s">
        <v>132</v>
      </c>
      <c r="N6" s="56" t="s">
        <v>133</v>
      </c>
      <c r="O6" s="56" t="s">
        <v>134</v>
      </c>
      <c r="P6" s="56" t="s">
        <v>135</v>
      </c>
      <c r="Q6" s="56" t="s">
        <v>136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customFormat="false" ht="13.5" hidden="false" customHeight="true" outlineLevel="0" collapsed="false">
      <c r="A7" s="57" t="s">
        <v>137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</row>
    <row r="8" customFormat="false" ht="19.5" hidden="false" customHeight="true" outlineLevel="0" collapsed="false">
      <c r="A8" s="58" t="s">
        <v>138</v>
      </c>
      <c r="B8" s="35" t="s">
        <v>151</v>
      </c>
      <c r="C8" s="59" t="n">
        <v>1</v>
      </c>
      <c r="D8" s="59" t="n">
        <v>1</v>
      </c>
      <c r="E8" s="60" t="n">
        <v>0</v>
      </c>
      <c r="F8" s="60" t="n">
        <v>0</v>
      </c>
      <c r="G8" s="59" t="n">
        <v>1</v>
      </c>
      <c r="H8" s="61" t="n">
        <f aca="false">COUNTIF(C8:G8,1)</f>
        <v>3</v>
      </c>
      <c r="I8" s="62" t="n">
        <v>1</v>
      </c>
      <c r="J8" s="62" t="n">
        <v>1</v>
      </c>
      <c r="K8" s="60" t="n">
        <v>0</v>
      </c>
      <c r="L8" s="60" t="n">
        <v>0</v>
      </c>
      <c r="M8" s="60" t="n">
        <v>0</v>
      </c>
      <c r="N8" s="60" t="n">
        <v>0</v>
      </c>
      <c r="O8" s="60" t="n">
        <v>0</v>
      </c>
      <c r="P8" s="62" t="n">
        <v>1</v>
      </c>
      <c r="Q8" s="60" t="n">
        <v>0</v>
      </c>
      <c r="R8" s="63" t="n">
        <f aca="false">COUNTIF(I8:Q8,1)</f>
        <v>3</v>
      </c>
      <c r="S8" s="64" t="n">
        <f aca="false">IF(AND(H8&gt;=2,R8&gt;=2),3,IF(OR(AND(H8&gt;=2,R8=1),R8&gt;=2),2,IF(OR(H8&gt;=2,R8&gt;=1),1,0)))</f>
        <v>3</v>
      </c>
      <c r="T8" s="65" t="str">
        <f aca="false">IF(S8=0,"—",TEXT(S8,"0"))</f>
        <v>3</v>
      </c>
      <c r="U8" s="66" t="str">
        <f aca="false">IF(S8=0,"—",TEXT(S8,"0"))</f>
        <v>3</v>
      </c>
      <c r="V8" s="66" t="str">
        <f aca="false">IF(S8=0,"—",TEXT(S8,"0"))</f>
        <v>3</v>
      </c>
      <c r="W8" s="66" t="str">
        <f aca="false">IF(S8=0,"—",TEXT(S8,"0"))</f>
        <v>3</v>
      </c>
      <c r="X8" s="67" t="s">
        <v>16</v>
      </c>
      <c r="Y8" s="67" t="s">
        <v>16</v>
      </c>
      <c r="Z8" s="67" t="s">
        <v>16</v>
      </c>
      <c r="AA8" s="67" t="s">
        <v>16</v>
      </c>
      <c r="AB8" s="67" t="s">
        <v>16</v>
      </c>
      <c r="AC8" s="67" t="s">
        <v>16</v>
      </c>
      <c r="AD8" s="67" t="s">
        <v>16</v>
      </c>
      <c r="AE8" s="67" t="s">
        <v>16</v>
      </c>
      <c r="AF8" s="66" t="str">
        <f aca="false">IF(S8=0,"—",TEXT(S8,"0"))</f>
        <v>3</v>
      </c>
      <c r="AG8" s="66" t="str">
        <f aca="false">IF(S8=0,"—",TEXT(S8,"0"))</f>
        <v>3</v>
      </c>
      <c r="AH8" s="67" t="s">
        <v>16</v>
      </c>
      <c r="AI8" s="67" t="s">
        <v>16</v>
      </c>
    </row>
    <row r="9" customFormat="false" ht="19.5" hidden="false" customHeight="true" outlineLevel="0" collapsed="false">
      <c r="A9" s="58" t="s">
        <v>140</v>
      </c>
      <c r="B9" s="37" t="s">
        <v>152</v>
      </c>
      <c r="C9" s="59" t="n">
        <v>1</v>
      </c>
      <c r="D9" s="59" t="n">
        <v>1</v>
      </c>
      <c r="E9" s="60" t="n">
        <v>0</v>
      </c>
      <c r="F9" s="60" t="n">
        <v>0</v>
      </c>
      <c r="G9" s="59" t="n">
        <v>1</v>
      </c>
      <c r="H9" s="61" t="n">
        <f aca="false">COUNTIF(C9:G9,1)</f>
        <v>3</v>
      </c>
      <c r="I9" s="62" t="n">
        <v>1</v>
      </c>
      <c r="J9" s="62" t="n">
        <v>1</v>
      </c>
      <c r="K9" s="62" t="n">
        <v>1</v>
      </c>
      <c r="L9" s="62" t="n">
        <v>1</v>
      </c>
      <c r="M9" s="60" t="n">
        <v>0</v>
      </c>
      <c r="N9" s="60" t="n">
        <v>0</v>
      </c>
      <c r="O9" s="60" t="n">
        <v>0</v>
      </c>
      <c r="P9" s="62" t="n">
        <v>1</v>
      </c>
      <c r="Q9" s="60" t="n">
        <v>0</v>
      </c>
      <c r="R9" s="63" t="n">
        <f aca="false">COUNTIF(I9:Q9,1)</f>
        <v>5</v>
      </c>
      <c r="S9" s="64" t="n">
        <f aca="false">IF(AND(H9&gt;=2,R9&gt;=2),3,IF(OR(AND(H9&gt;=2,R9=1),R9&gt;=2),2,IF(OR(H9&gt;=2,R9&gt;=1),1,0)))</f>
        <v>3</v>
      </c>
      <c r="T9" s="65" t="str">
        <f aca="false">IF(S9=0,"—",TEXT(S9,"0"))</f>
        <v>3</v>
      </c>
      <c r="U9" s="68" t="str">
        <f aca="false">IF(S9=0,"—",TEXT(S9,"0"))</f>
        <v>3</v>
      </c>
      <c r="V9" s="68" t="str">
        <f aca="false">IF(S9=0,"—",TEXT(S9,"0"))</f>
        <v>3</v>
      </c>
      <c r="W9" s="68" t="str">
        <f aca="false">IF(S9=0,"—",TEXT(S9,"0"))</f>
        <v>3</v>
      </c>
      <c r="X9" s="69" t="s">
        <v>16</v>
      </c>
      <c r="Y9" s="68" t="str">
        <f aca="false">IF(S9=0,"—",TEXT(S9,"0"))</f>
        <v>3</v>
      </c>
      <c r="Z9" s="69" t="s">
        <v>16</v>
      </c>
      <c r="AA9" s="69" t="s">
        <v>16</v>
      </c>
      <c r="AB9" s="69" t="s">
        <v>16</v>
      </c>
      <c r="AC9" s="69" t="s">
        <v>16</v>
      </c>
      <c r="AD9" s="69" t="s">
        <v>16</v>
      </c>
      <c r="AE9" s="69" t="s">
        <v>16</v>
      </c>
      <c r="AF9" s="68" t="str">
        <f aca="false">IF(S9=0,"—",TEXT(S9,"0"))</f>
        <v>3</v>
      </c>
      <c r="AG9" s="68" t="str">
        <f aca="false">IF(S9=0,"—",TEXT(S9,"0"))</f>
        <v>3</v>
      </c>
      <c r="AH9" s="68" t="str">
        <f aca="false">IF(S9=0,"—",TEXT(S9,"0"))</f>
        <v>3</v>
      </c>
      <c r="AI9" s="69" t="s">
        <v>16</v>
      </c>
    </row>
    <row r="10" customFormat="false" ht="19.5" hidden="false" customHeight="true" outlineLevel="0" collapsed="false">
      <c r="A10" s="58" t="s">
        <v>142</v>
      </c>
      <c r="B10" s="35" t="s">
        <v>153</v>
      </c>
      <c r="C10" s="59" t="n">
        <v>1</v>
      </c>
      <c r="D10" s="59" t="n">
        <v>1</v>
      </c>
      <c r="E10" s="59" t="n">
        <v>1</v>
      </c>
      <c r="F10" s="60" t="n">
        <v>0</v>
      </c>
      <c r="G10" s="59" t="n">
        <v>1</v>
      </c>
      <c r="H10" s="61" t="n">
        <f aca="false">COUNTIF(C10:G10,1)</f>
        <v>4</v>
      </c>
      <c r="I10" s="62" t="n">
        <v>1</v>
      </c>
      <c r="J10" s="62" t="n">
        <v>1</v>
      </c>
      <c r="K10" s="60" t="n">
        <v>0</v>
      </c>
      <c r="L10" s="60" t="n">
        <v>0</v>
      </c>
      <c r="M10" s="60" t="n">
        <v>0</v>
      </c>
      <c r="N10" s="60" t="n">
        <v>0</v>
      </c>
      <c r="O10" s="60" t="n">
        <v>0</v>
      </c>
      <c r="P10" s="62" t="n">
        <v>1</v>
      </c>
      <c r="Q10" s="60" t="n">
        <v>0</v>
      </c>
      <c r="R10" s="63" t="n">
        <f aca="false">COUNTIF(I10:Q10,1)</f>
        <v>3</v>
      </c>
      <c r="S10" s="64" t="n">
        <f aca="false">IF(AND(H10&gt;=2,R10&gt;=2),3,IF(OR(AND(H10&gt;=2,R10=1),R10&gt;=2),2,IF(OR(H10&gt;=2,R10&gt;=1),1,0)))</f>
        <v>3</v>
      </c>
      <c r="T10" s="65" t="str">
        <f aca="false">IF(S10=0,"—",TEXT(S10,"0"))</f>
        <v>3</v>
      </c>
      <c r="U10" s="66" t="str">
        <f aca="false">IF(S10=0,"—",TEXT(S10,"0"))</f>
        <v>3</v>
      </c>
      <c r="V10" s="66" t="str">
        <f aca="false">IF(S10=0,"—",TEXT(S10,"0"))</f>
        <v>3</v>
      </c>
      <c r="W10" s="66" t="str">
        <f aca="false">IF(S10=0,"—",TEXT(S10,"0"))</f>
        <v>3</v>
      </c>
      <c r="X10" s="67" t="s">
        <v>16</v>
      </c>
      <c r="Y10" s="67" t="s">
        <v>16</v>
      </c>
      <c r="Z10" s="67" t="s">
        <v>16</v>
      </c>
      <c r="AA10" s="67" t="s">
        <v>16</v>
      </c>
      <c r="AB10" s="67" t="s">
        <v>16</v>
      </c>
      <c r="AC10" s="67" t="s">
        <v>16</v>
      </c>
      <c r="AD10" s="67" t="s">
        <v>16</v>
      </c>
      <c r="AE10" s="67" t="s">
        <v>16</v>
      </c>
      <c r="AF10" s="66" t="str">
        <f aca="false">IF(S10=0,"—",TEXT(S10,"0"))</f>
        <v>3</v>
      </c>
      <c r="AG10" s="66" t="str">
        <f aca="false">IF(S10=0,"—",TEXT(S10,"0"))</f>
        <v>3</v>
      </c>
      <c r="AH10" s="67" t="s">
        <v>16</v>
      </c>
      <c r="AI10" s="67" t="s">
        <v>16</v>
      </c>
    </row>
    <row r="11" customFormat="false" ht="19.5" hidden="false" customHeight="true" outlineLevel="0" collapsed="false">
      <c r="A11" s="58" t="s">
        <v>144</v>
      </c>
      <c r="B11" s="37" t="s">
        <v>154</v>
      </c>
      <c r="C11" s="59" t="n">
        <v>1</v>
      </c>
      <c r="D11" s="59" t="n">
        <v>1</v>
      </c>
      <c r="E11" s="60" t="n">
        <v>0</v>
      </c>
      <c r="F11" s="60" t="n">
        <v>0</v>
      </c>
      <c r="G11" s="59" t="n">
        <v>1</v>
      </c>
      <c r="H11" s="61" t="n">
        <f aca="false">COUNTIF(C11:G11,1)</f>
        <v>3</v>
      </c>
      <c r="I11" s="62" t="n">
        <v>1</v>
      </c>
      <c r="J11" s="62" t="n">
        <v>1</v>
      </c>
      <c r="K11" s="60" t="n">
        <v>0</v>
      </c>
      <c r="L11" s="60" t="n">
        <v>0</v>
      </c>
      <c r="M11" s="62" t="n">
        <v>1</v>
      </c>
      <c r="N11" s="60" t="n">
        <v>0</v>
      </c>
      <c r="O11" s="62" t="n">
        <v>1</v>
      </c>
      <c r="P11" s="62" t="n">
        <v>1</v>
      </c>
      <c r="Q11" s="60" t="n">
        <v>0</v>
      </c>
      <c r="R11" s="63" t="n">
        <f aca="false">COUNTIF(I11:Q11,1)</f>
        <v>5</v>
      </c>
      <c r="S11" s="64" t="n">
        <f aca="false">IF(AND(H11&gt;=2,R11&gt;=2),3,IF(OR(AND(H11&gt;=2,R11=1),R11&gt;=2),2,IF(OR(H11&gt;=2,R11&gt;=1),1,0)))</f>
        <v>3</v>
      </c>
      <c r="T11" s="65" t="str">
        <f aca="false">IF(S11=0,"—",TEXT(S11,"0"))</f>
        <v>3</v>
      </c>
      <c r="U11" s="68" t="str">
        <f aca="false">IF(S11=0,"—",TEXT(S11,"0"))</f>
        <v>3</v>
      </c>
      <c r="V11" s="68" t="str">
        <f aca="false">IF(S11=0,"—",TEXT(S11,"0"))</f>
        <v>3</v>
      </c>
      <c r="W11" s="68" t="str">
        <f aca="false">IF(S11=0,"—",TEXT(S11,"0"))</f>
        <v>3</v>
      </c>
      <c r="X11" s="68" t="str">
        <f aca="false">IF(S11=0,"—",TEXT(S11,"0"))</f>
        <v>3</v>
      </c>
      <c r="Y11" s="69" t="s">
        <v>16</v>
      </c>
      <c r="Z11" s="69" t="s">
        <v>16</v>
      </c>
      <c r="AA11" s="69" t="s">
        <v>16</v>
      </c>
      <c r="AB11" s="69" t="s">
        <v>16</v>
      </c>
      <c r="AC11" s="69" t="s">
        <v>16</v>
      </c>
      <c r="AD11" s="69" t="s">
        <v>16</v>
      </c>
      <c r="AE11" s="69" t="s">
        <v>16</v>
      </c>
      <c r="AF11" s="68" t="str">
        <f aca="false">IF(S11=0,"—",TEXT(S11,"0"))</f>
        <v>3</v>
      </c>
      <c r="AG11" s="68" t="str">
        <f aca="false">IF(S11=0,"—",TEXT(S11,"0"))</f>
        <v>3</v>
      </c>
      <c r="AH11" s="69" t="s">
        <v>16</v>
      </c>
      <c r="AI11" s="69" t="s">
        <v>16</v>
      </c>
    </row>
    <row r="12" customFormat="false" ht="19.5" hidden="false" customHeight="true" outlineLevel="0" collapsed="false">
      <c r="A12" s="58" t="s">
        <v>146</v>
      </c>
      <c r="B12" s="35" t="s">
        <v>155</v>
      </c>
      <c r="C12" s="59" t="n">
        <v>1</v>
      </c>
      <c r="D12" s="59" t="n">
        <v>1</v>
      </c>
      <c r="E12" s="60" t="n">
        <v>0</v>
      </c>
      <c r="F12" s="60" t="n">
        <v>0</v>
      </c>
      <c r="G12" s="59" t="n">
        <v>1</v>
      </c>
      <c r="H12" s="61" t="n">
        <f aca="false">COUNTIF(C12:G12,1)</f>
        <v>3</v>
      </c>
      <c r="I12" s="62" t="n">
        <v>1</v>
      </c>
      <c r="J12" s="62" t="n">
        <v>1</v>
      </c>
      <c r="K12" s="62" t="n">
        <v>1</v>
      </c>
      <c r="L12" s="62" t="n">
        <v>1</v>
      </c>
      <c r="M12" s="60" t="n">
        <v>0</v>
      </c>
      <c r="N12" s="60" t="n">
        <v>0</v>
      </c>
      <c r="O12" s="60" t="n">
        <v>0</v>
      </c>
      <c r="P12" s="60" t="n">
        <v>0</v>
      </c>
      <c r="Q12" s="60" t="n">
        <v>0</v>
      </c>
      <c r="R12" s="63" t="n">
        <f aca="false">COUNTIF(I12:Q12,1)</f>
        <v>4</v>
      </c>
      <c r="S12" s="64" t="n">
        <f aca="false">IF(AND(H12&gt;=2,R12&gt;=2),3,IF(OR(AND(H12&gt;=2,R12=1),R12&gt;=2),2,IF(OR(H12&gt;=2,R12&gt;=1),1,0)))</f>
        <v>3</v>
      </c>
      <c r="T12" s="65" t="str">
        <f aca="false">IF(S12=0,"—",TEXT(S12,"0"))</f>
        <v>3</v>
      </c>
      <c r="U12" s="66" t="str">
        <f aca="false">IF(S12=0,"—",TEXT(S12,"0"))</f>
        <v>3</v>
      </c>
      <c r="V12" s="66" t="str">
        <f aca="false">IF(S12=0,"—",TEXT(S12,"0"))</f>
        <v>3</v>
      </c>
      <c r="W12" s="67" t="s">
        <v>16</v>
      </c>
      <c r="X12" s="66" t="str">
        <f aca="false">IF(S12=0,"—",TEXT(S12,"0"))</f>
        <v>3</v>
      </c>
      <c r="Y12" s="66" t="str">
        <f aca="false">IF(S12=0,"—",TEXT(S12,"0"))</f>
        <v>3</v>
      </c>
      <c r="Z12" s="67" t="s">
        <v>16</v>
      </c>
      <c r="AA12" s="67" t="s">
        <v>16</v>
      </c>
      <c r="AB12" s="67" t="s">
        <v>16</v>
      </c>
      <c r="AC12" s="67" t="s">
        <v>16</v>
      </c>
      <c r="AD12" s="67" t="s">
        <v>16</v>
      </c>
      <c r="AE12" s="67" t="s">
        <v>16</v>
      </c>
      <c r="AF12" s="66" t="str">
        <f aca="false">IF(S12=0,"—",TEXT(S12,"0"))</f>
        <v>3</v>
      </c>
      <c r="AG12" s="66" t="str">
        <f aca="false">IF(S12=0,"—",TEXT(S12,"0"))</f>
        <v>3</v>
      </c>
      <c r="AH12" s="66" t="str">
        <f aca="false">IF(S12=0,"—",TEXT(S12,"0"))</f>
        <v>3</v>
      </c>
      <c r="AI12" s="67" t="s">
        <v>16</v>
      </c>
    </row>
    <row r="14" customFormat="false" ht="21.75" hidden="false" customHeight="true" outlineLevel="0" collapsed="false">
      <c r="A14" s="70" t="s">
        <v>148</v>
      </c>
      <c r="B14" s="70"/>
      <c r="C14" s="71" t="n">
        <f aca="false">COUNTIF(C8:C12,1)</f>
        <v>5</v>
      </c>
      <c r="D14" s="71" t="n">
        <f aca="false">COUNTIF(D8:D12,1)</f>
        <v>5</v>
      </c>
      <c r="E14" s="71" t="n">
        <f aca="false">COUNTIF(E8:E12,1)</f>
        <v>1</v>
      </c>
      <c r="F14" s="71" t="n">
        <f aca="false">COUNTIF(F8:F12,1)</f>
        <v>0</v>
      </c>
      <c r="G14" s="71" t="n">
        <f aca="false">COUNTIF(G8:G12,1)</f>
        <v>5</v>
      </c>
      <c r="H14" s="71" t="n">
        <f aca="false">SUM(H8:H12)</f>
        <v>16</v>
      </c>
      <c r="I14" s="71" t="n">
        <f aca="false">COUNTIF(I8:I12,1)</f>
        <v>5</v>
      </c>
      <c r="J14" s="71" t="n">
        <f aca="false">COUNTIF(J8:J12,1)</f>
        <v>5</v>
      </c>
      <c r="K14" s="71" t="n">
        <f aca="false">COUNTIF(K8:K12,1)</f>
        <v>2</v>
      </c>
      <c r="L14" s="71" t="n">
        <f aca="false">COUNTIF(L8:L12,1)</f>
        <v>2</v>
      </c>
      <c r="M14" s="71" t="n">
        <f aca="false">COUNTIF(M8:M12,1)</f>
        <v>1</v>
      </c>
      <c r="N14" s="71" t="n">
        <f aca="false">COUNTIF(N8:N12,1)</f>
        <v>0</v>
      </c>
      <c r="O14" s="71" t="n">
        <f aca="false">COUNTIF(O8:O12,1)</f>
        <v>1</v>
      </c>
      <c r="P14" s="71" t="n">
        <f aca="false">COUNTIF(P8:P12,1)</f>
        <v>4</v>
      </c>
      <c r="Q14" s="71" t="n">
        <f aca="false">COUNTIF(Q8:Q12,1)</f>
        <v>0</v>
      </c>
      <c r="R14" s="71" t="n">
        <f aca="false">SUM(R8:R12)</f>
        <v>20</v>
      </c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</row>
    <row r="15" customFormat="false" ht="21.75" hidden="false" customHeight="true" outlineLevel="0" collapsed="false">
      <c r="A15" s="5" t="s">
        <v>149</v>
      </c>
      <c r="B15" s="5"/>
      <c r="C15" s="73"/>
      <c r="D15" s="73"/>
      <c r="E15" s="73"/>
      <c r="F15" s="73"/>
      <c r="G15" s="73"/>
      <c r="H15" s="74" t="n">
        <f aca="false">IFERROR(AVERAGE(H8:H12),0)</f>
        <v>3.2</v>
      </c>
      <c r="I15" s="73"/>
      <c r="J15" s="73"/>
      <c r="K15" s="73"/>
      <c r="L15" s="73"/>
      <c r="M15" s="73"/>
      <c r="N15" s="73"/>
      <c r="O15" s="73"/>
      <c r="P15" s="73"/>
      <c r="Q15" s="73"/>
      <c r="R15" s="74" t="n">
        <f aca="false">IFERROR(AVERAGE(R8:R12),0)</f>
        <v>4</v>
      </c>
      <c r="S15" s="74" t="n">
        <f aca="false">IFERROR(AVERAGE(S8:S12),0)</f>
        <v>3</v>
      </c>
      <c r="T15" s="73"/>
      <c r="U15" s="74" t="str">
        <f aca="false">IFERROR(AVERAGEIF(U8:U12,"&lt;&gt;—"),"")</f>
        <v/>
      </c>
      <c r="V15" s="74" t="str">
        <f aca="false">IFERROR(AVERAGEIF(V8:V12,"&lt;&gt;—"),"")</f>
        <v/>
      </c>
      <c r="W15" s="74" t="str">
        <f aca="false">IFERROR(AVERAGEIF(W8:W12,"&lt;&gt;—"),"")</f>
        <v/>
      </c>
      <c r="X15" s="74" t="str">
        <f aca="false">IFERROR(AVERAGEIF(X8:X12,"&lt;&gt;—"),"")</f>
        <v/>
      </c>
      <c r="Y15" s="74" t="str">
        <f aca="false">IFERROR(AVERAGEIF(Y8:Y12,"&lt;&gt;—"),"")</f>
        <v/>
      </c>
      <c r="Z15" s="74" t="str">
        <f aca="false">IFERROR(AVERAGEIF(Z8:Z12,"&lt;&gt;—"),"")</f>
        <v/>
      </c>
      <c r="AA15" s="74" t="str">
        <f aca="false">IFERROR(AVERAGEIF(AA8:AA12,"&lt;&gt;—"),"")</f>
        <v/>
      </c>
      <c r="AB15" s="74" t="str">
        <f aca="false">IFERROR(AVERAGEIF(AB8:AB12,"&lt;&gt;—"),"")</f>
        <v/>
      </c>
      <c r="AC15" s="74" t="str">
        <f aca="false">IFERROR(AVERAGEIF(AC8:AC12,"&lt;&gt;—"),"")</f>
        <v/>
      </c>
      <c r="AD15" s="74" t="str">
        <f aca="false">IFERROR(AVERAGEIF(AD8:AD12,"&lt;&gt;—"),"")</f>
        <v/>
      </c>
      <c r="AE15" s="74" t="str">
        <f aca="false">IFERROR(AVERAGEIF(AE8:AE12,"&lt;&gt;—"),"")</f>
        <v/>
      </c>
      <c r="AF15" s="74" t="str">
        <f aca="false">IFERROR(AVERAGEIF(AF8:AF12,"&lt;&gt;—"),"")</f>
        <v/>
      </c>
      <c r="AG15" s="74" t="str">
        <f aca="false">IFERROR(AVERAGEIF(AG8:AG12,"&lt;&gt;—"),"")</f>
        <v/>
      </c>
      <c r="AH15" s="74" t="str">
        <f aca="false">IFERROR(AVERAGEIF(AH8:AH12,"&lt;&gt;—"),"")</f>
        <v/>
      </c>
      <c r="AI15" s="74" t="str">
        <f aca="false">IFERROR(AVERAGEIF(AI8:AI12,"&lt;&gt;—"),"")</f>
        <v/>
      </c>
    </row>
  </sheetData>
  <mergeCells count="9">
    <mergeCell ref="A1:AI1"/>
    <mergeCell ref="A2:AI2"/>
    <mergeCell ref="C4:G4"/>
    <mergeCell ref="I4:Q4"/>
    <mergeCell ref="U4:AF4"/>
    <mergeCell ref="AG4:AI4"/>
    <mergeCell ref="A7:AI7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6" min="4" style="1" width="7"/>
    <col collapsed="false" customWidth="true" hidden="false" outlineLevel="0" max="22" min="7" style="1" width="8"/>
  </cols>
  <sheetData>
    <row r="1" customFormat="false" ht="39.75" hidden="false" customHeight="true" outlineLevel="0" collapsed="false">
      <c r="A1" s="2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3.5" hidden="false" customHeight="true" outlineLevel="0" collapsed="false">
      <c r="A2" s="42" t="s">
        <v>157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customFormat="false" ht="7.5" hidden="false" customHeight="true" outlineLevel="0" collapsed="false"/>
    <row r="4" customFormat="false" ht="19.5" hidden="false" customHeight="true" outlineLevel="0" collapsed="false">
      <c r="A4" s="75" t="s">
        <v>158</v>
      </c>
      <c r="B4" s="75"/>
      <c r="C4" s="75"/>
      <c r="D4" s="75"/>
      <c r="E4" s="75"/>
      <c r="F4" s="75"/>
      <c r="G4" s="75"/>
      <c r="H4" s="11" t="s">
        <v>159</v>
      </c>
      <c r="I4" s="15" t="s">
        <v>160</v>
      </c>
      <c r="J4" s="19" t="s">
        <v>161</v>
      </c>
      <c r="K4" s="23" t="s">
        <v>162</v>
      </c>
    </row>
    <row r="5" customFormat="false" ht="25.5" hidden="false" customHeight="true" outlineLevel="0" collapsed="false">
      <c r="A5" s="76" t="s">
        <v>163</v>
      </c>
      <c r="B5" s="76" t="s">
        <v>164</v>
      </c>
      <c r="C5" s="76" t="s">
        <v>165</v>
      </c>
      <c r="D5" s="76" t="s">
        <v>87</v>
      </c>
      <c r="E5" s="76" t="s">
        <v>81</v>
      </c>
      <c r="F5" s="76" t="s">
        <v>83</v>
      </c>
      <c r="G5" s="76" t="s">
        <v>8</v>
      </c>
      <c r="H5" s="34" t="s">
        <v>166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4" t="s">
        <v>167</v>
      </c>
      <c r="U5" s="4"/>
      <c r="V5" s="4"/>
    </row>
    <row r="6" customFormat="false" ht="19.5" hidden="false" customHeight="true" outlineLevel="0" collapsed="false">
      <c r="A6" s="76"/>
      <c r="B6" s="76"/>
      <c r="C6" s="76"/>
      <c r="D6" s="76"/>
      <c r="E6" s="76"/>
      <c r="F6" s="76"/>
      <c r="G6" s="76"/>
      <c r="H6" s="52" t="s">
        <v>107</v>
      </c>
      <c r="I6" s="52" t="s">
        <v>108</v>
      </c>
      <c r="J6" s="52" t="s">
        <v>109</v>
      </c>
      <c r="K6" s="52" t="s">
        <v>110</v>
      </c>
      <c r="L6" s="52" t="s">
        <v>111</v>
      </c>
      <c r="M6" s="52" t="s">
        <v>112</v>
      </c>
      <c r="N6" s="52" t="s">
        <v>113</v>
      </c>
      <c r="O6" s="52" t="s">
        <v>114</v>
      </c>
      <c r="P6" s="52" t="s">
        <v>115</v>
      </c>
      <c r="Q6" s="52" t="s">
        <v>116</v>
      </c>
      <c r="R6" s="52" t="s">
        <v>117</v>
      </c>
      <c r="S6" s="52" t="s">
        <v>118</v>
      </c>
      <c r="T6" s="53" t="s">
        <v>119</v>
      </c>
      <c r="U6" s="53" t="s">
        <v>120</v>
      </c>
      <c r="V6" s="53" t="s">
        <v>121</v>
      </c>
    </row>
    <row r="7" customFormat="false" ht="18" hidden="false" customHeight="true" outlineLevel="0" collapsed="false">
      <c r="A7" s="77" t="n">
        <v>1</v>
      </c>
      <c r="B7" s="78" t="s">
        <v>168</v>
      </c>
      <c r="C7" s="79" t="s">
        <v>169</v>
      </c>
      <c r="D7" s="52" t="s">
        <v>138</v>
      </c>
      <c r="E7" s="71" t="n">
        <f aca="false">CS301!H8</f>
        <v>3</v>
      </c>
      <c r="F7" s="80" t="n">
        <f aca="false">CS301!R8</f>
        <v>3</v>
      </c>
      <c r="G7" s="64" t="n">
        <f aca="false">CS301!S8</f>
        <v>3</v>
      </c>
      <c r="H7" s="68" t="str">
        <f aca="false">IF(CS301!S8=0,"—",TEXT(CS301!S8,"0"))</f>
        <v>3</v>
      </c>
      <c r="I7" s="68" t="str">
        <f aca="false">IF(CS301!S8=0,"—",TEXT(CS301!S8,"0"))</f>
        <v>3</v>
      </c>
      <c r="J7" s="68" t="str">
        <f aca="false">IF(CS301!S8=0,"—",TEXT(CS301!S8,"0"))</f>
        <v>3</v>
      </c>
      <c r="K7" s="69" t="s">
        <v>16</v>
      </c>
      <c r="L7" s="69" t="s">
        <v>16</v>
      </c>
      <c r="M7" s="69" t="s">
        <v>16</v>
      </c>
      <c r="N7" s="69" t="s">
        <v>16</v>
      </c>
      <c r="O7" s="69" t="s">
        <v>16</v>
      </c>
      <c r="P7" s="69" t="s">
        <v>16</v>
      </c>
      <c r="Q7" s="69" t="s">
        <v>16</v>
      </c>
      <c r="R7" s="69" t="s">
        <v>16</v>
      </c>
      <c r="S7" s="68" t="str">
        <f aca="false">IF(CS301!S8=0,"—",TEXT(CS301!S8,"0"))</f>
        <v>3</v>
      </c>
      <c r="T7" s="68" t="str">
        <f aca="false">IF(CS301!S8=0,"—",TEXT(CS301!S8,"0"))</f>
        <v>3</v>
      </c>
      <c r="U7" s="69" t="s">
        <v>16</v>
      </c>
      <c r="V7" s="69" t="s">
        <v>16</v>
      </c>
    </row>
    <row r="8" customFormat="false" ht="18" hidden="false" customHeight="true" outlineLevel="0" collapsed="false">
      <c r="A8" s="77"/>
      <c r="B8" s="77"/>
      <c r="C8" s="77"/>
      <c r="D8" s="52" t="s">
        <v>140</v>
      </c>
      <c r="E8" s="71" t="n">
        <f aca="false">CS301!H9</f>
        <v>3</v>
      </c>
      <c r="F8" s="80" t="n">
        <f aca="false">CS301!R9</f>
        <v>4</v>
      </c>
      <c r="G8" s="64" t="n">
        <f aca="false">CS301!S9</f>
        <v>3</v>
      </c>
      <c r="H8" s="66" t="str">
        <f aca="false">IF(CS301!S9=0,"—",TEXT(CS301!S9,"0"))</f>
        <v>3</v>
      </c>
      <c r="I8" s="66" t="str">
        <f aca="false">IF(CS301!S9=0,"—",TEXT(CS301!S9,"0"))</f>
        <v>3</v>
      </c>
      <c r="J8" s="66" t="str">
        <f aca="false">IF(CS301!S9=0,"—",TEXT(CS301!S9,"0"))</f>
        <v>3</v>
      </c>
      <c r="K8" s="66" t="str">
        <f aca="false">IF(CS301!S9=0,"—",TEXT(CS301!S9,"0"))</f>
        <v>3</v>
      </c>
      <c r="L8" s="67" t="s">
        <v>16</v>
      </c>
      <c r="M8" s="67" t="s">
        <v>16</v>
      </c>
      <c r="N8" s="67" t="s">
        <v>16</v>
      </c>
      <c r="O8" s="67" t="s">
        <v>16</v>
      </c>
      <c r="P8" s="67" t="s">
        <v>16</v>
      </c>
      <c r="Q8" s="67" t="s">
        <v>16</v>
      </c>
      <c r="R8" s="67" t="s">
        <v>16</v>
      </c>
      <c r="S8" s="66" t="str">
        <f aca="false">IF(CS301!S9=0,"—",TEXT(CS301!S9,"0"))</f>
        <v>3</v>
      </c>
      <c r="T8" s="66" t="str">
        <f aca="false">IF(CS301!S9=0,"—",TEXT(CS301!S9,"0"))</f>
        <v>3</v>
      </c>
      <c r="U8" s="67" t="s">
        <v>16</v>
      </c>
      <c r="V8" s="67" t="s">
        <v>16</v>
      </c>
    </row>
    <row r="9" customFormat="false" ht="18" hidden="false" customHeight="true" outlineLevel="0" collapsed="false">
      <c r="A9" s="77"/>
      <c r="B9" s="77"/>
      <c r="C9" s="77"/>
      <c r="D9" s="52" t="s">
        <v>142</v>
      </c>
      <c r="E9" s="71" t="n">
        <f aca="false">CS301!H10</f>
        <v>4</v>
      </c>
      <c r="F9" s="80" t="n">
        <f aca="false">CS301!R10</f>
        <v>5</v>
      </c>
      <c r="G9" s="64" t="n">
        <f aca="false">CS301!S10</f>
        <v>3</v>
      </c>
      <c r="H9" s="68" t="str">
        <f aca="false">IF(CS301!S10=0,"—",TEXT(CS301!S10,"0"))</f>
        <v>3</v>
      </c>
      <c r="I9" s="68" t="str">
        <f aca="false">IF(CS301!S10=0,"—",TEXT(CS301!S10,"0"))</f>
        <v>3</v>
      </c>
      <c r="J9" s="68" t="str">
        <f aca="false">IF(CS301!S10=0,"—",TEXT(CS301!S10,"0"))</f>
        <v>3</v>
      </c>
      <c r="K9" s="68" t="str">
        <f aca="false">IF(CS301!S10=0,"—",TEXT(CS301!S10,"0"))</f>
        <v>3</v>
      </c>
      <c r="L9" s="68" t="str">
        <f aca="false">IF(CS301!S10=0,"—",TEXT(CS301!S10,"0"))</f>
        <v>3</v>
      </c>
      <c r="M9" s="69" t="s">
        <v>16</v>
      </c>
      <c r="N9" s="69" t="s">
        <v>16</v>
      </c>
      <c r="O9" s="69" t="s">
        <v>16</v>
      </c>
      <c r="P9" s="69" t="s">
        <v>16</v>
      </c>
      <c r="Q9" s="69" t="s">
        <v>16</v>
      </c>
      <c r="R9" s="69" t="s">
        <v>16</v>
      </c>
      <c r="S9" s="68" t="str">
        <f aca="false">IF(CS301!S10=0,"—",TEXT(CS301!S10,"0"))</f>
        <v>3</v>
      </c>
      <c r="T9" s="68" t="str">
        <f aca="false">IF(CS301!S10=0,"—",TEXT(CS301!S10,"0"))</f>
        <v>3</v>
      </c>
      <c r="U9" s="68" t="str">
        <f aca="false">IF(CS301!S10=0,"—",TEXT(CS301!S10,"0"))</f>
        <v>3</v>
      </c>
      <c r="V9" s="69" t="s">
        <v>16</v>
      </c>
    </row>
    <row r="10" customFormat="false" ht="18" hidden="false" customHeight="true" outlineLevel="0" collapsed="false">
      <c r="A10" s="77"/>
      <c r="B10" s="77"/>
      <c r="C10" s="77"/>
      <c r="D10" s="52" t="s">
        <v>144</v>
      </c>
      <c r="E10" s="71" t="n">
        <f aca="false">CS301!H11</f>
        <v>4</v>
      </c>
      <c r="F10" s="80" t="n">
        <f aca="false">CS301!R11</f>
        <v>4</v>
      </c>
      <c r="G10" s="64" t="n">
        <f aca="false">CS301!S11</f>
        <v>3</v>
      </c>
      <c r="H10" s="66" t="str">
        <f aca="false">IF(CS301!S11=0,"—",TEXT(CS301!S11,"0"))</f>
        <v>3</v>
      </c>
      <c r="I10" s="66" t="str">
        <f aca="false">IF(CS301!S11=0,"—",TEXT(CS301!S11,"0"))</f>
        <v>3</v>
      </c>
      <c r="J10" s="66" t="str">
        <f aca="false">IF(CS301!S11=0,"—",TEXT(CS301!S11,"0"))</f>
        <v>3</v>
      </c>
      <c r="K10" s="67" t="s">
        <v>16</v>
      </c>
      <c r="L10" s="67" t="s">
        <v>16</v>
      </c>
      <c r="M10" s="67" t="s">
        <v>16</v>
      </c>
      <c r="N10" s="67" t="s">
        <v>16</v>
      </c>
      <c r="O10" s="67" t="s">
        <v>16</v>
      </c>
      <c r="P10" s="67" t="s">
        <v>16</v>
      </c>
      <c r="Q10" s="67" t="s">
        <v>16</v>
      </c>
      <c r="R10" s="67" t="s">
        <v>16</v>
      </c>
      <c r="S10" s="66" t="str">
        <f aca="false">IF(CS301!S11=0,"—",TEXT(CS301!S11,"0"))</f>
        <v>3</v>
      </c>
      <c r="T10" s="66" t="str">
        <f aca="false">IF(CS301!S11=0,"—",TEXT(CS301!S11,"0"))</f>
        <v>3</v>
      </c>
      <c r="U10" s="67" t="s">
        <v>16</v>
      </c>
      <c r="V10" s="67" t="s">
        <v>16</v>
      </c>
    </row>
    <row r="11" customFormat="false" ht="18" hidden="false" customHeight="true" outlineLevel="0" collapsed="false">
      <c r="A11" s="77"/>
      <c r="B11" s="77"/>
      <c r="C11" s="77"/>
      <c r="D11" s="52" t="s">
        <v>146</v>
      </c>
      <c r="E11" s="71" t="n">
        <f aca="false">CS301!H12</f>
        <v>3</v>
      </c>
      <c r="F11" s="80" t="n">
        <f aca="false">CS301!R12</f>
        <v>5</v>
      </c>
      <c r="G11" s="64" t="n">
        <f aca="false">CS301!S12</f>
        <v>3</v>
      </c>
      <c r="H11" s="68" t="str">
        <f aca="false">IF(CS301!S12=0,"—",TEXT(CS301!S12,"0"))</f>
        <v>3</v>
      </c>
      <c r="I11" s="68" t="str">
        <f aca="false">IF(CS301!S12=0,"—",TEXT(CS301!S12,"0"))</f>
        <v>3</v>
      </c>
      <c r="J11" s="69" t="s">
        <v>16</v>
      </c>
      <c r="K11" s="69" t="s">
        <v>16</v>
      </c>
      <c r="L11" s="69" t="s">
        <v>16</v>
      </c>
      <c r="M11" s="69" t="s">
        <v>16</v>
      </c>
      <c r="N11" s="69" t="s">
        <v>16</v>
      </c>
      <c r="O11" s="69" t="s">
        <v>16</v>
      </c>
      <c r="P11" s="69" t="s">
        <v>16</v>
      </c>
      <c r="Q11" s="69" t="s">
        <v>16</v>
      </c>
      <c r="R11" s="69" t="s">
        <v>16</v>
      </c>
      <c r="S11" s="68" t="str">
        <f aca="false">IF(CS301!S12=0,"—",TEXT(CS301!S12,"0"))</f>
        <v>3</v>
      </c>
      <c r="T11" s="68" t="str">
        <f aca="false">IF(CS301!S12=0,"—",TEXT(CS301!S12,"0"))</f>
        <v>3</v>
      </c>
      <c r="U11" s="69" t="s">
        <v>16</v>
      </c>
      <c r="V11" s="68" t="str">
        <f aca="false">IF(CS301!S12=0,"—",TEXT(CS301!S12,"0"))</f>
        <v>3</v>
      </c>
    </row>
    <row r="12" customFormat="false" ht="18" hidden="false" customHeight="true" outlineLevel="0" collapsed="false">
      <c r="A12" s="77" t="n">
        <v>2</v>
      </c>
      <c r="B12" s="78" t="s">
        <v>170</v>
      </c>
      <c r="C12" s="79" t="s">
        <v>171</v>
      </c>
      <c r="D12" s="52" t="s">
        <v>138</v>
      </c>
      <c r="E12" s="71" t="n">
        <f aca="false">CS302!H8</f>
        <v>3</v>
      </c>
      <c r="F12" s="80" t="n">
        <f aca="false">CS302!R8</f>
        <v>3</v>
      </c>
      <c r="G12" s="64" t="n">
        <f aca="false">CS302!S8</f>
        <v>3</v>
      </c>
      <c r="H12" s="66" t="str">
        <f aca="false">IF(CS302!S8=0,"—",TEXT(CS302!S8,"0"))</f>
        <v>3</v>
      </c>
      <c r="I12" s="66" t="str">
        <f aca="false">IF(CS302!S8=0,"—",TEXT(CS302!S8,"0"))</f>
        <v>3</v>
      </c>
      <c r="J12" s="66" t="str">
        <f aca="false">IF(CS302!S8=0,"—",TEXT(CS302!S8,"0"))</f>
        <v>3</v>
      </c>
      <c r="K12" s="67" t="s">
        <v>16</v>
      </c>
      <c r="L12" s="67" t="s">
        <v>16</v>
      </c>
      <c r="M12" s="67" t="s">
        <v>16</v>
      </c>
      <c r="N12" s="67" t="s">
        <v>16</v>
      </c>
      <c r="O12" s="67" t="s">
        <v>16</v>
      </c>
      <c r="P12" s="67" t="s">
        <v>16</v>
      </c>
      <c r="Q12" s="67" t="s">
        <v>16</v>
      </c>
      <c r="R12" s="67" t="s">
        <v>16</v>
      </c>
      <c r="S12" s="66" t="str">
        <f aca="false">IF(CS302!S8=0,"—",TEXT(CS302!S8,"0"))</f>
        <v>3</v>
      </c>
      <c r="T12" s="66" t="str">
        <f aca="false">IF(CS302!S8=0,"—",TEXT(CS302!S8,"0"))</f>
        <v>3</v>
      </c>
      <c r="U12" s="67" t="s">
        <v>16</v>
      </c>
      <c r="V12" s="67" t="s">
        <v>16</v>
      </c>
    </row>
    <row r="13" customFormat="false" ht="18" hidden="false" customHeight="true" outlineLevel="0" collapsed="false">
      <c r="A13" s="77"/>
      <c r="B13" s="77"/>
      <c r="C13" s="77"/>
      <c r="D13" s="52" t="s">
        <v>140</v>
      </c>
      <c r="E13" s="71" t="n">
        <f aca="false">CS302!H9</f>
        <v>3</v>
      </c>
      <c r="F13" s="80" t="n">
        <f aca="false">CS302!R9</f>
        <v>5</v>
      </c>
      <c r="G13" s="64" t="n">
        <f aca="false">CS302!S9</f>
        <v>3</v>
      </c>
      <c r="H13" s="68" t="str">
        <f aca="false">IF(CS302!S9=0,"—",TEXT(CS302!S9,"0"))</f>
        <v>3</v>
      </c>
      <c r="I13" s="68" t="str">
        <f aca="false">IF(CS302!S9=0,"—",TEXT(CS302!S9,"0"))</f>
        <v>3</v>
      </c>
      <c r="J13" s="68" t="str">
        <f aca="false">IF(CS302!S9=0,"—",TEXT(CS302!S9,"0"))</f>
        <v>3</v>
      </c>
      <c r="K13" s="69" t="s">
        <v>16</v>
      </c>
      <c r="L13" s="68" t="str">
        <f aca="false">IF(CS302!S9=0,"—",TEXT(CS302!S9,"0"))</f>
        <v>3</v>
      </c>
      <c r="M13" s="69" t="s">
        <v>16</v>
      </c>
      <c r="N13" s="69" t="s">
        <v>16</v>
      </c>
      <c r="O13" s="69" t="s">
        <v>16</v>
      </c>
      <c r="P13" s="69" t="s">
        <v>16</v>
      </c>
      <c r="Q13" s="69" t="s">
        <v>16</v>
      </c>
      <c r="R13" s="69" t="s">
        <v>16</v>
      </c>
      <c r="S13" s="68" t="str">
        <f aca="false">IF(CS302!S9=0,"—",TEXT(CS302!S9,"0"))</f>
        <v>3</v>
      </c>
      <c r="T13" s="68" t="str">
        <f aca="false">IF(CS302!S9=0,"—",TEXT(CS302!S9,"0"))</f>
        <v>3</v>
      </c>
      <c r="U13" s="68" t="str">
        <f aca="false">IF(CS302!S9=0,"—",TEXT(CS302!S9,"0"))</f>
        <v>3</v>
      </c>
      <c r="V13" s="69" t="s">
        <v>16</v>
      </c>
    </row>
    <row r="14" customFormat="false" ht="18" hidden="false" customHeight="true" outlineLevel="0" collapsed="false">
      <c r="A14" s="77"/>
      <c r="B14" s="77"/>
      <c r="C14" s="77"/>
      <c r="D14" s="52" t="s">
        <v>142</v>
      </c>
      <c r="E14" s="71" t="n">
        <f aca="false">CS302!H10</f>
        <v>4</v>
      </c>
      <c r="F14" s="80" t="n">
        <f aca="false">CS302!R10</f>
        <v>3</v>
      </c>
      <c r="G14" s="64" t="n">
        <f aca="false">CS302!S10</f>
        <v>3</v>
      </c>
      <c r="H14" s="66" t="str">
        <f aca="false">IF(CS302!S10=0,"—",TEXT(CS302!S10,"0"))</f>
        <v>3</v>
      </c>
      <c r="I14" s="66" t="str">
        <f aca="false">IF(CS302!S10=0,"—",TEXT(CS302!S10,"0"))</f>
        <v>3</v>
      </c>
      <c r="J14" s="66" t="str">
        <f aca="false">IF(CS302!S10=0,"—",TEXT(CS302!S10,"0"))</f>
        <v>3</v>
      </c>
      <c r="K14" s="67" t="s">
        <v>16</v>
      </c>
      <c r="L14" s="67" t="s">
        <v>16</v>
      </c>
      <c r="M14" s="67" t="s">
        <v>16</v>
      </c>
      <c r="N14" s="67" t="s">
        <v>16</v>
      </c>
      <c r="O14" s="67" t="s">
        <v>16</v>
      </c>
      <c r="P14" s="67" t="s">
        <v>16</v>
      </c>
      <c r="Q14" s="67" t="s">
        <v>16</v>
      </c>
      <c r="R14" s="67" t="s">
        <v>16</v>
      </c>
      <c r="S14" s="66" t="str">
        <f aca="false">IF(CS302!S10=0,"—",TEXT(CS302!S10,"0"))</f>
        <v>3</v>
      </c>
      <c r="T14" s="66" t="str">
        <f aca="false">IF(CS302!S10=0,"—",TEXT(CS302!S10,"0"))</f>
        <v>3</v>
      </c>
      <c r="U14" s="67" t="s">
        <v>16</v>
      </c>
      <c r="V14" s="67" t="s">
        <v>16</v>
      </c>
    </row>
    <row r="15" customFormat="false" ht="18" hidden="false" customHeight="true" outlineLevel="0" collapsed="false">
      <c r="A15" s="77"/>
      <c r="B15" s="77"/>
      <c r="C15" s="77"/>
      <c r="D15" s="52" t="s">
        <v>144</v>
      </c>
      <c r="E15" s="71" t="n">
        <f aca="false">CS302!H11</f>
        <v>3</v>
      </c>
      <c r="F15" s="80" t="n">
        <f aca="false">CS302!R11</f>
        <v>5</v>
      </c>
      <c r="G15" s="64" t="n">
        <f aca="false">CS302!S11</f>
        <v>3</v>
      </c>
      <c r="H15" s="68" t="str">
        <f aca="false">IF(CS302!S11=0,"—",TEXT(CS302!S11,"0"))</f>
        <v>3</v>
      </c>
      <c r="I15" s="68" t="str">
        <f aca="false">IF(CS302!S11=0,"—",TEXT(CS302!S11,"0"))</f>
        <v>3</v>
      </c>
      <c r="J15" s="68" t="str">
        <f aca="false">IF(CS302!S11=0,"—",TEXT(CS302!S11,"0"))</f>
        <v>3</v>
      </c>
      <c r="K15" s="68" t="str">
        <f aca="false">IF(CS302!S11=0,"—",TEXT(CS302!S11,"0"))</f>
        <v>3</v>
      </c>
      <c r="L15" s="69" t="s">
        <v>16</v>
      </c>
      <c r="M15" s="69" t="s">
        <v>16</v>
      </c>
      <c r="N15" s="69" t="s">
        <v>16</v>
      </c>
      <c r="O15" s="69" t="s">
        <v>16</v>
      </c>
      <c r="P15" s="69" t="s">
        <v>16</v>
      </c>
      <c r="Q15" s="69" t="s">
        <v>16</v>
      </c>
      <c r="R15" s="69" t="s">
        <v>16</v>
      </c>
      <c r="S15" s="68" t="str">
        <f aca="false">IF(CS302!S11=0,"—",TEXT(CS302!S11,"0"))</f>
        <v>3</v>
      </c>
      <c r="T15" s="68" t="str">
        <f aca="false">IF(CS302!S11=0,"—",TEXT(CS302!S11,"0"))</f>
        <v>3</v>
      </c>
      <c r="U15" s="69" t="s">
        <v>16</v>
      </c>
      <c r="V15" s="69" t="s">
        <v>16</v>
      </c>
    </row>
    <row r="16" customFormat="false" ht="18" hidden="false" customHeight="true" outlineLevel="0" collapsed="false">
      <c r="A16" s="77"/>
      <c r="B16" s="77"/>
      <c r="C16" s="77"/>
      <c r="D16" s="52" t="s">
        <v>146</v>
      </c>
      <c r="E16" s="71" t="n">
        <f aca="false">CS302!H12</f>
        <v>3</v>
      </c>
      <c r="F16" s="80" t="n">
        <f aca="false">CS302!R12</f>
        <v>4</v>
      </c>
      <c r="G16" s="64" t="n">
        <f aca="false">CS302!S12</f>
        <v>3</v>
      </c>
      <c r="H16" s="66" t="str">
        <f aca="false">IF(CS302!S12=0,"—",TEXT(CS302!S12,"0"))</f>
        <v>3</v>
      </c>
      <c r="I16" s="66" t="str">
        <f aca="false">IF(CS302!S12=0,"—",TEXT(CS302!S12,"0"))</f>
        <v>3</v>
      </c>
      <c r="J16" s="67" t="s">
        <v>16</v>
      </c>
      <c r="K16" s="66" t="str">
        <f aca="false">IF(CS302!S12=0,"—",TEXT(CS302!S12,"0"))</f>
        <v>3</v>
      </c>
      <c r="L16" s="66" t="str">
        <f aca="false">IF(CS302!S12=0,"—",TEXT(CS302!S12,"0"))</f>
        <v>3</v>
      </c>
      <c r="M16" s="67" t="s">
        <v>16</v>
      </c>
      <c r="N16" s="67" t="s">
        <v>16</v>
      </c>
      <c r="O16" s="67" t="s">
        <v>16</v>
      </c>
      <c r="P16" s="67" t="s">
        <v>16</v>
      </c>
      <c r="Q16" s="67" t="s">
        <v>16</v>
      </c>
      <c r="R16" s="67" t="s">
        <v>16</v>
      </c>
      <c r="S16" s="66" t="str">
        <f aca="false">IF(CS302!S12=0,"—",TEXT(CS302!S12,"0"))</f>
        <v>3</v>
      </c>
      <c r="T16" s="66" t="str">
        <f aca="false">IF(CS302!S12=0,"—",TEXT(CS302!S12,"0"))</f>
        <v>3</v>
      </c>
      <c r="U16" s="66" t="str">
        <f aca="false">IF(CS302!S12=0,"—",TEXT(CS302!S12,"0"))</f>
        <v>3</v>
      </c>
      <c r="V16" s="67" t="s">
        <v>16</v>
      </c>
    </row>
    <row r="17" customFormat="false" ht="18" hidden="false" customHeight="true" outlineLevel="0" collapsed="false">
      <c r="A17" s="77" t="n">
        <v>3</v>
      </c>
      <c r="B17" s="78" t="s">
        <v>172</v>
      </c>
      <c r="C17" s="79" t="s">
        <v>173</v>
      </c>
      <c r="D17" s="52" t="s">
        <v>138</v>
      </c>
      <c r="E17" s="71" t="n">
        <f aca="false">CS303!H8</f>
        <v>3</v>
      </c>
      <c r="F17" s="80" t="n">
        <f aca="false">CS303!R8</f>
        <v>3</v>
      </c>
      <c r="G17" s="64" t="n">
        <f aca="false">CS303!S8</f>
        <v>3</v>
      </c>
      <c r="H17" s="68" t="str">
        <f aca="false">IF(CS303!S8=0,"—",TEXT(CS303!S8,"0"))</f>
        <v>3</v>
      </c>
      <c r="I17" s="68" t="str">
        <f aca="false">IF(CS303!S8=0,"—",TEXT(CS303!S8,"0"))</f>
        <v>3</v>
      </c>
      <c r="J17" s="69" t="s">
        <v>16</v>
      </c>
      <c r="K17" s="69" t="s">
        <v>16</v>
      </c>
      <c r="L17" s="68" t="str">
        <f aca="false">IF(CS303!S8=0,"—",TEXT(CS303!S8,"0"))</f>
        <v>3</v>
      </c>
      <c r="M17" s="69" t="s">
        <v>16</v>
      </c>
      <c r="N17" s="69" t="s">
        <v>16</v>
      </c>
      <c r="O17" s="69" t="s">
        <v>16</v>
      </c>
      <c r="P17" s="69" t="s">
        <v>16</v>
      </c>
      <c r="Q17" s="69" t="s">
        <v>16</v>
      </c>
      <c r="R17" s="69" t="s">
        <v>16</v>
      </c>
      <c r="S17" s="68" t="str">
        <f aca="false">IF(CS303!S8=0,"—",TEXT(CS303!S8,"0"))</f>
        <v>3</v>
      </c>
      <c r="T17" s="69" t="s">
        <v>16</v>
      </c>
      <c r="U17" s="68" t="str">
        <f aca="false">IF(CS303!S8=0,"—",TEXT(CS303!S8,"0"))</f>
        <v>3</v>
      </c>
      <c r="V17" s="69" t="s">
        <v>16</v>
      </c>
    </row>
    <row r="18" customFormat="false" ht="18" hidden="false" customHeight="true" outlineLevel="0" collapsed="false">
      <c r="A18" s="77"/>
      <c r="B18" s="77"/>
      <c r="C18" s="77"/>
      <c r="D18" s="52" t="s">
        <v>140</v>
      </c>
      <c r="E18" s="71" t="n">
        <f aca="false">CS303!H9</f>
        <v>4</v>
      </c>
      <c r="F18" s="80" t="n">
        <f aca="false">CS303!R9</f>
        <v>5</v>
      </c>
      <c r="G18" s="64" t="n">
        <f aca="false">CS303!S9</f>
        <v>3</v>
      </c>
      <c r="H18" s="66" t="str">
        <f aca="false">IF(CS303!S9=0,"—",TEXT(CS303!S9,"0"))</f>
        <v>3</v>
      </c>
      <c r="I18" s="66" t="str">
        <f aca="false">IF(CS303!S9=0,"—",TEXT(CS303!S9,"0"))</f>
        <v>3</v>
      </c>
      <c r="J18" s="66" t="str">
        <f aca="false">IF(CS303!S9=0,"—",TEXT(CS303!S9,"0"))</f>
        <v>3</v>
      </c>
      <c r="K18" s="67" t="s">
        <v>16</v>
      </c>
      <c r="L18" s="66" t="str">
        <f aca="false">IF(CS303!S9=0,"—",TEXT(CS303!S9,"0"))</f>
        <v>3</v>
      </c>
      <c r="M18" s="67" t="s">
        <v>16</v>
      </c>
      <c r="N18" s="67" t="s">
        <v>16</v>
      </c>
      <c r="O18" s="67" t="s">
        <v>16</v>
      </c>
      <c r="P18" s="67" t="s">
        <v>16</v>
      </c>
      <c r="Q18" s="67" t="s">
        <v>16</v>
      </c>
      <c r="R18" s="67" t="s">
        <v>16</v>
      </c>
      <c r="S18" s="66" t="str">
        <f aca="false">IF(CS303!S9=0,"—",TEXT(CS303!S9,"0"))</f>
        <v>3</v>
      </c>
      <c r="T18" s="66" t="str">
        <f aca="false">IF(CS303!S9=0,"—",TEXT(CS303!S9,"0"))</f>
        <v>3</v>
      </c>
      <c r="U18" s="66" t="str">
        <f aca="false">IF(CS303!S9=0,"—",TEXT(CS303!S9,"0"))</f>
        <v>3</v>
      </c>
      <c r="V18" s="67" t="s">
        <v>16</v>
      </c>
    </row>
    <row r="19" customFormat="false" ht="18" hidden="false" customHeight="true" outlineLevel="0" collapsed="false">
      <c r="A19" s="77"/>
      <c r="B19" s="77"/>
      <c r="C19" s="77"/>
      <c r="D19" s="52" t="s">
        <v>142</v>
      </c>
      <c r="E19" s="71" t="n">
        <f aca="false">CS303!H10</f>
        <v>3</v>
      </c>
      <c r="F19" s="80" t="n">
        <f aca="false">CS303!R10</f>
        <v>5</v>
      </c>
      <c r="G19" s="64" t="n">
        <f aca="false">CS303!S10</f>
        <v>3</v>
      </c>
      <c r="H19" s="68" t="str">
        <f aca="false">IF(CS303!S10=0,"—",TEXT(CS303!S10,"0"))</f>
        <v>3</v>
      </c>
      <c r="I19" s="68" t="str">
        <f aca="false">IF(CS303!S10=0,"—",TEXT(CS303!S10,"0"))</f>
        <v>3</v>
      </c>
      <c r="J19" s="68" t="str">
        <f aca="false">IF(CS303!S10=0,"—",TEXT(CS303!S10,"0"))</f>
        <v>3</v>
      </c>
      <c r="K19" s="68" t="str">
        <f aca="false">IF(CS303!S10=0,"—",TEXT(CS303!S10,"0"))</f>
        <v>3</v>
      </c>
      <c r="L19" s="68" t="str">
        <f aca="false">IF(CS303!S10=0,"—",TEXT(CS303!S10,"0"))</f>
        <v>3</v>
      </c>
      <c r="M19" s="69" t="s">
        <v>16</v>
      </c>
      <c r="N19" s="69" t="s">
        <v>16</v>
      </c>
      <c r="O19" s="69" t="s">
        <v>16</v>
      </c>
      <c r="P19" s="69" t="s">
        <v>16</v>
      </c>
      <c r="Q19" s="69" t="s">
        <v>16</v>
      </c>
      <c r="R19" s="69" t="s">
        <v>16</v>
      </c>
      <c r="S19" s="68" t="str">
        <f aca="false">IF(CS303!S10=0,"—",TEXT(CS303!S10,"0"))</f>
        <v>3</v>
      </c>
      <c r="T19" s="68" t="str">
        <f aca="false">IF(CS303!S10=0,"—",TEXT(CS303!S10,"0"))</f>
        <v>3</v>
      </c>
      <c r="U19" s="68" t="str">
        <f aca="false">IF(CS303!S10=0,"—",TEXT(CS303!S10,"0"))</f>
        <v>3</v>
      </c>
      <c r="V19" s="69" t="s">
        <v>16</v>
      </c>
    </row>
    <row r="20" customFormat="false" ht="18" hidden="false" customHeight="true" outlineLevel="0" collapsed="false">
      <c r="A20" s="77"/>
      <c r="B20" s="77"/>
      <c r="C20" s="77"/>
      <c r="D20" s="52" t="s">
        <v>144</v>
      </c>
      <c r="E20" s="71" t="n">
        <f aca="false">CS303!H11</f>
        <v>4</v>
      </c>
      <c r="F20" s="80" t="n">
        <f aca="false">CS303!R11</f>
        <v>3</v>
      </c>
      <c r="G20" s="64" t="n">
        <f aca="false">CS303!S11</f>
        <v>3</v>
      </c>
      <c r="H20" s="66" t="str">
        <f aca="false">IF(CS303!S11=0,"—",TEXT(CS303!S11,"0"))</f>
        <v>3</v>
      </c>
      <c r="I20" s="66" t="str">
        <f aca="false">IF(CS303!S11=0,"—",TEXT(CS303!S11,"0"))</f>
        <v>3</v>
      </c>
      <c r="J20" s="66" t="str">
        <f aca="false">IF(CS303!S11=0,"—",TEXT(CS303!S11,"0"))</f>
        <v>3</v>
      </c>
      <c r="K20" s="67" t="s">
        <v>16</v>
      </c>
      <c r="L20" s="67" t="s">
        <v>16</v>
      </c>
      <c r="M20" s="67" t="s">
        <v>16</v>
      </c>
      <c r="N20" s="67" t="s">
        <v>16</v>
      </c>
      <c r="O20" s="67" t="s">
        <v>16</v>
      </c>
      <c r="P20" s="67" t="s">
        <v>16</v>
      </c>
      <c r="Q20" s="67" t="s">
        <v>16</v>
      </c>
      <c r="R20" s="67" t="s">
        <v>16</v>
      </c>
      <c r="S20" s="66" t="str">
        <f aca="false">IF(CS303!S11=0,"—",TEXT(CS303!S11,"0"))</f>
        <v>3</v>
      </c>
      <c r="T20" s="67" t="s">
        <v>16</v>
      </c>
      <c r="U20" s="67" t="s">
        <v>16</v>
      </c>
      <c r="V20" s="67" t="s">
        <v>16</v>
      </c>
    </row>
    <row r="21" customFormat="false" ht="18" hidden="false" customHeight="true" outlineLevel="0" collapsed="false">
      <c r="A21" s="77"/>
      <c r="B21" s="77"/>
      <c r="C21" s="77"/>
      <c r="D21" s="52" t="s">
        <v>146</v>
      </c>
      <c r="E21" s="71" t="n">
        <f aca="false">CS303!H12</f>
        <v>3</v>
      </c>
      <c r="F21" s="80" t="n">
        <f aca="false">CS303!R12</f>
        <v>6</v>
      </c>
      <c r="G21" s="64" t="n">
        <f aca="false">CS303!S12</f>
        <v>3</v>
      </c>
      <c r="H21" s="68" t="str">
        <f aca="false">IF(CS303!S12=0,"—",TEXT(CS303!S12,"0"))</f>
        <v>3</v>
      </c>
      <c r="I21" s="68" t="str">
        <f aca="false">IF(CS303!S12=0,"—",TEXT(CS303!S12,"0"))</f>
        <v>3</v>
      </c>
      <c r="J21" s="69" t="s">
        <v>16</v>
      </c>
      <c r="K21" s="69" t="s">
        <v>16</v>
      </c>
      <c r="L21" s="68" t="str">
        <f aca="false">IF(CS303!S12=0,"—",TEXT(CS303!S12,"0"))</f>
        <v>3</v>
      </c>
      <c r="M21" s="69" t="s">
        <v>16</v>
      </c>
      <c r="N21" s="69" t="s">
        <v>16</v>
      </c>
      <c r="O21" s="69" t="s">
        <v>16</v>
      </c>
      <c r="P21" s="69" t="s">
        <v>16</v>
      </c>
      <c r="Q21" s="69" t="s">
        <v>16</v>
      </c>
      <c r="R21" s="69" t="s">
        <v>16</v>
      </c>
      <c r="S21" s="68" t="str">
        <f aca="false">IF(CS303!S12=0,"—",TEXT(CS303!S12,"0"))</f>
        <v>3</v>
      </c>
      <c r="T21" s="69" t="s">
        <v>16</v>
      </c>
      <c r="U21" s="68" t="str">
        <f aca="false">IF(CS303!S12=0,"—",TEXT(CS303!S12,"0"))</f>
        <v>3</v>
      </c>
      <c r="V21" s="68" t="str">
        <f aca="false">IF(CS303!S12=0,"—",TEXT(CS303!S12,"0"))</f>
        <v>3</v>
      </c>
    </row>
    <row r="22" customFormat="false" ht="18" hidden="false" customHeight="true" outlineLevel="0" collapsed="false">
      <c r="A22" s="77" t="n">
        <v>4</v>
      </c>
      <c r="B22" s="78" t="s">
        <v>174</v>
      </c>
      <c r="C22" s="79" t="s">
        <v>175</v>
      </c>
      <c r="D22" s="52" t="s">
        <v>138</v>
      </c>
      <c r="E22" s="71" t="n">
        <f aca="false">CS304!H8</f>
        <v>3</v>
      </c>
      <c r="F22" s="80" t="n">
        <f aca="false">CS304!R8</f>
        <v>3</v>
      </c>
      <c r="G22" s="64" t="n">
        <f aca="false">CS304!S8</f>
        <v>3</v>
      </c>
      <c r="H22" s="66" t="str">
        <f aca="false">IF(CS304!S8=0,"—",TEXT(CS304!S8,"0"))</f>
        <v>3</v>
      </c>
      <c r="I22" s="66" t="str">
        <f aca="false">IF(CS304!S8=0,"—",TEXT(CS304!S8,"0"))</f>
        <v>3</v>
      </c>
      <c r="J22" s="67" t="s">
        <v>16</v>
      </c>
      <c r="K22" s="67" t="s">
        <v>16</v>
      </c>
      <c r="L22" s="67" t="s">
        <v>16</v>
      </c>
      <c r="M22" s="67" t="s">
        <v>16</v>
      </c>
      <c r="N22" s="67" t="s">
        <v>16</v>
      </c>
      <c r="O22" s="67" t="s">
        <v>16</v>
      </c>
      <c r="P22" s="67" t="s">
        <v>16</v>
      </c>
      <c r="Q22" s="67" t="s">
        <v>16</v>
      </c>
      <c r="R22" s="67" t="s">
        <v>16</v>
      </c>
      <c r="S22" s="66" t="str">
        <f aca="false">IF(CS304!S8=0,"—",TEXT(CS304!S8,"0"))</f>
        <v>3</v>
      </c>
      <c r="T22" s="67" t="s">
        <v>16</v>
      </c>
      <c r="U22" s="67" t="s">
        <v>16</v>
      </c>
      <c r="V22" s="66" t="str">
        <f aca="false">IF(CS304!S8=0,"—",TEXT(CS304!S8,"0"))</f>
        <v>3</v>
      </c>
    </row>
    <row r="23" customFormat="false" ht="18" hidden="false" customHeight="true" outlineLevel="0" collapsed="false">
      <c r="A23" s="77"/>
      <c r="B23" s="77"/>
      <c r="C23" s="77"/>
      <c r="D23" s="52" t="s">
        <v>140</v>
      </c>
      <c r="E23" s="71" t="n">
        <f aca="false">CS304!H9</f>
        <v>4</v>
      </c>
      <c r="F23" s="80" t="n">
        <f aca="false">CS304!R9</f>
        <v>5</v>
      </c>
      <c r="G23" s="64" t="n">
        <f aca="false">CS304!S9</f>
        <v>3</v>
      </c>
      <c r="H23" s="68" t="str">
        <f aca="false">IF(CS304!S9=0,"—",TEXT(CS304!S9,"0"))</f>
        <v>3</v>
      </c>
      <c r="I23" s="68" t="str">
        <f aca="false">IF(CS304!S9=0,"—",TEXT(CS304!S9,"0"))</f>
        <v>3</v>
      </c>
      <c r="J23" s="68" t="str">
        <f aca="false">IF(CS304!S9=0,"—",TEXT(CS304!S9,"0"))</f>
        <v>3</v>
      </c>
      <c r="K23" s="68" t="str">
        <f aca="false">IF(CS304!S9=0,"—",TEXT(CS304!S9,"0"))</f>
        <v>3</v>
      </c>
      <c r="L23" s="69" t="s">
        <v>16</v>
      </c>
      <c r="M23" s="69" t="s">
        <v>16</v>
      </c>
      <c r="N23" s="69" t="s">
        <v>16</v>
      </c>
      <c r="O23" s="69" t="s">
        <v>16</v>
      </c>
      <c r="P23" s="69" t="s">
        <v>16</v>
      </c>
      <c r="Q23" s="69" t="s">
        <v>16</v>
      </c>
      <c r="R23" s="69" t="s">
        <v>16</v>
      </c>
      <c r="S23" s="68" t="str">
        <f aca="false">IF(CS304!S9=0,"—",TEXT(CS304!S9,"0"))</f>
        <v>3</v>
      </c>
      <c r="T23" s="68" t="str">
        <f aca="false">IF(CS304!S9=0,"—",TEXT(CS304!S9,"0"))</f>
        <v>3</v>
      </c>
      <c r="U23" s="69" t="s">
        <v>16</v>
      </c>
      <c r="V23" s="69" t="s">
        <v>16</v>
      </c>
    </row>
    <row r="24" customFormat="false" ht="18" hidden="false" customHeight="true" outlineLevel="0" collapsed="false">
      <c r="A24" s="77"/>
      <c r="B24" s="77"/>
      <c r="C24" s="77"/>
      <c r="D24" s="52" t="s">
        <v>142</v>
      </c>
      <c r="E24" s="71" t="n">
        <f aca="false">CS304!H10</f>
        <v>3</v>
      </c>
      <c r="F24" s="80" t="n">
        <f aca="false">CS304!R10</f>
        <v>4</v>
      </c>
      <c r="G24" s="64" t="n">
        <f aca="false">CS304!S10</f>
        <v>3</v>
      </c>
      <c r="H24" s="66" t="str">
        <f aca="false">IF(CS304!S10=0,"—",TEXT(CS304!S10,"0"))</f>
        <v>3</v>
      </c>
      <c r="I24" s="66" t="str">
        <f aca="false">IF(CS304!S10=0,"—",TEXT(CS304!S10,"0"))</f>
        <v>3</v>
      </c>
      <c r="J24" s="66" t="str">
        <f aca="false">IF(CS304!S10=0,"—",TEXT(CS304!S10,"0"))</f>
        <v>3</v>
      </c>
      <c r="K24" s="66" t="str">
        <f aca="false">IF(CS304!S10=0,"—",TEXT(CS304!S10,"0"))</f>
        <v>3</v>
      </c>
      <c r="L24" s="67" t="s">
        <v>16</v>
      </c>
      <c r="M24" s="67" t="s">
        <v>16</v>
      </c>
      <c r="N24" s="67" t="s">
        <v>16</v>
      </c>
      <c r="O24" s="67" t="s">
        <v>16</v>
      </c>
      <c r="P24" s="67" t="s">
        <v>16</v>
      </c>
      <c r="Q24" s="67" t="s">
        <v>16</v>
      </c>
      <c r="R24" s="67" t="s">
        <v>16</v>
      </c>
      <c r="S24" s="66" t="str">
        <f aca="false">IF(CS304!S10=0,"—",TEXT(CS304!S10,"0"))</f>
        <v>3</v>
      </c>
      <c r="T24" s="66" t="str">
        <f aca="false">IF(CS304!S10=0,"—",TEXT(CS304!S10,"0"))</f>
        <v>3</v>
      </c>
      <c r="U24" s="67" t="s">
        <v>16</v>
      </c>
      <c r="V24" s="67" t="s">
        <v>16</v>
      </c>
    </row>
    <row r="25" customFormat="false" ht="18" hidden="false" customHeight="true" outlineLevel="0" collapsed="false">
      <c r="A25" s="77"/>
      <c r="B25" s="77"/>
      <c r="C25" s="77"/>
      <c r="D25" s="52" t="s">
        <v>144</v>
      </c>
      <c r="E25" s="71" t="n">
        <f aca="false">CS304!H11</f>
        <v>3</v>
      </c>
      <c r="F25" s="80" t="n">
        <f aca="false">CS304!R11</f>
        <v>4</v>
      </c>
      <c r="G25" s="64" t="n">
        <f aca="false">CS304!S11</f>
        <v>3</v>
      </c>
      <c r="H25" s="68" t="str">
        <f aca="false">IF(CS304!S11=0,"—",TEXT(CS304!S11,"0"))</f>
        <v>3</v>
      </c>
      <c r="I25" s="68" t="str">
        <f aca="false">IF(CS304!S11=0,"—",TEXT(CS304!S11,"0"))</f>
        <v>3</v>
      </c>
      <c r="J25" s="69" t="s">
        <v>16</v>
      </c>
      <c r="K25" s="69" t="s">
        <v>16</v>
      </c>
      <c r="L25" s="69" t="s">
        <v>16</v>
      </c>
      <c r="M25" s="69" t="s">
        <v>16</v>
      </c>
      <c r="N25" s="69" t="s">
        <v>16</v>
      </c>
      <c r="O25" s="69" t="s">
        <v>16</v>
      </c>
      <c r="P25" s="69" t="s">
        <v>16</v>
      </c>
      <c r="Q25" s="69" t="s">
        <v>16</v>
      </c>
      <c r="R25" s="69" t="s">
        <v>16</v>
      </c>
      <c r="S25" s="68" t="str">
        <f aca="false">IF(CS304!S11=0,"—",TEXT(CS304!S11,"0"))</f>
        <v>3</v>
      </c>
      <c r="T25" s="69" t="s">
        <v>16</v>
      </c>
      <c r="U25" s="69" t="s">
        <v>16</v>
      </c>
      <c r="V25" s="69" t="s">
        <v>16</v>
      </c>
    </row>
    <row r="26" customFormat="false" ht="18" hidden="false" customHeight="true" outlineLevel="0" collapsed="false">
      <c r="A26" s="77"/>
      <c r="B26" s="77"/>
      <c r="C26" s="77"/>
      <c r="D26" s="52" t="s">
        <v>146</v>
      </c>
      <c r="E26" s="71" t="n">
        <f aca="false">CS304!H12</f>
        <v>3</v>
      </c>
      <c r="F26" s="80" t="n">
        <f aca="false">CS304!R12</f>
        <v>3</v>
      </c>
      <c r="G26" s="64" t="n">
        <f aca="false">CS304!S12</f>
        <v>3</v>
      </c>
      <c r="H26" s="66" t="str">
        <f aca="false">IF(CS304!S12=0,"—",TEXT(CS304!S12,"0"))</f>
        <v>3</v>
      </c>
      <c r="I26" s="66" t="str">
        <f aca="false">IF(CS304!S12=0,"—",TEXT(CS304!S12,"0"))</f>
        <v>3</v>
      </c>
      <c r="J26" s="67" t="s">
        <v>16</v>
      </c>
      <c r="K26" s="66" t="str">
        <f aca="false">IF(CS304!S12=0,"—",TEXT(CS304!S12,"0"))</f>
        <v>3</v>
      </c>
      <c r="L26" s="66" t="str">
        <f aca="false">IF(CS304!S12=0,"—",TEXT(CS304!S12,"0"))</f>
        <v>3</v>
      </c>
      <c r="M26" s="67" t="s">
        <v>16</v>
      </c>
      <c r="N26" s="67" t="s">
        <v>16</v>
      </c>
      <c r="O26" s="67" t="s">
        <v>16</v>
      </c>
      <c r="P26" s="67" t="s">
        <v>16</v>
      </c>
      <c r="Q26" s="67" t="s">
        <v>16</v>
      </c>
      <c r="R26" s="67" t="s">
        <v>16</v>
      </c>
      <c r="S26" s="66" t="str">
        <f aca="false">IF(CS304!S12=0,"—",TEXT(CS304!S12,"0"))</f>
        <v>3</v>
      </c>
      <c r="T26" s="66" t="str">
        <f aca="false">IF(CS304!S12=0,"—",TEXT(CS304!S12,"0"))</f>
        <v>3</v>
      </c>
      <c r="U26" s="66" t="str">
        <f aca="false">IF(CS304!S12=0,"—",TEXT(CS304!S12,"0"))</f>
        <v>3</v>
      </c>
      <c r="V26" s="67" t="s">
        <v>16</v>
      </c>
    </row>
    <row r="27" customFormat="false" ht="18" hidden="false" customHeight="true" outlineLevel="0" collapsed="false">
      <c r="A27" s="77" t="n">
        <v>5</v>
      </c>
      <c r="B27" s="78" t="s">
        <v>176</v>
      </c>
      <c r="C27" s="79" t="s">
        <v>177</v>
      </c>
      <c r="D27" s="52" t="s">
        <v>138</v>
      </c>
      <c r="E27" s="71" t="n">
        <f aca="false">CS305!H8</f>
        <v>3</v>
      </c>
      <c r="F27" s="80" t="n">
        <f aca="false">CS305!R8</f>
        <v>5</v>
      </c>
      <c r="G27" s="64" t="n">
        <f aca="false">CS305!S8</f>
        <v>3</v>
      </c>
      <c r="H27" s="68" t="str">
        <f aca="false">IF(CS305!S8=0,"—",TEXT(CS305!S8,"0"))</f>
        <v>3</v>
      </c>
      <c r="I27" s="68" t="str">
        <f aca="false">IF(CS305!S8=0,"—",TEXT(CS305!S8,"0"))</f>
        <v>3</v>
      </c>
      <c r="J27" s="69" t="s">
        <v>16</v>
      </c>
      <c r="K27" s="69" t="s">
        <v>16</v>
      </c>
      <c r="L27" s="68" t="str">
        <f aca="false">IF(CS305!S8=0,"—",TEXT(CS305!S8,"0"))</f>
        <v>3</v>
      </c>
      <c r="M27" s="69" t="s">
        <v>16</v>
      </c>
      <c r="N27" s="69" t="s">
        <v>16</v>
      </c>
      <c r="O27" s="69" t="s">
        <v>16</v>
      </c>
      <c r="P27" s="69" t="s">
        <v>16</v>
      </c>
      <c r="Q27" s="69" t="s">
        <v>16</v>
      </c>
      <c r="R27" s="69" t="s">
        <v>16</v>
      </c>
      <c r="S27" s="68" t="str">
        <f aca="false">IF(CS305!S8=0,"—",TEXT(CS305!S8,"0"))</f>
        <v>3</v>
      </c>
      <c r="T27" s="68" t="str">
        <f aca="false">IF(CS305!S8=0,"—",TEXT(CS305!S8,"0"))</f>
        <v>3</v>
      </c>
      <c r="U27" s="68" t="str">
        <f aca="false">IF(CS305!S8=0,"—",TEXT(CS305!S8,"0"))</f>
        <v>3</v>
      </c>
      <c r="V27" s="69" t="s">
        <v>16</v>
      </c>
    </row>
    <row r="28" customFormat="false" ht="18" hidden="false" customHeight="true" outlineLevel="0" collapsed="false">
      <c r="A28" s="77"/>
      <c r="B28" s="77"/>
      <c r="C28" s="77"/>
      <c r="D28" s="52" t="s">
        <v>140</v>
      </c>
      <c r="E28" s="71" t="n">
        <f aca="false">CS305!H9</f>
        <v>4</v>
      </c>
      <c r="F28" s="80" t="n">
        <f aca="false">CS305!R9</f>
        <v>5</v>
      </c>
      <c r="G28" s="64" t="n">
        <f aca="false">CS305!S9</f>
        <v>3</v>
      </c>
      <c r="H28" s="66" t="str">
        <f aca="false">IF(CS305!S9=0,"—",TEXT(CS305!S9,"0"))</f>
        <v>3</v>
      </c>
      <c r="I28" s="66" t="str">
        <f aca="false">IF(CS305!S9=0,"—",TEXT(CS305!S9,"0"))</f>
        <v>3</v>
      </c>
      <c r="J28" s="66" t="str">
        <f aca="false">IF(CS305!S9=0,"—",TEXT(CS305!S9,"0"))</f>
        <v>3</v>
      </c>
      <c r="K28" s="67" t="s">
        <v>16</v>
      </c>
      <c r="L28" s="66" t="str">
        <f aca="false">IF(CS305!S9=0,"—",TEXT(CS305!S9,"0"))</f>
        <v>3</v>
      </c>
      <c r="M28" s="67" t="s">
        <v>16</v>
      </c>
      <c r="N28" s="67" t="s">
        <v>16</v>
      </c>
      <c r="O28" s="67" t="s">
        <v>16</v>
      </c>
      <c r="P28" s="67" t="s">
        <v>16</v>
      </c>
      <c r="Q28" s="67" t="s">
        <v>16</v>
      </c>
      <c r="R28" s="67" t="s">
        <v>16</v>
      </c>
      <c r="S28" s="66" t="str">
        <f aca="false">IF(CS305!S9=0,"—",TEXT(CS305!S9,"0"))</f>
        <v>3</v>
      </c>
      <c r="T28" s="66" t="str">
        <f aca="false">IF(CS305!S9=0,"—",TEXT(CS305!S9,"0"))</f>
        <v>3</v>
      </c>
      <c r="U28" s="66" t="str">
        <f aca="false">IF(CS305!S9=0,"—",TEXT(CS305!S9,"0"))</f>
        <v>3</v>
      </c>
      <c r="V28" s="67" t="s">
        <v>16</v>
      </c>
    </row>
    <row r="29" customFormat="false" ht="18" hidden="false" customHeight="true" outlineLevel="0" collapsed="false">
      <c r="A29" s="77"/>
      <c r="B29" s="77"/>
      <c r="C29" s="77"/>
      <c r="D29" s="52" t="s">
        <v>142</v>
      </c>
      <c r="E29" s="71" t="n">
        <f aca="false">CS305!H10</f>
        <v>3</v>
      </c>
      <c r="F29" s="80" t="n">
        <f aca="false">CS305!R10</f>
        <v>7</v>
      </c>
      <c r="G29" s="64" t="n">
        <f aca="false">CS305!S10</f>
        <v>3</v>
      </c>
      <c r="H29" s="68" t="str">
        <f aca="false">IF(CS305!S10=0,"—",TEXT(CS305!S10,"0"))</f>
        <v>3</v>
      </c>
      <c r="I29" s="68" t="str">
        <f aca="false">IF(CS305!S10=0,"—",TEXT(CS305!S10,"0"))</f>
        <v>3</v>
      </c>
      <c r="J29" s="68" t="str">
        <f aca="false">IF(CS305!S10=0,"—",TEXT(CS305!S10,"0"))</f>
        <v>3</v>
      </c>
      <c r="K29" s="69" t="s">
        <v>16</v>
      </c>
      <c r="L29" s="68" t="str">
        <f aca="false">IF(CS305!S10=0,"—",TEXT(CS305!S10,"0"))</f>
        <v>3</v>
      </c>
      <c r="M29" s="69" t="s">
        <v>16</v>
      </c>
      <c r="N29" s="69" t="s">
        <v>16</v>
      </c>
      <c r="O29" s="69" t="s">
        <v>16</v>
      </c>
      <c r="P29" s="69" t="s">
        <v>16</v>
      </c>
      <c r="Q29" s="69" t="s">
        <v>16</v>
      </c>
      <c r="R29" s="69" t="s">
        <v>16</v>
      </c>
      <c r="S29" s="68" t="str">
        <f aca="false">IF(CS305!S10=0,"—",TEXT(CS305!S10,"0"))</f>
        <v>3</v>
      </c>
      <c r="T29" s="68" t="str">
        <f aca="false">IF(CS305!S10=0,"—",TEXT(CS305!S10,"0"))</f>
        <v>3</v>
      </c>
      <c r="U29" s="68" t="str">
        <f aca="false">IF(CS305!S10=0,"—",TEXT(CS305!S10,"0"))</f>
        <v>3</v>
      </c>
      <c r="V29" s="68" t="str">
        <f aca="false">IF(CS305!S10=0,"—",TEXT(CS305!S10,"0"))</f>
        <v>3</v>
      </c>
    </row>
    <row r="30" customFormat="false" ht="18" hidden="false" customHeight="true" outlineLevel="0" collapsed="false">
      <c r="A30" s="77"/>
      <c r="B30" s="77"/>
      <c r="C30" s="77"/>
      <c r="D30" s="52" t="s">
        <v>144</v>
      </c>
      <c r="E30" s="71" t="n">
        <f aca="false">CS305!H11</f>
        <v>3</v>
      </c>
      <c r="F30" s="80" t="n">
        <f aca="false">CS305!R11</f>
        <v>5</v>
      </c>
      <c r="G30" s="64" t="n">
        <f aca="false">CS305!S11</f>
        <v>3</v>
      </c>
      <c r="H30" s="66" t="str">
        <f aca="false">IF(CS305!S11=0,"—",TEXT(CS305!S11,"0"))</f>
        <v>3</v>
      </c>
      <c r="I30" s="66" t="str">
        <f aca="false">IF(CS305!S11=0,"—",TEXT(CS305!S11,"0"))</f>
        <v>3</v>
      </c>
      <c r="J30" s="67" t="s">
        <v>16</v>
      </c>
      <c r="K30" s="66" t="str">
        <f aca="false">IF(CS305!S11=0,"—",TEXT(CS305!S11,"0"))</f>
        <v>3</v>
      </c>
      <c r="L30" s="66" t="str">
        <f aca="false">IF(CS305!S11=0,"—",TEXT(CS305!S11,"0"))</f>
        <v>3</v>
      </c>
      <c r="M30" s="67" t="s">
        <v>16</v>
      </c>
      <c r="N30" s="67" t="s">
        <v>16</v>
      </c>
      <c r="O30" s="67" t="s">
        <v>16</v>
      </c>
      <c r="P30" s="67" t="s">
        <v>16</v>
      </c>
      <c r="Q30" s="67" t="s">
        <v>16</v>
      </c>
      <c r="R30" s="67" t="s">
        <v>16</v>
      </c>
      <c r="S30" s="66" t="str">
        <f aca="false">IF(CS305!S11=0,"—",TEXT(CS305!S11,"0"))</f>
        <v>3</v>
      </c>
      <c r="T30" s="66" t="str">
        <f aca="false">IF(CS305!S11=0,"—",TEXT(CS305!S11,"0"))</f>
        <v>3</v>
      </c>
      <c r="U30" s="66" t="str">
        <f aca="false">IF(CS305!S11=0,"—",TEXT(CS305!S11,"0"))</f>
        <v>3</v>
      </c>
      <c r="V30" s="67" t="s">
        <v>16</v>
      </c>
    </row>
    <row r="31" customFormat="false" ht="18" hidden="false" customHeight="true" outlineLevel="0" collapsed="false">
      <c r="A31" s="77"/>
      <c r="B31" s="77"/>
      <c r="C31" s="77"/>
      <c r="D31" s="52" t="s">
        <v>146</v>
      </c>
      <c r="E31" s="71" t="n">
        <f aca="false">CS305!H12</f>
        <v>4</v>
      </c>
      <c r="F31" s="80" t="n">
        <f aca="false">CS305!R12</f>
        <v>5</v>
      </c>
      <c r="G31" s="64" t="n">
        <f aca="false">CS305!S12</f>
        <v>3</v>
      </c>
      <c r="H31" s="68" t="str">
        <f aca="false">IF(CS305!S12=0,"—",TEXT(CS305!S12,"0"))</f>
        <v>3</v>
      </c>
      <c r="I31" s="68" t="str">
        <f aca="false">IF(CS305!S12=0,"—",TEXT(CS305!S12,"0"))</f>
        <v>3</v>
      </c>
      <c r="J31" s="68" t="str">
        <f aca="false">IF(CS305!S12=0,"—",TEXT(CS305!S12,"0"))</f>
        <v>3</v>
      </c>
      <c r="K31" s="68" t="str">
        <f aca="false">IF(CS305!S12=0,"—",TEXT(CS305!S12,"0"))</f>
        <v>3</v>
      </c>
      <c r="L31" s="68" t="str">
        <f aca="false">IF(CS305!S12=0,"—",TEXT(CS305!S12,"0"))</f>
        <v>3</v>
      </c>
      <c r="M31" s="69" t="s">
        <v>16</v>
      </c>
      <c r="N31" s="69" t="s">
        <v>16</v>
      </c>
      <c r="O31" s="69" t="s">
        <v>16</v>
      </c>
      <c r="P31" s="69" t="s">
        <v>16</v>
      </c>
      <c r="Q31" s="69" t="s">
        <v>16</v>
      </c>
      <c r="R31" s="69" t="s">
        <v>16</v>
      </c>
      <c r="S31" s="68" t="str">
        <f aca="false">IF(CS305!S12=0,"—",TEXT(CS305!S12,"0"))</f>
        <v>3</v>
      </c>
      <c r="T31" s="68" t="str">
        <f aca="false">IF(CS305!S12=0,"—",TEXT(CS305!S12,"0"))</f>
        <v>3</v>
      </c>
      <c r="U31" s="68" t="str">
        <f aca="false">IF(CS305!S12=0,"—",TEXT(CS305!S12,"0"))</f>
        <v>3</v>
      </c>
      <c r="V31" s="69" t="s">
        <v>16</v>
      </c>
    </row>
    <row r="32" customFormat="false" ht="18" hidden="false" customHeight="true" outlineLevel="0" collapsed="false">
      <c r="A32" s="77"/>
      <c r="B32" s="77"/>
      <c r="C32" s="77"/>
      <c r="D32" s="52" t="s">
        <v>178</v>
      </c>
      <c r="E32" s="71" t="n">
        <f aca="false">CS305!H13</f>
        <v>3</v>
      </c>
      <c r="F32" s="80" t="n">
        <f aca="false">CS305!R13</f>
        <v>8</v>
      </c>
      <c r="G32" s="64" t="n">
        <f aca="false">CS305!S13</f>
        <v>3</v>
      </c>
      <c r="H32" s="66" t="str">
        <f aca="false">IF(CS305!S13=0,"—",TEXT(CS305!S13,"0"))</f>
        <v>3</v>
      </c>
      <c r="I32" s="66" t="str">
        <f aca="false">IF(CS305!S13=0,"—",TEXT(CS305!S13,"0"))</f>
        <v>3</v>
      </c>
      <c r="J32" s="66" t="str">
        <f aca="false">IF(CS305!S13=0,"—",TEXT(CS305!S13,"0"))</f>
        <v>3</v>
      </c>
      <c r="K32" s="66" t="str">
        <f aca="false">IF(CS305!S13=0,"—",TEXT(CS305!S13,"0"))</f>
        <v>3</v>
      </c>
      <c r="L32" s="66" t="str">
        <f aca="false">IF(CS305!S13=0,"—",TEXT(CS305!S13,"0"))</f>
        <v>3</v>
      </c>
      <c r="M32" s="67" t="s">
        <v>16</v>
      </c>
      <c r="N32" s="67" t="s">
        <v>16</v>
      </c>
      <c r="O32" s="66" t="str">
        <f aca="false">IF(CS305!S13=0,"—",TEXT(CS305!S13,"0"))</f>
        <v>3</v>
      </c>
      <c r="P32" s="66" t="str">
        <f aca="false">IF(CS305!S13=0,"—",TEXT(CS305!S13,"0"))</f>
        <v>3</v>
      </c>
      <c r="Q32" s="66" t="str">
        <f aca="false">IF(CS305!S13=0,"—",TEXT(CS305!S13,"0"))</f>
        <v>3</v>
      </c>
      <c r="R32" s="66" t="str">
        <f aca="false">IF(CS305!S13=0,"—",TEXT(CS305!S13,"0"))</f>
        <v>3</v>
      </c>
      <c r="S32" s="66" t="str">
        <f aca="false">IF(CS305!S13=0,"—",TEXT(CS305!S13,"0"))</f>
        <v>3</v>
      </c>
      <c r="T32" s="66" t="str">
        <f aca="false">IF(CS305!S13=0,"—",TEXT(CS305!S13,"0"))</f>
        <v>3</v>
      </c>
      <c r="U32" s="66" t="str">
        <f aca="false">IF(CS305!S13=0,"—",TEXT(CS305!S13,"0"))</f>
        <v>3</v>
      </c>
      <c r="V32" s="66" t="str">
        <f aca="false">IF(CS305!S13=0,"—",TEXT(CS305!S13,"0"))</f>
        <v>3</v>
      </c>
    </row>
    <row r="34" customFormat="false" ht="24" hidden="false" customHeight="true" outlineLevel="0" collapsed="false">
      <c r="A34" s="70" t="s">
        <v>179</v>
      </c>
      <c r="B34" s="70"/>
      <c r="C34" s="70"/>
      <c r="D34" s="70"/>
      <c r="E34" s="81" t="n">
        <f aca="false">IFERROR(AVERAGE(E7:E32),0)</f>
        <v>3.30769230769231</v>
      </c>
      <c r="F34" s="81" t="n">
        <f aca="false">IFERROR(AVERAGE(F7:F32),0)</f>
        <v>4.5</v>
      </c>
      <c r="G34" s="81" t="n">
        <f aca="false">IFERROR(AVERAGE(G7:G32),0)</f>
        <v>3</v>
      </c>
      <c r="H34" s="81" t="str">
        <f aca="false">IFERROR(AVERAGEIF(H7:H32,"&lt;&gt;—"),"")</f>
        <v/>
      </c>
      <c r="I34" s="81" t="str">
        <f aca="false">IFERROR(AVERAGEIF(I7:I32,"&lt;&gt;—"),"")</f>
        <v/>
      </c>
      <c r="J34" s="81" t="str">
        <f aca="false">IFERROR(AVERAGEIF(J7:J32,"&lt;&gt;—"),"")</f>
        <v/>
      </c>
      <c r="K34" s="81" t="str">
        <f aca="false">IFERROR(AVERAGEIF(K7:K32,"&lt;&gt;—"),"")</f>
        <v/>
      </c>
      <c r="L34" s="81" t="str">
        <f aca="false">IFERROR(AVERAGEIF(L7:L32,"&lt;&gt;—"),"")</f>
        <v/>
      </c>
      <c r="M34" s="81" t="str">
        <f aca="false">IFERROR(AVERAGEIF(M7:M32,"&lt;&gt;—"),"")</f>
        <v/>
      </c>
      <c r="N34" s="81" t="str">
        <f aca="false">IFERROR(AVERAGEIF(N7:N32,"&lt;&gt;—"),"")</f>
        <v/>
      </c>
      <c r="O34" s="81" t="str">
        <f aca="false">IFERROR(AVERAGEIF(O7:O32,"&lt;&gt;—"),"")</f>
        <v/>
      </c>
      <c r="P34" s="81" t="str">
        <f aca="false">IFERROR(AVERAGEIF(P7:P32,"&lt;&gt;—"),"")</f>
        <v/>
      </c>
      <c r="Q34" s="81" t="str">
        <f aca="false">IFERROR(AVERAGEIF(Q7:Q32,"&lt;&gt;—"),"")</f>
        <v/>
      </c>
      <c r="R34" s="81" t="str">
        <f aca="false">IFERROR(AVERAGEIF(R7:R32,"&lt;&gt;—"),"")</f>
        <v/>
      </c>
      <c r="S34" s="81" t="str">
        <f aca="false">IFERROR(AVERAGEIF(S7:S32,"&lt;&gt;—"),"")</f>
        <v/>
      </c>
      <c r="T34" s="81" t="str">
        <f aca="false">IFERROR(AVERAGEIF(T7:T32,"&lt;&gt;—"),"")</f>
        <v/>
      </c>
      <c r="U34" s="81" t="str">
        <f aca="false">IFERROR(AVERAGEIF(U7:U32,"&lt;&gt;—"),"")</f>
        <v/>
      </c>
      <c r="V34" s="81" t="str">
        <f aca="false">IFERROR(AVERAGEIF(V7:V32,"&lt;&gt;—"),"")</f>
        <v/>
      </c>
    </row>
  </sheetData>
  <mergeCells count="28">
    <mergeCell ref="A1:V1"/>
    <mergeCell ref="A2:V2"/>
    <mergeCell ref="A4:G4"/>
    <mergeCell ref="A5:A6"/>
    <mergeCell ref="B5:B6"/>
    <mergeCell ref="C5:C6"/>
    <mergeCell ref="D5:D6"/>
    <mergeCell ref="E5:E6"/>
    <mergeCell ref="F5:F6"/>
    <mergeCell ref="G5:G6"/>
    <mergeCell ref="H5:S5"/>
    <mergeCell ref="T5:V5"/>
    <mergeCell ref="A7:A11"/>
    <mergeCell ref="B7:B11"/>
    <mergeCell ref="C7:C11"/>
    <mergeCell ref="A12:A16"/>
    <mergeCell ref="B12:B16"/>
    <mergeCell ref="C12:C16"/>
    <mergeCell ref="A17:A21"/>
    <mergeCell ref="B17:B21"/>
    <mergeCell ref="C17:C21"/>
    <mergeCell ref="A22:A26"/>
    <mergeCell ref="B22:B26"/>
    <mergeCell ref="C22:C26"/>
    <mergeCell ref="A27:A32"/>
    <mergeCell ref="B27:B32"/>
    <mergeCell ref="C27:C32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8" min="3" style="1" width="10"/>
    <col collapsed="false" customWidth="true" hidden="false" outlineLevel="0" max="18" min="9" style="1" width="11"/>
    <col collapsed="false" customWidth="true" hidden="false" outlineLevel="0" max="20" min="19" style="1" width="9"/>
    <col collapsed="false" customWidth="true" hidden="false" outlineLevel="0" max="35" min="21" style="1" width="8"/>
  </cols>
  <sheetData>
    <row r="1" customFormat="false" ht="36" hidden="false" customHeight="true" outlineLevel="0" collapsed="false">
      <c r="A1" s="41" t="s">
        <v>180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customFormat="false" ht="13.5" hidden="false" customHeight="true" outlineLevel="0" collapsed="false">
      <c r="A2" s="42" t="s">
        <v>79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</row>
    <row r="3" customFormat="false" ht="4.5" hidden="false" customHeight="true" outlineLevel="0" collapsed="false"/>
    <row r="4" customFormat="false" ht="21.75" hidden="false" customHeight="true" outlineLevel="0" collapsed="false">
      <c r="A4" s="43"/>
      <c r="B4" s="43"/>
      <c r="C4" s="5" t="s">
        <v>80</v>
      </c>
      <c r="D4" s="5"/>
      <c r="E4" s="5"/>
      <c r="F4" s="5"/>
      <c r="G4" s="5"/>
      <c r="H4" s="44" t="s">
        <v>81</v>
      </c>
      <c r="I4" s="6" t="s">
        <v>82</v>
      </c>
      <c r="J4" s="6"/>
      <c r="K4" s="6"/>
      <c r="L4" s="6"/>
      <c r="M4" s="6"/>
      <c r="N4" s="6"/>
      <c r="O4" s="6"/>
      <c r="P4" s="6"/>
      <c r="Q4" s="6"/>
      <c r="R4" s="45" t="s">
        <v>83</v>
      </c>
      <c r="S4" s="46" t="s">
        <v>84</v>
      </c>
      <c r="T4" s="47" t="s">
        <v>9</v>
      </c>
      <c r="U4" s="5" t="s">
        <v>85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8" t="s">
        <v>86</v>
      </c>
      <c r="AH4" s="48"/>
      <c r="AI4" s="48"/>
    </row>
    <row r="5" customFormat="false" ht="30" hidden="false" customHeight="true" outlineLevel="0" collapsed="false">
      <c r="A5" s="10" t="s">
        <v>87</v>
      </c>
      <c r="B5" s="10" t="s">
        <v>88</v>
      </c>
      <c r="C5" s="49" t="s">
        <v>89</v>
      </c>
      <c r="D5" s="49" t="s">
        <v>90</v>
      </c>
      <c r="E5" s="49" t="s">
        <v>91</v>
      </c>
      <c r="F5" s="49" t="s">
        <v>92</v>
      </c>
      <c r="G5" s="49" t="s">
        <v>93</v>
      </c>
      <c r="H5" s="44" t="s">
        <v>94</v>
      </c>
      <c r="I5" s="50" t="s">
        <v>95</v>
      </c>
      <c r="J5" s="50" t="s">
        <v>96</v>
      </c>
      <c r="K5" s="50" t="s">
        <v>97</v>
      </c>
      <c r="L5" s="50" t="s">
        <v>98</v>
      </c>
      <c r="M5" s="50" t="s">
        <v>99</v>
      </c>
      <c r="N5" s="50" t="s">
        <v>100</v>
      </c>
      <c r="O5" s="50" t="s">
        <v>101</v>
      </c>
      <c r="P5" s="50" t="s">
        <v>102</v>
      </c>
      <c r="Q5" s="50" t="s">
        <v>103</v>
      </c>
      <c r="R5" s="45" t="s">
        <v>104</v>
      </c>
      <c r="S5" s="46" t="s">
        <v>105</v>
      </c>
      <c r="T5" s="51" t="s">
        <v>106</v>
      </c>
      <c r="U5" s="52" t="s">
        <v>107</v>
      </c>
      <c r="V5" s="52" t="s">
        <v>108</v>
      </c>
      <c r="W5" s="52" t="s">
        <v>109</v>
      </c>
      <c r="X5" s="52" t="s">
        <v>110</v>
      </c>
      <c r="Y5" s="52" t="s">
        <v>111</v>
      </c>
      <c r="Z5" s="52" t="s">
        <v>112</v>
      </c>
      <c r="AA5" s="52" t="s">
        <v>113</v>
      </c>
      <c r="AB5" s="52" t="s">
        <v>114</v>
      </c>
      <c r="AC5" s="52" t="s">
        <v>115</v>
      </c>
      <c r="AD5" s="52" t="s">
        <v>116</v>
      </c>
      <c r="AE5" s="52" t="s">
        <v>117</v>
      </c>
      <c r="AF5" s="52" t="s">
        <v>118</v>
      </c>
      <c r="AG5" s="53" t="s">
        <v>119</v>
      </c>
      <c r="AH5" s="53" t="s">
        <v>120</v>
      </c>
      <c r="AI5" s="53" t="s">
        <v>121</v>
      </c>
    </row>
    <row r="6" customFormat="false" ht="15.75" hidden="false" customHeight="true" outlineLevel="0" collapsed="false">
      <c r="A6" s="54"/>
      <c r="B6" s="55" t="s">
        <v>122</v>
      </c>
      <c r="C6" s="56" t="s">
        <v>123</v>
      </c>
      <c r="D6" s="56" t="s">
        <v>124</v>
      </c>
      <c r="E6" s="56" t="s">
        <v>125</v>
      </c>
      <c r="F6" s="56" t="s">
        <v>126</v>
      </c>
      <c r="G6" s="56" t="s">
        <v>127</v>
      </c>
      <c r="H6" s="13"/>
      <c r="I6" s="56" t="s">
        <v>128</v>
      </c>
      <c r="J6" s="56" t="s">
        <v>129</v>
      </c>
      <c r="K6" s="56" t="s">
        <v>130</v>
      </c>
      <c r="L6" s="56" t="s">
        <v>131</v>
      </c>
      <c r="M6" s="56" t="s">
        <v>132</v>
      </c>
      <c r="N6" s="56" t="s">
        <v>133</v>
      </c>
      <c r="O6" s="56" t="s">
        <v>134</v>
      </c>
      <c r="P6" s="56" t="s">
        <v>135</v>
      </c>
      <c r="Q6" s="56" t="s">
        <v>136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customFormat="false" ht="13.5" hidden="false" customHeight="true" outlineLevel="0" collapsed="false">
      <c r="A7" s="57" t="s">
        <v>137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</row>
    <row r="8" customFormat="false" ht="19.5" hidden="false" customHeight="true" outlineLevel="0" collapsed="false">
      <c r="A8" s="58" t="s">
        <v>138</v>
      </c>
      <c r="B8" s="35" t="s">
        <v>181</v>
      </c>
      <c r="C8" s="59" t="n">
        <v>1</v>
      </c>
      <c r="D8" s="59" t="n">
        <v>1</v>
      </c>
      <c r="E8" s="60" t="n">
        <v>0</v>
      </c>
      <c r="F8" s="60" t="n">
        <v>0</v>
      </c>
      <c r="G8" s="59" t="n">
        <v>1</v>
      </c>
      <c r="H8" s="61" t="n">
        <f aca="false">COUNTIF(C8:G8,1)</f>
        <v>3</v>
      </c>
      <c r="I8" s="62" t="n">
        <v>1</v>
      </c>
      <c r="J8" s="62" t="n">
        <v>1</v>
      </c>
      <c r="K8" s="60" t="n">
        <v>0</v>
      </c>
      <c r="L8" s="60" t="n">
        <v>0</v>
      </c>
      <c r="M8" s="60" t="n">
        <v>0</v>
      </c>
      <c r="N8" s="60" t="n">
        <v>0</v>
      </c>
      <c r="O8" s="60" t="n">
        <v>0</v>
      </c>
      <c r="P8" s="62" t="n">
        <v>1</v>
      </c>
      <c r="Q8" s="60" t="n">
        <v>0</v>
      </c>
      <c r="R8" s="63" t="n">
        <f aca="false">COUNTIF(I8:Q8,1)</f>
        <v>3</v>
      </c>
      <c r="S8" s="64" t="n">
        <f aca="false">IF(AND(H8&gt;=2,R8&gt;=2),3,IF(OR(AND(H8&gt;=2,R8=1),R8&gt;=2),2,IF(OR(H8&gt;=2,R8&gt;=1),1,0)))</f>
        <v>3</v>
      </c>
      <c r="T8" s="65" t="str">
        <f aca="false">IF(S8=0,"—",TEXT(S8,"0"))</f>
        <v>3</v>
      </c>
      <c r="U8" s="66" t="str">
        <f aca="false">IF(S8=0,"—",TEXT(S8,"0"))</f>
        <v>3</v>
      </c>
      <c r="V8" s="66" t="str">
        <f aca="false">IF(S8=0,"—",TEXT(S8,"0"))</f>
        <v>3</v>
      </c>
      <c r="W8" s="67" t="s">
        <v>16</v>
      </c>
      <c r="X8" s="67" t="s">
        <v>16</v>
      </c>
      <c r="Y8" s="66" t="str">
        <f aca="false">IF(S8=0,"—",TEXT(S8,"0"))</f>
        <v>3</v>
      </c>
      <c r="Z8" s="67" t="s">
        <v>16</v>
      </c>
      <c r="AA8" s="67" t="s">
        <v>16</v>
      </c>
      <c r="AB8" s="67" t="s">
        <v>16</v>
      </c>
      <c r="AC8" s="67" t="s">
        <v>16</v>
      </c>
      <c r="AD8" s="67" t="s">
        <v>16</v>
      </c>
      <c r="AE8" s="67" t="s">
        <v>16</v>
      </c>
      <c r="AF8" s="66" t="str">
        <f aca="false">IF(S8=0,"—",TEXT(S8,"0"))</f>
        <v>3</v>
      </c>
      <c r="AG8" s="67" t="s">
        <v>16</v>
      </c>
      <c r="AH8" s="66" t="str">
        <f aca="false">IF(S8=0,"—",TEXT(S8,"0"))</f>
        <v>3</v>
      </c>
      <c r="AI8" s="67" t="s">
        <v>16</v>
      </c>
    </row>
    <row r="9" customFormat="false" ht="19.5" hidden="false" customHeight="true" outlineLevel="0" collapsed="false">
      <c r="A9" s="58" t="s">
        <v>140</v>
      </c>
      <c r="B9" s="37" t="s">
        <v>182</v>
      </c>
      <c r="C9" s="59" t="n">
        <v>1</v>
      </c>
      <c r="D9" s="59" t="n">
        <v>1</v>
      </c>
      <c r="E9" s="59" t="n">
        <v>1</v>
      </c>
      <c r="F9" s="60" t="n">
        <v>0</v>
      </c>
      <c r="G9" s="59" t="n">
        <v>1</v>
      </c>
      <c r="H9" s="61" t="n">
        <f aca="false">COUNTIF(C9:G9,1)</f>
        <v>4</v>
      </c>
      <c r="I9" s="62" t="n">
        <v>1</v>
      </c>
      <c r="J9" s="62" t="n">
        <v>1</v>
      </c>
      <c r="K9" s="62" t="n">
        <v>1</v>
      </c>
      <c r="L9" s="62" t="n">
        <v>1</v>
      </c>
      <c r="M9" s="60" t="n">
        <v>0</v>
      </c>
      <c r="N9" s="60" t="n">
        <v>0</v>
      </c>
      <c r="O9" s="60" t="n">
        <v>0</v>
      </c>
      <c r="P9" s="62" t="n">
        <v>1</v>
      </c>
      <c r="Q9" s="60" t="n">
        <v>0</v>
      </c>
      <c r="R9" s="63" t="n">
        <f aca="false">COUNTIF(I9:Q9,1)</f>
        <v>5</v>
      </c>
      <c r="S9" s="64" t="n">
        <f aca="false">IF(AND(H9&gt;=2,R9&gt;=2),3,IF(OR(AND(H9&gt;=2,R9=1),R9&gt;=2),2,IF(OR(H9&gt;=2,R9&gt;=1),1,0)))</f>
        <v>3</v>
      </c>
      <c r="T9" s="65" t="str">
        <f aca="false">IF(S9=0,"—",TEXT(S9,"0"))</f>
        <v>3</v>
      </c>
      <c r="U9" s="68" t="str">
        <f aca="false">IF(S9=0,"—",TEXT(S9,"0"))</f>
        <v>3</v>
      </c>
      <c r="V9" s="68" t="str">
        <f aca="false">IF(S9=0,"—",TEXT(S9,"0"))</f>
        <v>3</v>
      </c>
      <c r="W9" s="68" t="str">
        <f aca="false">IF(S9=0,"—",TEXT(S9,"0"))</f>
        <v>3</v>
      </c>
      <c r="X9" s="69" t="s">
        <v>16</v>
      </c>
      <c r="Y9" s="68" t="str">
        <f aca="false">IF(S9=0,"—",TEXT(S9,"0"))</f>
        <v>3</v>
      </c>
      <c r="Z9" s="69" t="s">
        <v>16</v>
      </c>
      <c r="AA9" s="69" t="s">
        <v>16</v>
      </c>
      <c r="AB9" s="69" t="s">
        <v>16</v>
      </c>
      <c r="AC9" s="69" t="s">
        <v>16</v>
      </c>
      <c r="AD9" s="69" t="s">
        <v>16</v>
      </c>
      <c r="AE9" s="69" t="s">
        <v>16</v>
      </c>
      <c r="AF9" s="68" t="str">
        <f aca="false">IF(S9=0,"—",TEXT(S9,"0"))</f>
        <v>3</v>
      </c>
      <c r="AG9" s="68" t="str">
        <f aca="false">IF(S9=0,"—",TEXT(S9,"0"))</f>
        <v>3</v>
      </c>
      <c r="AH9" s="68" t="str">
        <f aca="false">IF(S9=0,"—",TEXT(S9,"0"))</f>
        <v>3</v>
      </c>
      <c r="AI9" s="69" t="s">
        <v>16</v>
      </c>
    </row>
    <row r="10" customFormat="false" ht="19.5" hidden="false" customHeight="true" outlineLevel="0" collapsed="false">
      <c r="A10" s="58" t="s">
        <v>142</v>
      </c>
      <c r="B10" s="35" t="s">
        <v>183</v>
      </c>
      <c r="C10" s="59" t="n">
        <v>1</v>
      </c>
      <c r="D10" s="59" t="n">
        <v>1</v>
      </c>
      <c r="E10" s="60" t="n">
        <v>0</v>
      </c>
      <c r="F10" s="60" t="n">
        <v>0</v>
      </c>
      <c r="G10" s="59" t="n">
        <v>1</v>
      </c>
      <c r="H10" s="61" t="n">
        <f aca="false">COUNTIF(C10:G10,1)</f>
        <v>3</v>
      </c>
      <c r="I10" s="62" t="n">
        <v>1</v>
      </c>
      <c r="J10" s="62" t="n">
        <v>1</v>
      </c>
      <c r="K10" s="62" t="n">
        <v>1</v>
      </c>
      <c r="L10" s="62" t="n">
        <v>1</v>
      </c>
      <c r="M10" s="60" t="n">
        <v>0</v>
      </c>
      <c r="N10" s="60" t="n">
        <v>0</v>
      </c>
      <c r="O10" s="60" t="n">
        <v>0</v>
      </c>
      <c r="P10" s="62" t="n">
        <v>1</v>
      </c>
      <c r="Q10" s="60" t="n">
        <v>0</v>
      </c>
      <c r="R10" s="63" t="n">
        <f aca="false">COUNTIF(I10:Q10,1)</f>
        <v>5</v>
      </c>
      <c r="S10" s="64" t="n">
        <f aca="false">IF(AND(H10&gt;=2,R10&gt;=2),3,IF(OR(AND(H10&gt;=2,R10=1),R10&gt;=2),2,IF(OR(H10&gt;=2,R10&gt;=1),1,0)))</f>
        <v>3</v>
      </c>
      <c r="T10" s="65" t="str">
        <f aca="false">IF(S10=0,"—",TEXT(S10,"0"))</f>
        <v>3</v>
      </c>
      <c r="U10" s="66" t="str">
        <f aca="false">IF(S10=0,"—",TEXT(S10,"0"))</f>
        <v>3</v>
      </c>
      <c r="V10" s="66" t="str">
        <f aca="false">IF(S10=0,"—",TEXT(S10,"0"))</f>
        <v>3</v>
      </c>
      <c r="W10" s="66" t="str">
        <f aca="false">IF(S10=0,"—",TEXT(S10,"0"))</f>
        <v>3</v>
      </c>
      <c r="X10" s="66" t="str">
        <f aca="false">IF(S10=0,"—",TEXT(S10,"0"))</f>
        <v>3</v>
      </c>
      <c r="Y10" s="66" t="str">
        <f aca="false">IF(S10=0,"—",TEXT(S10,"0"))</f>
        <v>3</v>
      </c>
      <c r="Z10" s="67" t="s">
        <v>16</v>
      </c>
      <c r="AA10" s="67" t="s">
        <v>16</v>
      </c>
      <c r="AB10" s="67" t="s">
        <v>16</v>
      </c>
      <c r="AC10" s="67" t="s">
        <v>16</v>
      </c>
      <c r="AD10" s="67" t="s">
        <v>16</v>
      </c>
      <c r="AE10" s="67" t="s">
        <v>16</v>
      </c>
      <c r="AF10" s="66" t="str">
        <f aca="false">IF(S10=0,"—",TEXT(S10,"0"))</f>
        <v>3</v>
      </c>
      <c r="AG10" s="66" t="str">
        <f aca="false">IF(S10=0,"—",TEXT(S10,"0"))</f>
        <v>3</v>
      </c>
      <c r="AH10" s="66" t="str">
        <f aca="false">IF(S10=0,"—",TEXT(S10,"0"))</f>
        <v>3</v>
      </c>
      <c r="AI10" s="67" t="s">
        <v>16</v>
      </c>
    </row>
    <row r="11" customFormat="false" ht="19.5" hidden="false" customHeight="true" outlineLevel="0" collapsed="false">
      <c r="A11" s="58" t="s">
        <v>144</v>
      </c>
      <c r="B11" s="37" t="s">
        <v>184</v>
      </c>
      <c r="C11" s="59" t="n">
        <v>1</v>
      </c>
      <c r="D11" s="59" t="n">
        <v>1</v>
      </c>
      <c r="E11" s="60" t="n">
        <v>0</v>
      </c>
      <c r="F11" s="59" t="n">
        <v>1</v>
      </c>
      <c r="G11" s="59" t="n">
        <v>1</v>
      </c>
      <c r="H11" s="61" t="n">
        <f aca="false">COUNTIF(C11:G11,1)</f>
        <v>4</v>
      </c>
      <c r="I11" s="62" t="n">
        <v>1</v>
      </c>
      <c r="J11" s="62" t="n">
        <v>1</v>
      </c>
      <c r="K11" s="60" t="n">
        <v>0</v>
      </c>
      <c r="L11" s="60" t="n">
        <v>0</v>
      </c>
      <c r="M11" s="60" t="n">
        <v>0</v>
      </c>
      <c r="N11" s="60" t="n">
        <v>0</v>
      </c>
      <c r="O11" s="60" t="n">
        <v>0</v>
      </c>
      <c r="P11" s="62" t="n">
        <v>1</v>
      </c>
      <c r="Q11" s="60" t="n">
        <v>0</v>
      </c>
      <c r="R11" s="63" t="n">
        <f aca="false">COUNTIF(I11:Q11,1)</f>
        <v>3</v>
      </c>
      <c r="S11" s="64" t="n">
        <f aca="false">IF(AND(H11&gt;=2,R11&gt;=2),3,IF(OR(AND(H11&gt;=2,R11=1),R11&gt;=2),2,IF(OR(H11&gt;=2,R11&gt;=1),1,0)))</f>
        <v>3</v>
      </c>
      <c r="T11" s="65" t="str">
        <f aca="false">IF(S11=0,"—",TEXT(S11,"0"))</f>
        <v>3</v>
      </c>
      <c r="U11" s="68" t="str">
        <f aca="false">IF(S11=0,"—",TEXT(S11,"0"))</f>
        <v>3</v>
      </c>
      <c r="V11" s="68" t="str">
        <f aca="false">IF(S11=0,"—",TEXT(S11,"0"))</f>
        <v>3</v>
      </c>
      <c r="W11" s="68" t="str">
        <f aca="false">IF(S11=0,"—",TEXT(S11,"0"))</f>
        <v>3</v>
      </c>
      <c r="X11" s="69" t="s">
        <v>16</v>
      </c>
      <c r="Y11" s="69" t="s">
        <v>16</v>
      </c>
      <c r="Z11" s="69" t="s">
        <v>16</v>
      </c>
      <c r="AA11" s="69" t="s">
        <v>16</v>
      </c>
      <c r="AB11" s="69" t="s">
        <v>16</v>
      </c>
      <c r="AC11" s="69" t="s">
        <v>16</v>
      </c>
      <c r="AD11" s="69" t="s">
        <v>16</v>
      </c>
      <c r="AE11" s="69" t="s">
        <v>16</v>
      </c>
      <c r="AF11" s="68" t="str">
        <f aca="false">IF(S11=0,"—",TEXT(S11,"0"))</f>
        <v>3</v>
      </c>
      <c r="AG11" s="69" t="s">
        <v>16</v>
      </c>
      <c r="AH11" s="69" t="s">
        <v>16</v>
      </c>
      <c r="AI11" s="69" t="s">
        <v>16</v>
      </c>
    </row>
    <row r="12" customFormat="false" ht="19.5" hidden="false" customHeight="true" outlineLevel="0" collapsed="false">
      <c r="A12" s="58" t="s">
        <v>146</v>
      </c>
      <c r="B12" s="35" t="s">
        <v>185</v>
      </c>
      <c r="C12" s="59" t="n">
        <v>1</v>
      </c>
      <c r="D12" s="59" t="n">
        <v>1</v>
      </c>
      <c r="E12" s="60" t="n">
        <v>0</v>
      </c>
      <c r="F12" s="60" t="n">
        <v>0</v>
      </c>
      <c r="G12" s="59" t="n">
        <v>1</v>
      </c>
      <c r="H12" s="61" t="n">
        <f aca="false">COUNTIF(C12:G12,1)</f>
        <v>3</v>
      </c>
      <c r="I12" s="62" t="n">
        <v>1</v>
      </c>
      <c r="J12" s="62" t="n">
        <v>1</v>
      </c>
      <c r="K12" s="60" t="n">
        <v>0</v>
      </c>
      <c r="L12" s="60" t="n">
        <v>0</v>
      </c>
      <c r="M12" s="62" t="n">
        <v>1</v>
      </c>
      <c r="N12" s="60" t="n">
        <v>0</v>
      </c>
      <c r="O12" s="62" t="n">
        <v>1</v>
      </c>
      <c r="P12" s="62" t="n">
        <v>1</v>
      </c>
      <c r="Q12" s="62" t="n">
        <v>1</v>
      </c>
      <c r="R12" s="63" t="n">
        <f aca="false">COUNTIF(I12:Q12,1)</f>
        <v>6</v>
      </c>
      <c r="S12" s="64" t="n">
        <f aca="false">IF(AND(H12&gt;=2,R12&gt;=2),3,IF(OR(AND(H12&gt;=2,R12=1),R12&gt;=2),2,IF(OR(H12&gt;=2,R12&gt;=1),1,0)))</f>
        <v>3</v>
      </c>
      <c r="T12" s="65" t="str">
        <f aca="false">IF(S12=0,"—",TEXT(S12,"0"))</f>
        <v>3</v>
      </c>
      <c r="U12" s="66" t="str">
        <f aca="false">IF(S12=0,"—",TEXT(S12,"0"))</f>
        <v>3</v>
      </c>
      <c r="V12" s="66" t="str">
        <f aca="false">IF(S12=0,"—",TEXT(S12,"0"))</f>
        <v>3</v>
      </c>
      <c r="W12" s="67" t="s">
        <v>16</v>
      </c>
      <c r="X12" s="67" t="s">
        <v>16</v>
      </c>
      <c r="Y12" s="66" t="str">
        <f aca="false">IF(S12=0,"—",TEXT(S12,"0"))</f>
        <v>3</v>
      </c>
      <c r="Z12" s="67" t="s">
        <v>16</v>
      </c>
      <c r="AA12" s="67" t="s">
        <v>16</v>
      </c>
      <c r="AB12" s="67" t="s">
        <v>16</v>
      </c>
      <c r="AC12" s="67" t="s">
        <v>16</v>
      </c>
      <c r="AD12" s="67" t="s">
        <v>16</v>
      </c>
      <c r="AE12" s="67" t="s">
        <v>16</v>
      </c>
      <c r="AF12" s="66" t="str">
        <f aca="false">IF(S12=0,"—",TEXT(S12,"0"))</f>
        <v>3</v>
      </c>
      <c r="AG12" s="67" t="s">
        <v>16</v>
      </c>
      <c r="AH12" s="66" t="str">
        <f aca="false">IF(S12=0,"—",TEXT(S12,"0"))</f>
        <v>3</v>
      </c>
      <c r="AI12" s="66" t="str">
        <f aca="false">IF(S12=0,"—",TEXT(S12,"0"))</f>
        <v>3</v>
      </c>
    </row>
    <row r="14" customFormat="false" ht="21.75" hidden="false" customHeight="true" outlineLevel="0" collapsed="false">
      <c r="A14" s="70" t="s">
        <v>148</v>
      </c>
      <c r="B14" s="70"/>
      <c r="C14" s="71" t="n">
        <f aca="false">COUNTIF(C8:C12,1)</f>
        <v>5</v>
      </c>
      <c r="D14" s="71" t="n">
        <f aca="false">COUNTIF(D8:D12,1)</f>
        <v>5</v>
      </c>
      <c r="E14" s="71" t="n">
        <f aca="false">COUNTIF(E8:E12,1)</f>
        <v>1</v>
      </c>
      <c r="F14" s="71" t="n">
        <f aca="false">COUNTIF(F8:F12,1)</f>
        <v>1</v>
      </c>
      <c r="G14" s="71" t="n">
        <f aca="false">COUNTIF(G8:G12,1)</f>
        <v>5</v>
      </c>
      <c r="H14" s="71" t="n">
        <f aca="false">SUM(H8:H12)</f>
        <v>17</v>
      </c>
      <c r="I14" s="71" t="n">
        <f aca="false">COUNTIF(I8:I12,1)</f>
        <v>5</v>
      </c>
      <c r="J14" s="71" t="n">
        <f aca="false">COUNTIF(J8:J12,1)</f>
        <v>5</v>
      </c>
      <c r="K14" s="71" t="n">
        <f aca="false">COUNTIF(K8:K12,1)</f>
        <v>2</v>
      </c>
      <c r="L14" s="71" t="n">
        <f aca="false">COUNTIF(L8:L12,1)</f>
        <v>2</v>
      </c>
      <c r="M14" s="71" t="n">
        <f aca="false">COUNTIF(M8:M12,1)</f>
        <v>1</v>
      </c>
      <c r="N14" s="71" t="n">
        <f aca="false">COUNTIF(N8:N12,1)</f>
        <v>0</v>
      </c>
      <c r="O14" s="71" t="n">
        <f aca="false">COUNTIF(O8:O12,1)</f>
        <v>1</v>
      </c>
      <c r="P14" s="71" t="n">
        <f aca="false">COUNTIF(P8:P12,1)</f>
        <v>5</v>
      </c>
      <c r="Q14" s="71" t="n">
        <f aca="false">COUNTIF(Q8:Q12,1)</f>
        <v>1</v>
      </c>
      <c r="R14" s="71" t="n">
        <f aca="false">SUM(R8:R12)</f>
        <v>22</v>
      </c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</row>
    <row r="15" customFormat="false" ht="21.75" hidden="false" customHeight="true" outlineLevel="0" collapsed="false">
      <c r="A15" s="5" t="s">
        <v>149</v>
      </c>
      <c r="B15" s="5"/>
      <c r="C15" s="73"/>
      <c r="D15" s="73"/>
      <c r="E15" s="73"/>
      <c r="F15" s="73"/>
      <c r="G15" s="73"/>
      <c r="H15" s="74" t="n">
        <f aca="false">IFERROR(AVERAGE(H8:H12),0)</f>
        <v>3.4</v>
      </c>
      <c r="I15" s="73"/>
      <c r="J15" s="73"/>
      <c r="K15" s="73"/>
      <c r="L15" s="73"/>
      <c r="M15" s="73"/>
      <c r="N15" s="73"/>
      <c r="O15" s="73"/>
      <c r="P15" s="73"/>
      <c r="Q15" s="73"/>
      <c r="R15" s="74" t="n">
        <f aca="false">IFERROR(AVERAGE(R8:R12),0)</f>
        <v>4.4</v>
      </c>
      <c r="S15" s="74" t="n">
        <f aca="false">IFERROR(AVERAGE(S8:S12),0)</f>
        <v>3</v>
      </c>
      <c r="T15" s="73"/>
      <c r="U15" s="74" t="str">
        <f aca="false">IFERROR(AVERAGEIF(U8:U12,"&lt;&gt;—"),"")</f>
        <v/>
      </c>
      <c r="V15" s="74" t="str">
        <f aca="false">IFERROR(AVERAGEIF(V8:V12,"&lt;&gt;—"),"")</f>
        <v/>
      </c>
      <c r="W15" s="74" t="str">
        <f aca="false">IFERROR(AVERAGEIF(W8:W12,"&lt;&gt;—"),"")</f>
        <v/>
      </c>
      <c r="X15" s="74" t="str">
        <f aca="false">IFERROR(AVERAGEIF(X8:X12,"&lt;&gt;—"),"")</f>
        <v/>
      </c>
      <c r="Y15" s="74" t="str">
        <f aca="false">IFERROR(AVERAGEIF(Y8:Y12,"&lt;&gt;—"),"")</f>
        <v/>
      </c>
      <c r="Z15" s="74" t="str">
        <f aca="false">IFERROR(AVERAGEIF(Z8:Z12,"&lt;&gt;—"),"")</f>
        <v/>
      </c>
      <c r="AA15" s="74" t="str">
        <f aca="false">IFERROR(AVERAGEIF(AA8:AA12,"&lt;&gt;—"),"")</f>
        <v/>
      </c>
      <c r="AB15" s="74" t="str">
        <f aca="false">IFERROR(AVERAGEIF(AB8:AB12,"&lt;&gt;—"),"")</f>
        <v/>
      </c>
      <c r="AC15" s="74" t="str">
        <f aca="false">IFERROR(AVERAGEIF(AC8:AC12,"&lt;&gt;—"),"")</f>
        <v/>
      </c>
      <c r="AD15" s="74" t="str">
        <f aca="false">IFERROR(AVERAGEIF(AD8:AD12,"&lt;&gt;—"),"")</f>
        <v/>
      </c>
      <c r="AE15" s="74" t="str">
        <f aca="false">IFERROR(AVERAGEIF(AE8:AE12,"&lt;&gt;—"),"")</f>
        <v/>
      </c>
      <c r="AF15" s="74" t="str">
        <f aca="false">IFERROR(AVERAGEIF(AF8:AF12,"&lt;&gt;—"),"")</f>
        <v/>
      </c>
      <c r="AG15" s="74" t="str">
        <f aca="false">IFERROR(AVERAGEIF(AG8:AG12,"&lt;&gt;—"),"")</f>
        <v/>
      </c>
      <c r="AH15" s="74" t="str">
        <f aca="false">IFERROR(AVERAGEIF(AH8:AH12,"&lt;&gt;—"),"")</f>
        <v/>
      </c>
      <c r="AI15" s="74" t="str">
        <f aca="false">IFERROR(AVERAGEIF(AI8:AI12,"&lt;&gt;—"),"")</f>
        <v/>
      </c>
    </row>
  </sheetData>
  <mergeCells count="9">
    <mergeCell ref="A1:AI1"/>
    <mergeCell ref="A2:AI2"/>
    <mergeCell ref="C4:G4"/>
    <mergeCell ref="I4:Q4"/>
    <mergeCell ref="U4:AF4"/>
    <mergeCell ref="AG4:AI4"/>
    <mergeCell ref="A7:AI7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25"/>
    <col collapsed="false" customWidth="true" hidden="false" outlineLevel="0" max="24" min="4" style="1" width="9"/>
  </cols>
  <sheetData>
    <row r="1" customFormat="false" ht="39.75" hidden="false" customHeight="true" outlineLevel="0" collapsed="false">
      <c r="A1" s="2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3.5" hidden="false" customHeight="true" outlineLevel="0" collapsed="false">
      <c r="A2" s="82" t="s">
        <v>187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 customFormat="false" ht="7.5" hidden="false" customHeight="true" outlineLevel="0" collapsed="false"/>
    <row r="4" customFormat="false" ht="25.5" hidden="false" customHeight="true" outlineLevel="0" collapsed="false">
      <c r="A4" s="76" t="s">
        <v>163</v>
      </c>
      <c r="B4" s="76" t="s">
        <v>87</v>
      </c>
      <c r="C4" s="76" t="s">
        <v>188</v>
      </c>
      <c r="D4" s="5" t="s">
        <v>169</v>
      </c>
      <c r="E4" s="5"/>
      <c r="F4" s="5"/>
      <c r="G4" s="5"/>
      <c r="H4" s="5" t="s">
        <v>171</v>
      </c>
      <c r="I4" s="5"/>
      <c r="J4" s="5"/>
      <c r="K4" s="5"/>
      <c r="L4" s="5" t="s">
        <v>173</v>
      </c>
      <c r="M4" s="5"/>
      <c r="N4" s="5"/>
      <c r="O4" s="5"/>
      <c r="P4" s="5" t="s">
        <v>175</v>
      </c>
      <c r="Q4" s="5"/>
      <c r="R4" s="5"/>
      <c r="S4" s="5"/>
      <c r="T4" s="5" t="s">
        <v>177</v>
      </c>
      <c r="U4" s="5"/>
      <c r="V4" s="5"/>
      <c r="W4" s="5"/>
    </row>
    <row r="5" customFormat="false" ht="19.5" hidden="false" customHeight="true" outlineLevel="0" collapsed="false">
      <c r="A5" s="76"/>
      <c r="B5" s="76"/>
      <c r="C5" s="76"/>
      <c r="D5" s="83" t="s">
        <v>189</v>
      </c>
      <c r="E5" s="84" t="s">
        <v>190</v>
      </c>
      <c r="F5" s="85" t="s">
        <v>8</v>
      </c>
      <c r="G5" s="47" t="s">
        <v>9</v>
      </c>
      <c r="H5" s="83" t="s">
        <v>189</v>
      </c>
      <c r="I5" s="84" t="s">
        <v>190</v>
      </c>
      <c r="J5" s="85" t="s">
        <v>8</v>
      </c>
      <c r="K5" s="47" t="s">
        <v>9</v>
      </c>
      <c r="L5" s="83" t="s">
        <v>189</v>
      </c>
      <c r="M5" s="84" t="s">
        <v>190</v>
      </c>
      <c r="N5" s="85" t="s">
        <v>8</v>
      </c>
      <c r="O5" s="47" t="s">
        <v>9</v>
      </c>
      <c r="P5" s="83" t="s">
        <v>189</v>
      </c>
      <c r="Q5" s="84" t="s">
        <v>190</v>
      </c>
      <c r="R5" s="85" t="s">
        <v>8</v>
      </c>
      <c r="S5" s="47" t="s">
        <v>9</v>
      </c>
      <c r="T5" s="83" t="s">
        <v>189</v>
      </c>
      <c r="U5" s="84" t="s">
        <v>190</v>
      </c>
      <c r="V5" s="85" t="s">
        <v>8</v>
      </c>
      <c r="W5" s="47" t="s">
        <v>9</v>
      </c>
    </row>
    <row r="6" customFormat="false" ht="19.5" hidden="false" customHeight="true" outlineLevel="0" collapsed="false">
      <c r="A6" s="54" t="n">
        <v>1</v>
      </c>
      <c r="B6" s="52" t="s">
        <v>138</v>
      </c>
      <c r="C6" s="56" t="s">
        <v>191</v>
      </c>
      <c r="D6" s="71" t="n">
        <f aca="false">CS301!H8</f>
        <v>3</v>
      </c>
      <c r="E6" s="80" t="n">
        <f aca="false">CS301!R8</f>
        <v>3</v>
      </c>
      <c r="F6" s="86" t="n">
        <f aca="false">CS301!S8</f>
        <v>3</v>
      </c>
      <c r="G6" s="87" t="str">
        <f aca="false">IF(CS301!S8=0,"—",TEXT(CS301!S8,"0"))</f>
        <v>3</v>
      </c>
      <c r="H6" s="71" t="n">
        <f aca="false">CS302!H8</f>
        <v>3</v>
      </c>
      <c r="I6" s="80" t="n">
        <f aca="false">CS302!R8</f>
        <v>3</v>
      </c>
      <c r="J6" s="86" t="n">
        <f aca="false">CS302!S8</f>
        <v>3</v>
      </c>
      <c r="K6" s="87" t="str">
        <f aca="false">IF(CS302!S8=0,"—",TEXT(CS302!S8,"0"))</f>
        <v>3</v>
      </c>
      <c r="L6" s="71" t="n">
        <f aca="false">CS303!H8</f>
        <v>3</v>
      </c>
      <c r="M6" s="80" t="n">
        <f aca="false">CS303!R8</f>
        <v>3</v>
      </c>
      <c r="N6" s="86" t="n">
        <f aca="false">CS303!S8</f>
        <v>3</v>
      </c>
      <c r="O6" s="87" t="str">
        <f aca="false">IF(CS303!S8=0,"—",TEXT(CS303!S8,"0"))</f>
        <v>3</v>
      </c>
      <c r="P6" s="71" t="n">
        <f aca="false">CS304!H8</f>
        <v>3</v>
      </c>
      <c r="Q6" s="80" t="n">
        <f aca="false">CS304!R8</f>
        <v>3</v>
      </c>
      <c r="R6" s="86" t="n">
        <f aca="false">CS304!S8</f>
        <v>3</v>
      </c>
      <c r="S6" s="87" t="str">
        <f aca="false">IF(CS304!S8=0,"—",TEXT(CS304!S8,"0"))</f>
        <v>3</v>
      </c>
      <c r="T6" s="71" t="n">
        <f aca="false">CS305!H8</f>
        <v>3</v>
      </c>
      <c r="U6" s="80" t="n">
        <f aca="false">CS305!R8</f>
        <v>5</v>
      </c>
      <c r="V6" s="86" t="n">
        <f aca="false">CS305!S8</f>
        <v>3</v>
      </c>
      <c r="W6" s="87" t="str">
        <f aca="false">IF(CS305!S8=0,"—",TEXT(CS305!S8,"0"))</f>
        <v>3</v>
      </c>
    </row>
    <row r="7" customFormat="false" ht="19.5" hidden="false" customHeight="true" outlineLevel="0" collapsed="false">
      <c r="A7" s="88" t="n">
        <v>2</v>
      </c>
      <c r="B7" s="52" t="s">
        <v>140</v>
      </c>
      <c r="C7" s="89" t="s">
        <v>191</v>
      </c>
      <c r="D7" s="71" t="n">
        <f aca="false">CS301!H9</f>
        <v>3</v>
      </c>
      <c r="E7" s="80" t="n">
        <f aca="false">CS301!R9</f>
        <v>4</v>
      </c>
      <c r="F7" s="86" t="n">
        <f aca="false">CS301!S9</f>
        <v>3</v>
      </c>
      <c r="G7" s="87" t="str">
        <f aca="false">IF(CS301!S9=0,"—",TEXT(CS301!S9,"0"))</f>
        <v>3</v>
      </c>
      <c r="H7" s="71" t="n">
        <f aca="false">CS302!H9</f>
        <v>3</v>
      </c>
      <c r="I7" s="80" t="n">
        <f aca="false">CS302!R9</f>
        <v>5</v>
      </c>
      <c r="J7" s="86" t="n">
        <f aca="false">CS302!S9</f>
        <v>3</v>
      </c>
      <c r="K7" s="87" t="str">
        <f aca="false">IF(CS302!S9=0,"—",TEXT(CS302!S9,"0"))</f>
        <v>3</v>
      </c>
      <c r="L7" s="71" t="n">
        <f aca="false">CS303!H9</f>
        <v>4</v>
      </c>
      <c r="M7" s="80" t="n">
        <f aca="false">CS303!R9</f>
        <v>5</v>
      </c>
      <c r="N7" s="86" t="n">
        <f aca="false">CS303!S9</f>
        <v>3</v>
      </c>
      <c r="O7" s="87" t="str">
        <f aca="false">IF(CS303!S9=0,"—",TEXT(CS303!S9,"0"))</f>
        <v>3</v>
      </c>
      <c r="P7" s="71" t="n">
        <f aca="false">CS304!H9</f>
        <v>4</v>
      </c>
      <c r="Q7" s="80" t="n">
        <f aca="false">CS304!R9</f>
        <v>5</v>
      </c>
      <c r="R7" s="86" t="n">
        <f aca="false">CS304!S9</f>
        <v>3</v>
      </c>
      <c r="S7" s="87" t="str">
        <f aca="false">IF(CS304!S9=0,"—",TEXT(CS304!S9,"0"))</f>
        <v>3</v>
      </c>
      <c r="T7" s="71" t="n">
        <f aca="false">CS305!H9</f>
        <v>4</v>
      </c>
      <c r="U7" s="80" t="n">
        <f aca="false">CS305!R9</f>
        <v>5</v>
      </c>
      <c r="V7" s="86" t="n">
        <f aca="false">CS305!S9</f>
        <v>3</v>
      </c>
      <c r="W7" s="87" t="str">
        <f aca="false">IF(CS305!S9=0,"—",TEXT(CS305!S9,"0"))</f>
        <v>3</v>
      </c>
    </row>
    <row r="8" customFormat="false" ht="19.5" hidden="false" customHeight="true" outlineLevel="0" collapsed="false">
      <c r="A8" s="54" t="n">
        <v>3</v>
      </c>
      <c r="B8" s="52" t="s">
        <v>142</v>
      </c>
      <c r="C8" s="56" t="s">
        <v>191</v>
      </c>
      <c r="D8" s="71" t="n">
        <f aca="false">CS301!H10</f>
        <v>4</v>
      </c>
      <c r="E8" s="80" t="n">
        <f aca="false">CS301!R10</f>
        <v>5</v>
      </c>
      <c r="F8" s="86" t="n">
        <f aca="false">CS301!S10</f>
        <v>3</v>
      </c>
      <c r="G8" s="87" t="str">
        <f aca="false">IF(CS301!S10=0,"—",TEXT(CS301!S10,"0"))</f>
        <v>3</v>
      </c>
      <c r="H8" s="71" t="n">
        <f aca="false">CS302!H10</f>
        <v>4</v>
      </c>
      <c r="I8" s="80" t="n">
        <f aca="false">CS302!R10</f>
        <v>3</v>
      </c>
      <c r="J8" s="86" t="n">
        <f aca="false">CS302!S10</f>
        <v>3</v>
      </c>
      <c r="K8" s="87" t="str">
        <f aca="false">IF(CS302!S10=0,"—",TEXT(CS302!S10,"0"))</f>
        <v>3</v>
      </c>
      <c r="L8" s="71" t="n">
        <f aca="false">CS303!H10</f>
        <v>3</v>
      </c>
      <c r="M8" s="80" t="n">
        <f aca="false">CS303!R10</f>
        <v>5</v>
      </c>
      <c r="N8" s="86" t="n">
        <f aca="false">CS303!S10</f>
        <v>3</v>
      </c>
      <c r="O8" s="87" t="str">
        <f aca="false">IF(CS303!S10=0,"—",TEXT(CS303!S10,"0"))</f>
        <v>3</v>
      </c>
      <c r="P8" s="71" t="n">
        <f aca="false">CS304!H10</f>
        <v>3</v>
      </c>
      <c r="Q8" s="80" t="n">
        <f aca="false">CS304!R10</f>
        <v>4</v>
      </c>
      <c r="R8" s="86" t="n">
        <f aca="false">CS304!S10</f>
        <v>3</v>
      </c>
      <c r="S8" s="87" t="str">
        <f aca="false">IF(CS304!S10=0,"—",TEXT(CS304!S10,"0"))</f>
        <v>3</v>
      </c>
      <c r="T8" s="71" t="n">
        <f aca="false">CS305!H10</f>
        <v>3</v>
      </c>
      <c r="U8" s="80" t="n">
        <f aca="false">CS305!R10</f>
        <v>7</v>
      </c>
      <c r="V8" s="86" t="n">
        <f aca="false">CS305!S10</f>
        <v>3</v>
      </c>
      <c r="W8" s="87" t="str">
        <f aca="false">IF(CS305!S10=0,"—",TEXT(CS305!S10,"0"))</f>
        <v>3</v>
      </c>
    </row>
    <row r="9" customFormat="false" ht="19.5" hidden="false" customHeight="true" outlineLevel="0" collapsed="false">
      <c r="A9" s="88" t="n">
        <v>4</v>
      </c>
      <c r="B9" s="52" t="s">
        <v>144</v>
      </c>
      <c r="C9" s="89" t="s">
        <v>191</v>
      </c>
      <c r="D9" s="71" t="n">
        <f aca="false">CS301!H11</f>
        <v>4</v>
      </c>
      <c r="E9" s="80" t="n">
        <f aca="false">CS301!R11</f>
        <v>4</v>
      </c>
      <c r="F9" s="86" t="n">
        <f aca="false">CS301!S11</f>
        <v>3</v>
      </c>
      <c r="G9" s="87" t="str">
        <f aca="false">IF(CS301!S11=0,"—",TEXT(CS301!S11,"0"))</f>
        <v>3</v>
      </c>
      <c r="H9" s="71" t="n">
        <f aca="false">CS302!H11</f>
        <v>3</v>
      </c>
      <c r="I9" s="80" t="n">
        <f aca="false">CS302!R11</f>
        <v>5</v>
      </c>
      <c r="J9" s="86" t="n">
        <f aca="false">CS302!S11</f>
        <v>3</v>
      </c>
      <c r="K9" s="87" t="str">
        <f aca="false">IF(CS302!S11=0,"—",TEXT(CS302!S11,"0"))</f>
        <v>3</v>
      </c>
      <c r="L9" s="71" t="n">
        <f aca="false">CS303!H11</f>
        <v>4</v>
      </c>
      <c r="M9" s="80" t="n">
        <f aca="false">CS303!R11</f>
        <v>3</v>
      </c>
      <c r="N9" s="86" t="n">
        <f aca="false">CS303!S11</f>
        <v>3</v>
      </c>
      <c r="O9" s="87" t="str">
        <f aca="false">IF(CS303!S11=0,"—",TEXT(CS303!S11,"0"))</f>
        <v>3</v>
      </c>
      <c r="P9" s="71" t="n">
        <f aca="false">CS304!H11</f>
        <v>3</v>
      </c>
      <c r="Q9" s="80" t="n">
        <f aca="false">CS304!R11</f>
        <v>4</v>
      </c>
      <c r="R9" s="86" t="n">
        <f aca="false">CS304!S11</f>
        <v>3</v>
      </c>
      <c r="S9" s="87" t="str">
        <f aca="false">IF(CS304!S11=0,"—",TEXT(CS304!S11,"0"))</f>
        <v>3</v>
      </c>
      <c r="T9" s="71" t="n">
        <f aca="false">CS305!H11</f>
        <v>3</v>
      </c>
      <c r="U9" s="80" t="n">
        <f aca="false">CS305!R11</f>
        <v>5</v>
      </c>
      <c r="V9" s="86" t="n">
        <f aca="false">CS305!S11</f>
        <v>3</v>
      </c>
      <c r="W9" s="87" t="str">
        <f aca="false">IF(CS305!S11=0,"—",TEXT(CS305!S11,"0"))</f>
        <v>3</v>
      </c>
    </row>
    <row r="10" customFormat="false" ht="19.5" hidden="false" customHeight="true" outlineLevel="0" collapsed="false">
      <c r="A10" s="54" t="n">
        <v>5</v>
      </c>
      <c r="B10" s="52" t="s">
        <v>146</v>
      </c>
      <c r="C10" s="56" t="s">
        <v>191</v>
      </c>
      <c r="D10" s="71" t="n">
        <f aca="false">CS301!H12</f>
        <v>3</v>
      </c>
      <c r="E10" s="80" t="n">
        <f aca="false">CS301!R12</f>
        <v>5</v>
      </c>
      <c r="F10" s="86" t="n">
        <f aca="false">CS301!S12</f>
        <v>3</v>
      </c>
      <c r="G10" s="87" t="str">
        <f aca="false">IF(CS301!S12=0,"—",TEXT(CS301!S12,"0"))</f>
        <v>3</v>
      </c>
      <c r="H10" s="71" t="n">
        <f aca="false">CS302!H12</f>
        <v>3</v>
      </c>
      <c r="I10" s="80" t="n">
        <f aca="false">CS302!R12</f>
        <v>4</v>
      </c>
      <c r="J10" s="86" t="n">
        <f aca="false">CS302!S12</f>
        <v>3</v>
      </c>
      <c r="K10" s="87" t="str">
        <f aca="false">IF(CS302!S12=0,"—",TEXT(CS302!S12,"0"))</f>
        <v>3</v>
      </c>
      <c r="L10" s="71" t="n">
        <f aca="false">CS303!H12</f>
        <v>3</v>
      </c>
      <c r="M10" s="80" t="n">
        <f aca="false">CS303!R12</f>
        <v>6</v>
      </c>
      <c r="N10" s="86" t="n">
        <f aca="false">CS303!S12</f>
        <v>3</v>
      </c>
      <c r="O10" s="87" t="str">
        <f aca="false">IF(CS303!S12=0,"—",TEXT(CS303!S12,"0"))</f>
        <v>3</v>
      </c>
      <c r="P10" s="71" t="n">
        <f aca="false">CS304!H12</f>
        <v>3</v>
      </c>
      <c r="Q10" s="80" t="n">
        <f aca="false">CS304!R12</f>
        <v>3</v>
      </c>
      <c r="R10" s="86" t="n">
        <f aca="false">CS304!S12</f>
        <v>3</v>
      </c>
      <c r="S10" s="87" t="str">
        <f aca="false">IF(CS304!S12=0,"—",TEXT(CS304!S12,"0"))</f>
        <v>3</v>
      </c>
      <c r="T10" s="71" t="n">
        <f aca="false">CS305!H12</f>
        <v>4</v>
      </c>
      <c r="U10" s="80" t="n">
        <f aca="false">CS305!R12</f>
        <v>5</v>
      </c>
      <c r="V10" s="86" t="n">
        <f aca="false">CS305!S12</f>
        <v>3</v>
      </c>
      <c r="W10" s="87" t="str">
        <f aca="false">IF(CS305!S12=0,"—",TEXT(CS305!S12,"0"))</f>
        <v>3</v>
      </c>
    </row>
    <row r="11" customFormat="false" ht="19.5" hidden="false" customHeight="true" outlineLevel="0" collapsed="false">
      <c r="A11" s="88" t="n">
        <v>6</v>
      </c>
      <c r="B11" s="52" t="s">
        <v>178</v>
      </c>
      <c r="C11" s="89" t="s">
        <v>191</v>
      </c>
      <c r="D11" s="90" t="s">
        <v>16</v>
      </c>
      <c r="E11" s="90" t="s">
        <v>16</v>
      </c>
      <c r="F11" s="90" t="s">
        <v>16</v>
      </c>
      <c r="G11" s="90" t="s">
        <v>16</v>
      </c>
      <c r="H11" s="90" t="s">
        <v>16</v>
      </c>
      <c r="I11" s="90" t="s">
        <v>16</v>
      </c>
      <c r="J11" s="90" t="s">
        <v>16</v>
      </c>
      <c r="K11" s="90" t="s">
        <v>16</v>
      </c>
      <c r="L11" s="90" t="s">
        <v>16</v>
      </c>
      <c r="M11" s="90" t="s">
        <v>16</v>
      </c>
      <c r="N11" s="90" t="s">
        <v>16</v>
      </c>
      <c r="O11" s="90" t="s">
        <v>16</v>
      </c>
      <c r="P11" s="90" t="s">
        <v>16</v>
      </c>
      <c r="Q11" s="90" t="s">
        <v>16</v>
      </c>
      <c r="R11" s="90" t="s">
        <v>16</v>
      </c>
      <c r="S11" s="90" t="s">
        <v>16</v>
      </c>
      <c r="T11" s="71" t="n">
        <f aca="false">CS305!H13</f>
        <v>3</v>
      </c>
      <c r="U11" s="80" t="n">
        <f aca="false">CS305!R13</f>
        <v>8</v>
      </c>
      <c r="V11" s="86" t="n">
        <f aca="false">CS305!S13</f>
        <v>3</v>
      </c>
      <c r="W11" s="87" t="str">
        <f aca="false">IF(CS305!S13=0,"—",TEXT(CS305!S13,"0"))</f>
        <v>3</v>
      </c>
    </row>
    <row r="13" customFormat="false" ht="21.75" hidden="false" customHeight="true" outlineLevel="0" collapsed="false">
      <c r="A13" s="70" t="s">
        <v>192</v>
      </c>
      <c r="B13" s="70"/>
      <c r="C13" s="70"/>
      <c r="D13" s="81" t="n">
        <f aca="false">IFERROR((D6+D7+D8+D9+D10)/5,0)</f>
        <v>3.4</v>
      </c>
      <c r="E13" s="81" t="n">
        <f aca="false">IFERROR((E6+E7+E8+E9+E10)/5,0)</f>
        <v>4.2</v>
      </c>
      <c r="F13" s="81" t="n">
        <f aca="false">IFERROR((F6+F7+F8+F9+F10)/5,0)</f>
        <v>3</v>
      </c>
      <c r="G13" s="72"/>
      <c r="H13" s="81" t="n">
        <f aca="false">IFERROR((H6+H7+H8+H9+H10)/5,0)</f>
        <v>3.2</v>
      </c>
      <c r="I13" s="81" t="n">
        <f aca="false">IFERROR((I6+I7+I8+I9+I10)/5,0)</f>
        <v>4</v>
      </c>
      <c r="J13" s="81" t="n">
        <f aca="false">IFERROR((J6+J7+J8+J9+J10)/5,0)</f>
        <v>3</v>
      </c>
      <c r="K13" s="72"/>
      <c r="L13" s="81" t="n">
        <f aca="false">IFERROR((L6+L7+L8+L9+L10)/5,0)</f>
        <v>3.4</v>
      </c>
      <c r="M13" s="81" t="n">
        <f aca="false">IFERROR((M6+M7+M8+M9+M10)/5,0)</f>
        <v>4.4</v>
      </c>
      <c r="N13" s="81" t="n">
        <f aca="false">IFERROR((N6+N7+N8+N9+N10)/5,0)</f>
        <v>3</v>
      </c>
      <c r="O13" s="72"/>
      <c r="P13" s="81" t="n">
        <f aca="false">IFERROR((P6+P7+P8+P9+P10)/5,0)</f>
        <v>3.2</v>
      </c>
      <c r="Q13" s="81" t="n">
        <f aca="false">IFERROR((Q6+Q7+Q8+Q9+Q10)/5,0)</f>
        <v>3.8</v>
      </c>
      <c r="R13" s="81" t="n">
        <f aca="false">IFERROR((R6+R7+R8+R9+R10)/5,0)</f>
        <v>3</v>
      </c>
      <c r="S13" s="72"/>
      <c r="T13" s="81" t="n">
        <f aca="false">IFERROR((T6+T7+T8+T9+T10+T11)/6,0)</f>
        <v>3.33333333333333</v>
      </c>
      <c r="U13" s="81" t="n">
        <f aca="false">IFERROR((U6+U7+U8+U9+U10+U11)/6,0)</f>
        <v>5.83333333333333</v>
      </c>
      <c r="V13" s="81" t="n">
        <f aca="false">IFERROR((V6+V7+V8+V9+V10+V11)/6,0)</f>
        <v>3</v>
      </c>
      <c r="W13" s="72"/>
    </row>
  </sheetData>
  <mergeCells count="11">
    <mergeCell ref="A1:Y1"/>
    <mergeCell ref="A2:Y2"/>
    <mergeCell ref="A4:A5"/>
    <mergeCell ref="B4:B5"/>
    <mergeCell ref="C4:C5"/>
    <mergeCell ref="D4:G4"/>
    <mergeCell ref="H4:K4"/>
    <mergeCell ref="L4:O4"/>
    <mergeCell ref="P4:S4"/>
    <mergeCell ref="T4:W4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8" min="3" style="1" width="10"/>
    <col collapsed="false" customWidth="true" hidden="false" outlineLevel="0" max="18" min="9" style="1" width="11"/>
    <col collapsed="false" customWidth="true" hidden="false" outlineLevel="0" max="20" min="19" style="1" width="9"/>
    <col collapsed="false" customWidth="true" hidden="false" outlineLevel="0" max="35" min="21" style="1" width="8"/>
  </cols>
  <sheetData>
    <row r="1" customFormat="false" ht="36" hidden="false" customHeight="true" outlineLevel="0" collapsed="false">
      <c r="A1" s="41" t="s">
        <v>193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customFormat="false" ht="13.5" hidden="false" customHeight="true" outlineLevel="0" collapsed="false">
      <c r="A2" s="42" t="s">
        <v>79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</row>
    <row r="3" customFormat="false" ht="4.5" hidden="false" customHeight="true" outlineLevel="0" collapsed="false"/>
    <row r="4" customFormat="false" ht="21.75" hidden="false" customHeight="true" outlineLevel="0" collapsed="false">
      <c r="A4" s="43"/>
      <c r="B4" s="43"/>
      <c r="C4" s="5" t="s">
        <v>80</v>
      </c>
      <c r="D4" s="5"/>
      <c r="E4" s="5"/>
      <c r="F4" s="5"/>
      <c r="G4" s="5"/>
      <c r="H4" s="44" t="s">
        <v>81</v>
      </c>
      <c r="I4" s="6" t="s">
        <v>82</v>
      </c>
      <c r="J4" s="6"/>
      <c r="K4" s="6"/>
      <c r="L4" s="6"/>
      <c r="M4" s="6"/>
      <c r="N4" s="6"/>
      <c r="O4" s="6"/>
      <c r="P4" s="6"/>
      <c r="Q4" s="6"/>
      <c r="R4" s="45" t="s">
        <v>83</v>
      </c>
      <c r="S4" s="46" t="s">
        <v>84</v>
      </c>
      <c r="T4" s="47" t="s">
        <v>9</v>
      </c>
      <c r="U4" s="5" t="s">
        <v>85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8" t="s">
        <v>86</v>
      </c>
      <c r="AH4" s="48"/>
      <c r="AI4" s="48"/>
    </row>
    <row r="5" customFormat="false" ht="30" hidden="false" customHeight="true" outlineLevel="0" collapsed="false">
      <c r="A5" s="10" t="s">
        <v>87</v>
      </c>
      <c r="B5" s="10" t="s">
        <v>88</v>
      </c>
      <c r="C5" s="49" t="s">
        <v>89</v>
      </c>
      <c r="D5" s="49" t="s">
        <v>90</v>
      </c>
      <c r="E5" s="49" t="s">
        <v>91</v>
      </c>
      <c r="F5" s="49" t="s">
        <v>92</v>
      </c>
      <c r="G5" s="49" t="s">
        <v>93</v>
      </c>
      <c r="H5" s="44" t="s">
        <v>94</v>
      </c>
      <c r="I5" s="50" t="s">
        <v>95</v>
      </c>
      <c r="J5" s="50" t="s">
        <v>96</v>
      </c>
      <c r="K5" s="50" t="s">
        <v>97</v>
      </c>
      <c r="L5" s="50" t="s">
        <v>98</v>
      </c>
      <c r="M5" s="50" t="s">
        <v>99</v>
      </c>
      <c r="N5" s="50" t="s">
        <v>100</v>
      </c>
      <c r="O5" s="50" t="s">
        <v>101</v>
      </c>
      <c r="P5" s="50" t="s">
        <v>102</v>
      </c>
      <c r="Q5" s="50" t="s">
        <v>103</v>
      </c>
      <c r="R5" s="45" t="s">
        <v>104</v>
      </c>
      <c r="S5" s="46" t="s">
        <v>105</v>
      </c>
      <c r="T5" s="51" t="s">
        <v>106</v>
      </c>
      <c r="U5" s="52" t="s">
        <v>107</v>
      </c>
      <c r="V5" s="52" t="s">
        <v>108</v>
      </c>
      <c r="W5" s="52" t="s">
        <v>109</v>
      </c>
      <c r="X5" s="52" t="s">
        <v>110</v>
      </c>
      <c r="Y5" s="52" t="s">
        <v>111</v>
      </c>
      <c r="Z5" s="52" t="s">
        <v>112</v>
      </c>
      <c r="AA5" s="52" t="s">
        <v>113</v>
      </c>
      <c r="AB5" s="52" t="s">
        <v>114</v>
      </c>
      <c r="AC5" s="52" t="s">
        <v>115</v>
      </c>
      <c r="AD5" s="52" t="s">
        <v>116</v>
      </c>
      <c r="AE5" s="52" t="s">
        <v>117</v>
      </c>
      <c r="AF5" s="52" t="s">
        <v>118</v>
      </c>
      <c r="AG5" s="53" t="s">
        <v>119</v>
      </c>
      <c r="AH5" s="53" t="s">
        <v>120</v>
      </c>
      <c r="AI5" s="53" t="s">
        <v>121</v>
      </c>
    </row>
    <row r="6" customFormat="false" ht="15.75" hidden="false" customHeight="true" outlineLevel="0" collapsed="false">
      <c r="A6" s="54"/>
      <c r="B6" s="55" t="s">
        <v>122</v>
      </c>
      <c r="C6" s="56" t="s">
        <v>123</v>
      </c>
      <c r="D6" s="56" t="s">
        <v>124</v>
      </c>
      <c r="E6" s="56" t="s">
        <v>125</v>
      </c>
      <c r="F6" s="56" t="s">
        <v>126</v>
      </c>
      <c r="G6" s="56" t="s">
        <v>127</v>
      </c>
      <c r="H6" s="13"/>
      <c r="I6" s="56" t="s">
        <v>128</v>
      </c>
      <c r="J6" s="56" t="s">
        <v>129</v>
      </c>
      <c r="K6" s="56" t="s">
        <v>130</v>
      </c>
      <c r="L6" s="56" t="s">
        <v>131</v>
      </c>
      <c r="M6" s="56" t="s">
        <v>132</v>
      </c>
      <c r="N6" s="56" t="s">
        <v>133</v>
      </c>
      <c r="O6" s="56" t="s">
        <v>134</v>
      </c>
      <c r="P6" s="56" t="s">
        <v>135</v>
      </c>
      <c r="Q6" s="56" t="s">
        <v>136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customFormat="false" ht="13.5" hidden="false" customHeight="true" outlineLevel="0" collapsed="false">
      <c r="A7" s="57" t="s">
        <v>137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</row>
    <row r="8" customFormat="false" ht="19.5" hidden="false" customHeight="true" outlineLevel="0" collapsed="false">
      <c r="A8" s="58" t="s">
        <v>138</v>
      </c>
      <c r="B8" s="35" t="s">
        <v>194</v>
      </c>
      <c r="C8" s="59" t="n">
        <v>1</v>
      </c>
      <c r="D8" s="59" t="n">
        <v>1</v>
      </c>
      <c r="E8" s="60" t="n">
        <v>0</v>
      </c>
      <c r="F8" s="60" t="n">
        <v>0</v>
      </c>
      <c r="G8" s="59" t="n">
        <v>1</v>
      </c>
      <c r="H8" s="61" t="n">
        <f aca="false">COUNTIF(C8:G8,1)</f>
        <v>3</v>
      </c>
      <c r="I8" s="62" t="n">
        <v>1</v>
      </c>
      <c r="J8" s="62" t="n">
        <v>1</v>
      </c>
      <c r="K8" s="60" t="n">
        <v>0</v>
      </c>
      <c r="L8" s="60" t="n">
        <v>0</v>
      </c>
      <c r="M8" s="60" t="n">
        <v>0</v>
      </c>
      <c r="N8" s="60" t="n">
        <v>0</v>
      </c>
      <c r="O8" s="60" t="n">
        <v>0</v>
      </c>
      <c r="P8" s="62" t="n">
        <v>1</v>
      </c>
      <c r="Q8" s="60" t="n">
        <v>0</v>
      </c>
      <c r="R8" s="63" t="n">
        <f aca="false">COUNTIF(I8:Q8,1)</f>
        <v>3</v>
      </c>
      <c r="S8" s="64" t="n">
        <f aca="false">IF(AND(H8&gt;=2,R8&gt;=2),3,IF(OR(AND(H8&gt;=2,R8=1),R8&gt;=2),2,IF(OR(H8&gt;=2,R8&gt;=1),1,0)))</f>
        <v>3</v>
      </c>
      <c r="T8" s="65" t="str">
        <f aca="false">IF(S8=0,"—",TEXT(S8,"0"))</f>
        <v>3</v>
      </c>
      <c r="U8" s="66" t="str">
        <f aca="false">IF(S8=0,"—",TEXT(S8,"0"))</f>
        <v>3</v>
      </c>
      <c r="V8" s="66" t="str">
        <f aca="false">IF(S8=0,"—",TEXT(S8,"0"))</f>
        <v>3</v>
      </c>
      <c r="W8" s="67" t="s">
        <v>16</v>
      </c>
      <c r="X8" s="67" t="s">
        <v>16</v>
      </c>
      <c r="Y8" s="67" t="s">
        <v>16</v>
      </c>
      <c r="Z8" s="67" t="s">
        <v>16</v>
      </c>
      <c r="AA8" s="67" t="s">
        <v>16</v>
      </c>
      <c r="AB8" s="67" t="s">
        <v>16</v>
      </c>
      <c r="AC8" s="67" t="s">
        <v>16</v>
      </c>
      <c r="AD8" s="67" t="s">
        <v>16</v>
      </c>
      <c r="AE8" s="67" t="s">
        <v>16</v>
      </c>
      <c r="AF8" s="66" t="str">
        <f aca="false">IF(S8=0,"—",TEXT(S8,"0"))</f>
        <v>3</v>
      </c>
      <c r="AG8" s="67" t="s">
        <v>16</v>
      </c>
      <c r="AH8" s="67" t="s">
        <v>16</v>
      </c>
      <c r="AI8" s="66" t="str">
        <f aca="false">IF(S8=0,"—",TEXT(S8,"0"))</f>
        <v>3</v>
      </c>
    </row>
    <row r="9" customFormat="false" ht="19.5" hidden="false" customHeight="true" outlineLevel="0" collapsed="false">
      <c r="A9" s="58" t="s">
        <v>140</v>
      </c>
      <c r="B9" s="37" t="s">
        <v>195</v>
      </c>
      <c r="C9" s="59" t="n">
        <v>1</v>
      </c>
      <c r="D9" s="59" t="n">
        <v>1</v>
      </c>
      <c r="E9" s="59" t="n">
        <v>1</v>
      </c>
      <c r="F9" s="60" t="n">
        <v>0</v>
      </c>
      <c r="G9" s="59" t="n">
        <v>1</v>
      </c>
      <c r="H9" s="61" t="n">
        <f aca="false">COUNTIF(C9:G9,1)</f>
        <v>4</v>
      </c>
      <c r="I9" s="62" t="n">
        <v>1</v>
      </c>
      <c r="J9" s="62" t="n">
        <v>1</v>
      </c>
      <c r="K9" s="62" t="n">
        <v>1</v>
      </c>
      <c r="L9" s="62" t="n">
        <v>1</v>
      </c>
      <c r="M9" s="60" t="n">
        <v>0</v>
      </c>
      <c r="N9" s="60" t="n">
        <v>0</v>
      </c>
      <c r="O9" s="60" t="n">
        <v>0</v>
      </c>
      <c r="P9" s="62" t="n">
        <v>1</v>
      </c>
      <c r="Q9" s="60" t="n">
        <v>0</v>
      </c>
      <c r="R9" s="63" t="n">
        <f aca="false">COUNTIF(I9:Q9,1)</f>
        <v>5</v>
      </c>
      <c r="S9" s="64" t="n">
        <f aca="false">IF(AND(H9&gt;=2,R9&gt;=2),3,IF(OR(AND(H9&gt;=2,R9=1),R9&gt;=2),2,IF(OR(H9&gt;=2,R9&gt;=1),1,0)))</f>
        <v>3</v>
      </c>
      <c r="T9" s="65" t="str">
        <f aca="false">IF(S9=0,"—",TEXT(S9,"0"))</f>
        <v>3</v>
      </c>
      <c r="U9" s="68" t="str">
        <f aca="false">IF(S9=0,"—",TEXT(S9,"0"))</f>
        <v>3</v>
      </c>
      <c r="V9" s="68" t="str">
        <f aca="false">IF(S9=0,"—",TEXT(S9,"0"))</f>
        <v>3</v>
      </c>
      <c r="W9" s="68" t="str">
        <f aca="false">IF(S9=0,"—",TEXT(S9,"0"))</f>
        <v>3</v>
      </c>
      <c r="X9" s="68" t="str">
        <f aca="false">IF(S9=0,"—",TEXT(S9,"0"))</f>
        <v>3</v>
      </c>
      <c r="Y9" s="69" t="s">
        <v>16</v>
      </c>
      <c r="Z9" s="69" t="s">
        <v>16</v>
      </c>
      <c r="AA9" s="69" t="s">
        <v>16</v>
      </c>
      <c r="AB9" s="69" t="s">
        <v>16</v>
      </c>
      <c r="AC9" s="69" t="s">
        <v>16</v>
      </c>
      <c r="AD9" s="69" t="s">
        <v>16</v>
      </c>
      <c r="AE9" s="69" t="s">
        <v>16</v>
      </c>
      <c r="AF9" s="68" t="str">
        <f aca="false">IF(S9=0,"—",TEXT(S9,"0"))</f>
        <v>3</v>
      </c>
      <c r="AG9" s="68" t="str">
        <f aca="false">IF(S9=0,"—",TEXT(S9,"0"))</f>
        <v>3</v>
      </c>
      <c r="AH9" s="69" t="s">
        <v>16</v>
      </c>
      <c r="AI9" s="69" t="s">
        <v>16</v>
      </c>
    </row>
    <row r="10" customFormat="false" ht="19.5" hidden="false" customHeight="true" outlineLevel="0" collapsed="false">
      <c r="A10" s="58" t="s">
        <v>142</v>
      </c>
      <c r="B10" s="35" t="s">
        <v>196</v>
      </c>
      <c r="C10" s="59" t="n">
        <v>1</v>
      </c>
      <c r="D10" s="59" t="n">
        <v>1</v>
      </c>
      <c r="E10" s="60" t="n">
        <v>0</v>
      </c>
      <c r="F10" s="60" t="n">
        <v>0</v>
      </c>
      <c r="G10" s="59" t="n">
        <v>1</v>
      </c>
      <c r="H10" s="61" t="n">
        <f aca="false">COUNTIF(C10:G10,1)</f>
        <v>3</v>
      </c>
      <c r="I10" s="62" t="n">
        <v>1</v>
      </c>
      <c r="J10" s="62" t="n">
        <v>1</v>
      </c>
      <c r="K10" s="60" t="n">
        <v>0</v>
      </c>
      <c r="L10" s="60" t="n">
        <v>0</v>
      </c>
      <c r="M10" s="62" t="n">
        <v>1</v>
      </c>
      <c r="N10" s="60" t="n">
        <v>0</v>
      </c>
      <c r="O10" s="60" t="n">
        <v>0</v>
      </c>
      <c r="P10" s="62" t="n">
        <v>1</v>
      </c>
      <c r="Q10" s="60" t="n">
        <v>0</v>
      </c>
      <c r="R10" s="63" t="n">
        <f aca="false">COUNTIF(I10:Q10,1)</f>
        <v>4</v>
      </c>
      <c r="S10" s="64" t="n">
        <f aca="false">IF(AND(H10&gt;=2,R10&gt;=2),3,IF(OR(AND(H10&gt;=2,R10=1),R10&gt;=2),2,IF(OR(H10&gt;=2,R10&gt;=1),1,0)))</f>
        <v>3</v>
      </c>
      <c r="T10" s="65" t="str">
        <f aca="false">IF(S10=0,"—",TEXT(S10,"0"))</f>
        <v>3</v>
      </c>
      <c r="U10" s="66" t="str">
        <f aca="false">IF(S10=0,"—",TEXT(S10,"0"))</f>
        <v>3</v>
      </c>
      <c r="V10" s="66" t="str">
        <f aca="false">IF(S10=0,"—",TEXT(S10,"0"))</f>
        <v>3</v>
      </c>
      <c r="W10" s="66" t="str">
        <f aca="false">IF(S10=0,"—",TEXT(S10,"0"))</f>
        <v>3</v>
      </c>
      <c r="X10" s="66" t="str">
        <f aca="false">IF(S10=0,"—",TEXT(S10,"0"))</f>
        <v>3</v>
      </c>
      <c r="Y10" s="67" t="s">
        <v>16</v>
      </c>
      <c r="Z10" s="67" t="s">
        <v>16</v>
      </c>
      <c r="AA10" s="67" t="s">
        <v>16</v>
      </c>
      <c r="AB10" s="67" t="s">
        <v>16</v>
      </c>
      <c r="AC10" s="67" t="s">
        <v>16</v>
      </c>
      <c r="AD10" s="67" t="s">
        <v>16</v>
      </c>
      <c r="AE10" s="67" t="s">
        <v>16</v>
      </c>
      <c r="AF10" s="66" t="str">
        <f aca="false">IF(S10=0,"—",TEXT(S10,"0"))</f>
        <v>3</v>
      </c>
      <c r="AG10" s="66" t="str">
        <f aca="false">IF(S10=0,"—",TEXT(S10,"0"))</f>
        <v>3</v>
      </c>
      <c r="AH10" s="67" t="s">
        <v>16</v>
      </c>
      <c r="AI10" s="67" t="s">
        <v>16</v>
      </c>
    </row>
    <row r="11" customFormat="false" ht="19.5" hidden="false" customHeight="true" outlineLevel="0" collapsed="false">
      <c r="A11" s="58" t="s">
        <v>144</v>
      </c>
      <c r="B11" s="37" t="s">
        <v>197</v>
      </c>
      <c r="C11" s="59" t="n">
        <v>1</v>
      </c>
      <c r="D11" s="59" t="n">
        <v>1</v>
      </c>
      <c r="E11" s="60" t="n">
        <v>0</v>
      </c>
      <c r="F11" s="60" t="n">
        <v>0</v>
      </c>
      <c r="G11" s="59" t="n">
        <v>1</v>
      </c>
      <c r="H11" s="61" t="n">
        <f aca="false">COUNTIF(C11:G11,1)</f>
        <v>3</v>
      </c>
      <c r="I11" s="62" t="n">
        <v>1</v>
      </c>
      <c r="J11" s="62" t="n">
        <v>1</v>
      </c>
      <c r="K11" s="60" t="n">
        <v>0</v>
      </c>
      <c r="L11" s="62" t="n">
        <v>1</v>
      </c>
      <c r="M11" s="60" t="n">
        <v>0</v>
      </c>
      <c r="N11" s="60" t="n">
        <v>0</v>
      </c>
      <c r="O11" s="60" t="n">
        <v>0</v>
      </c>
      <c r="P11" s="62" t="n">
        <v>1</v>
      </c>
      <c r="Q11" s="60" t="n">
        <v>0</v>
      </c>
      <c r="R11" s="63" t="n">
        <f aca="false">COUNTIF(I11:Q11,1)</f>
        <v>4</v>
      </c>
      <c r="S11" s="64" t="n">
        <f aca="false">IF(AND(H11&gt;=2,R11&gt;=2),3,IF(OR(AND(H11&gt;=2,R11=1),R11&gt;=2),2,IF(OR(H11&gt;=2,R11&gt;=1),1,0)))</f>
        <v>3</v>
      </c>
      <c r="T11" s="65" t="str">
        <f aca="false">IF(S11=0,"—",TEXT(S11,"0"))</f>
        <v>3</v>
      </c>
      <c r="U11" s="68" t="str">
        <f aca="false">IF(S11=0,"—",TEXT(S11,"0"))</f>
        <v>3</v>
      </c>
      <c r="V11" s="68" t="str">
        <f aca="false">IF(S11=0,"—",TEXT(S11,"0"))</f>
        <v>3</v>
      </c>
      <c r="W11" s="69" t="s">
        <v>16</v>
      </c>
      <c r="X11" s="69" t="s">
        <v>16</v>
      </c>
      <c r="Y11" s="69" t="s">
        <v>16</v>
      </c>
      <c r="Z11" s="69" t="s">
        <v>16</v>
      </c>
      <c r="AA11" s="69" t="s">
        <v>16</v>
      </c>
      <c r="AB11" s="69" t="s">
        <v>16</v>
      </c>
      <c r="AC11" s="69" t="s">
        <v>16</v>
      </c>
      <c r="AD11" s="69" t="s">
        <v>16</v>
      </c>
      <c r="AE11" s="69" t="s">
        <v>16</v>
      </c>
      <c r="AF11" s="68" t="str">
        <f aca="false">IF(S11=0,"—",TEXT(S11,"0"))</f>
        <v>3</v>
      </c>
      <c r="AG11" s="69" t="s">
        <v>16</v>
      </c>
      <c r="AH11" s="69" t="s">
        <v>16</v>
      </c>
      <c r="AI11" s="69" t="s">
        <v>16</v>
      </c>
    </row>
    <row r="12" customFormat="false" ht="19.5" hidden="false" customHeight="true" outlineLevel="0" collapsed="false">
      <c r="A12" s="58" t="s">
        <v>146</v>
      </c>
      <c r="B12" s="35" t="s">
        <v>198</v>
      </c>
      <c r="C12" s="59" t="n">
        <v>1</v>
      </c>
      <c r="D12" s="59" t="n">
        <v>1</v>
      </c>
      <c r="E12" s="60" t="n">
        <v>0</v>
      </c>
      <c r="F12" s="60" t="n">
        <v>0</v>
      </c>
      <c r="G12" s="59" t="n">
        <v>1</v>
      </c>
      <c r="H12" s="61" t="n">
        <f aca="false">COUNTIF(C12:G12,1)</f>
        <v>3</v>
      </c>
      <c r="I12" s="62" t="n">
        <v>1</v>
      </c>
      <c r="J12" s="62" t="n">
        <v>1</v>
      </c>
      <c r="K12" s="60" t="n">
        <v>0</v>
      </c>
      <c r="L12" s="62" t="n">
        <v>1</v>
      </c>
      <c r="M12" s="60" t="n">
        <v>0</v>
      </c>
      <c r="N12" s="60" t="n">
        <v>0</v>
      </c>
      <c r="O12" s="60" t="n">
        <v>0</v>
      </c>
      <c r="P12" s="60" t="n">
        <v>0</v>
      </c>
      <c r="Q12" s="60" t="n">
        <v>0</v>
      </c>
      <c r="R12" s="63" t="n">
        <f aca="false">COUNTIF(I12:Q12,1)</f>
        <v>3</v>
      </c>
      <c r="S12" s="64" t="n">
        <f aca="false">IF(AND(H12&gt;=2,R12&gt;=2),3,IF(OR(AND(H12&gt;=2,R12=1),R12&gt;=2),2,IF(OR(H12&gt;=2,R12&gt;=1),1,0)))</f>
        <v>3</v>
      </c>
      <c r="T12" s="65" t="str">
        <f aca="false">IF(S12=0,"—",TEXT(S12,"0"))</f>
        <v>3</v>
      </c>
      <c r="U12" s="66" t="str">
        <f aca="false">IF(S12=0,"—",TEXT(S12,"0"))</f>
        <v>3</v>
      </c>
      <c r="V12" s="66" t="str">
        <f aca="false">IF(S12=0,"—",TEXT(S12,"0"))</f>
        <v>3</v>
      </c>
      <c r="W12" s="67" t="s">
        <v>16</v>
      </c>
      <c r="X12" s="66" t="str">
        <f aca="false">IF(S12=0,"—",TEXT(S12,"0"))</f>
        <v>3</v>
      </c>
      <c r="Y12" s="66" t="str">
        <f aca="false">IF(S12=0,"—",TEXT(S12,"0"))</f>
        <v>3</v>
      </c>
      <c r="Z12" s="67" t="s">
        <v>16</v>
      </c>
      <c r="AA12" s="67" t="s">
        <v>16</v>
      </c>
      <c r="AB12" s="67" t="s">
        <v>16</v>
      </c>
      <c r="AC12" s="67" t="s">
        <v>16</v>
      </c>
      <c r="AD12" s="67" t="s">
        <v>16</v>
      </c>
      <c r="AE12" s="67" t="s">
        <v>16</v>
      </c>
      <c r="AF12" s="66" t="str">
        <f aca="false">IF(S12=0,"—",TEXT(S12,"0"))</f>
        <v>3</v>
      </c>
      <c r="AG12" s="66" t="str">
        <f aca="false">IF(S12=0,"—",TEXT(S12,"0"))</f>
        <v>3</v>
      </c>
      <c r="AH12" s="66" t="str">
        <f aca="false">IF(S12=0,"—",TEXT(S12,"0"))</f>
        <v>3</v>
      </c>
      <c r="AI12" s="67" t="s">
        <v>16</v>
      </c>
    </row>
    <row r="14" customFormat="false" ht="21.75" hidden="false" customHeight="true" outlineLevel="0" collapsed="false">
      <c r="A14" s="70" t="s">
        <v>148</v>
      </c>
      <c r="B14" s="70"/>
      <c r="C14" s="71" t="n">
        <f aca="false">COUNTIF(C8:C12,1)</f>
        <v>5</v>
      </c>
      <c r="D14" s="71" t="n">
        <f aca="false">COUNTIF(D8:D12,1)</f>
        <v>5</v>
      </c>
      <c r="E14" s="71" t="n">
        <f aca="false">COUNTIF(E8:E12,1)</f>
        <v>1</v>
      </c>
      <c r="F14" s="71" t="n">
        <f aca="false">COUNTIF(F8:F12,1)</f>
        <v>0</v>
      </c>
      <c r="G14" s="71" t="n">
        <f aca="false">COUNTIF(G8:G12,1)</f>
        <v>5</v>
      </c>
      <c r="H14" s="71" t="n">
        <f aca="false">SUM(H8:H12)</f>
        <v>16</v>
      </c>
      <c r="I14" s="71" t="n">
        <f aca="false">COUNTIF(I8:I12,1)</f>
        <v>5</v>
      </c>
      <c r="J14" s="71" t="n">
        <f aca="false">COUNTIF(J8:J12,1)</f>
        <v>5</v>
      </c>
      <c r="K14" s="71" t="n">
        <f aca="false">COUNTIF(K8:K12,1)</f>
        <v>1</v>
      </c>
      <c r="L14" s="71" t="n">
        <f aca="false">COUNTIF(L8:L12,1)</f>
        <v>3</v>
      </c>
      <c r="M14" s="71" t="n">
        <f aca="false">COUNTIF(M8:M12,1)</f>
        <v>1</v>
      </c>
      <c r="N14" s="71" t="n">
        <f aca="false">COUNTIF(N8:N12,1)</f>
        <v>0</v>
      </c>
      <c r="O14" s="71" t="n">
        <f aca="false">COUNTIF(O8:O12,1)</f>
        <v>0</v>
      </c>
      <c r="P14" s="71" t="n">
        <f aca="false">COUNTIF(P8:P12,1)</f>
        <v>4</v>
      </c>
      <c r="Q14" s="71" t="n">
        <f aca="false">COUNTIF(Q8:Q12,1)</f>
        <v>0</v>
      </c>
      <c r="R14" s="71" t="n">
        <f aca="false">SUM(R8:R12)</f>
        <v>19</v>
      </c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</row>
    <row r="15" customFormat="false" ht="21.75" hidden="false" customHeight="true" outlineLevel="0" collapsed="false">
      <c r="A15" s="5" t="s">
        <v>149</v>
      </c>
      <c r="B15" s="5"/>
      <c r="C15" s="73"/>
      <c r="D15" s="73"/>
      <c r="E15" s="73"/>
      <c r="F15" s="73"/>
      <c r="G15" s="73"/>
      <c r="H15" s="74" t="n">
        <f aca="false">IFERROR(AVERAGE(H8:H12),0)</f>
        <v>3.2</v>
      </c>
      <c r="I15" s="73"/>
      <c r="J15" s="73"/>
      <c r="K15" s="73"/>
      <c r="L15" s="73"/>
      <c r="M15" s="73"/>
      <c r="N15" s="73"/>
      <c r="O15" s="73"/>
      <c r="P15" s="73"/>
      <c r="Q15" s="73"/>
      <c r="R15" s="74" t="n">
        <f aca="false">IFERROR(AVERAGE(R8:R12),0)</f>
        <v>3.8</v>
      </c>
      <c r="S15" s="74" t="n">
        <f aca="false">IFERROR(AVERAGE(S8:S12),0)</f>
        <v>3</v>
      </c>
      <c r="T15" s="73"/>
      <c r="U15" s="74" t="str">
        <f aca="false">IFERROR(AVERAGEIF(U8:U12,"&lt;&gt;—"),"")</f>
        <v/>
      </c>
      <c r="V15" s="74" t="str">
        <f aca="false">IFERROR(AVERAGEIF(V8:V12,"&lt;&gt;—"),"")</f>
        <v/>
      </c>
      <c r="W15" s="74" t="str">
        <f aca="false">IFERROR(AVERAGEIF(W8:W12,"&lt;&gt;—"),"")</f>
        <v/>
      </c>
      <c r="X15" s="74" t="str">
        <f aca="false">IFERROR(AVERAGEIF(X8:X12,"&lt;&gt;—"),"")</f>
        <v/>
      </c>
      <c r="Y15" s="74" t="str">
        <f aca="false">IFERROR(AVERAGEIF(Y8:Y12,"&lt;&gt;—"),"")</f>
        <v/>
      </c>
      <c r="Z15" s="74" t="str">
        <f aca="false">IFERROR(AVERAGEIF(Z8:Z12,"&lt;&gt;—"),"")</f>
        <v/>
      </c>
      <c r="AA15" s="74" t="str">
        <f aca="false">IFERROR(AVERAGEIF(AA8:AA12,"&lt;&gt;—"),"")</f>
        <v/>
      </c>
      <c r="AB15" s="74" t="str">
        <f aca="false">IFERROR(AVERAGEIF(AB8:AB12,"&lt;&gt;—"),"")</f>
        <v/>
      </c>
      <c r="AC15" s="74" t="str">
        <f aca="false">IFERROR(AVERAGEIF(AC8:AC12,"&lt;&gt;—"),"")</f>
        <v/>
      </c>
      <c r="AD15" s="74" t="str">
        <f aca="false">IFERROR(AVERAGEIF(AD8:AD12,"&lt;&gt;—"),"")</f>
        <v/>
      </c>
      <c r="AE15" s="74" t="str">
        <f aca="false">IFERROR(AVERAGEIF(AE8:AE12,"&lt;&gt;—"),"")</f>
        <v/>
      </c>
      <c r="AF15" s="74" t="str">
        <f aca="false">IFERROR(AVERAGEIF(AF8:AF12,"&lt;&gt;—"),"")</f>
        <v/>
      </c>
      <c r="AG15" s="74" t="str">
        <f aca="false">IFERROR(AVERAGEIF(AG8:AG12,"&lt;&gt;—"),"")</f>
        <v/>
      </c>
      <c r="AH15" s="74" t="str">
        <f aca="false">IFERROR(AVERAGEIF(AH8:AH12,"&lt;&gt;—"),"")</f>
        <v/>
      </c>
      <c r="AI15" s="74" t="str">
        <f aca="false">IFERROR(AVERAGEIF(AI8:AI12,"&lt;&gt;—"),"")</f>
        <v/>
      </c>
    </row>
  </sheetData>
  <mergeCells count="9">
    <mergeCell ref="A1:AI1"/>
    <mergeCell ref="A2:AI2"/>
    <mergeCell ref="C4:G4"/>
    <mergeCell ref="I4:Q4"/>
    <mergeCell ref="U4:AF4"/>
    <mergeCell ref="AG4:AI4"/>
    <mergeCell ref="A7:AI7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8" min="3" style="1" width="10"/>
    <col collapsed="false" customWidth="true" hidden="false" outlineLevel="0" max="18" min="9" style="1" width="11"/>
    <col collapsed="false" customWidth="true" hidden="false" outlineLevel="0" max="20" min="19" style="1" width="9"/>
    <col collapsed="false" customWidth="true" hidden="false" outlineLevel="0" max="35" min="21" style="1" width="8"/>
  </cols>
  <sheetData>
    <row r="1" customFormat="false" ht="36" hidden="false" customHeight="true" outlineLevel="0" collapsed="false">
      <c r="A1" s="41" t="s">
        <v>199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customFormat="false" ht="13.5" hidden="false" customHeight="true" outlineLevel="0" collapsed="false">
      <c r="A2" s="42" t="s">
        <v>79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</row>
    <row r="3" customFormat="false" ht="4.5" hidden="false" customHeight="true" outlineLevel="0" collapsed="false"/>
    <row r="4" customFormat="false" ht="21.75" hidden="false" customHeight="true" outlineLevel="0" collapsed="false">
      <c r="A4" s="43"/>
      <c r="B4" s="43"/>
      <c r="C4" s="5" t="s">
        <v>80</v>
      </c>
      <c r="D4" s="5"/>
      <c r="E4" s="5"/>
      <c r="F4" s="5"/>
      <c r="G4" s="5"/>
      <c r="H4" s="44" t="s">
        <v>81</v>
      </c>
      <c r="I4" s="6" t="s">
        <v>82</v>
      </c>
      <c r="J4" s="6"/>
      <c r="K4" s="6"/>
      <c r="L4" s="6"/>
      <c r="M4" s="6"/>
      <c r="N4" s="6"/>
      <c r="O4" s="6"/>
      <c r="P4" s="6"/>
      <c r="Q4" s="6"/>
      <c r="R4" s="45" t="s">
        <v>83</v>
      </c>
      <c r="S4" s="46" t="s">
        <v>84</v>
      </c>
      <c r="T4" s="47" t="s">
        <v>9</v>
      </c>
      <c r="U4" s="5" t="s">
        <v>85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8" t="s">
        <v>86</v>
      </c>
      <c r="AH4" s="48"/>
      <c r="AI4" s="48"/>
    </row>
    <row r="5" customFormat="false" ht="30" hidden="false" customHeight="true" outlineLevel="0" collapsed="false">
      <c r="A5" s="10" t="s">
        <v>87</v>
      </c>
      <c r="B5" s="10" t="s">
        <v>88</v>
      </c>
      <c r="C5" s="49" t="s">
        <v>89</v>
      </c>
      <c r="D5" s="49" t="s">
        <v>90</v>
      </c>
      <c r="E5" s="49" t="s">
        <v>91</v>
      </c>
      <c r="F5" s="49" t="s">
        <v>92</v>
      </c>
      <c r="G5" s="49" t="s">
        <v>93</v>
      </c>
      <c r="H5" s="44" t="s">
        <v>94</v>
      </c>
      <c r="I5" s="50" t="s">
        <v>95</v>
      </c>
      <c r="J5" s="50" t="s">
        <v>96</v>
      </c>
      <c r="K5" s="50" t="s">
        <v>97</v>
      </c>
      <c r="L5" s="50" t="s">
        <v>98</v>
      </c>
      <c r="M5" s="50" t="s">
        <v>99</v>
      </c>
      <c r="N5" s="50" t="s">
        <v>100</v>
      </c>
      <c r="O5" s="50" t="s">
        <v>101</v>
      </c>
      <c r="P5" s="50" t="s">
        <v>102</v>
      </c>
      <c r="Q5" s="50" t="s">
        <v>103</v>
      </c>
      <c r="R5" s="45" t="s">
        <v>104</v>
      </c>
      <c r="S5" s="46" t="s">
        <v>105</v>
      </c>
      <c r="T5" s="51" t="s">
        <v>106</v>
      </c>
      <c r="U5" s="52" t="s">
        <v>107</v>
      </c>
      <c r="V5" s="52" t="s">
        <v>108</v>
      </c>
      <c r="W5" s="52" t="s">
        <v>109</v>
      </c>
      <c r="X5" s="52" t="s">
        <v>110</v>
      </c>
      <c r="Y5" s="52" t="s">
        <v>111</v>
      </c>
      <c r="Z5" s="52" t="s">
        <v>112</v>
      </c>
      <c r="AA5" s="52" t="s">
        <v>113</v>
      </c>
      <c r="AB5" s="52" t="s">
        <v>114</v>
      </c>
      <c r="AC5" s="52" t="s">
        <v>115</v>
      </c>
      <c r="AD5" s="52" t="s">
        <v>116</v>
      </c>
      <c r="AE5" s="52" t="s">
        <v>117</v>
      </c>
      <c r="AF5" s="52" t="s">
        <v>118</v>
      </c>
      <c r="AG5" s="53" t="s">
        <v>119</v>
      </c>
      <c r="AH5" s="53" t="s">
        <v>120</v>
      </c>
      <c r="AI5" s="53" t="s">
        <v>121</v>
      </c>
    </row>
    <row r="6" customFormat="false" ht="15.75" hidden="false" customHeight="true" outlineLevel="0" collapsed="false">
      <c r="A6" s="54"/>
      <c r="B6" s="55" t="s">
        <v>122</v>
      </c>
      <c r="C6" s="56" t="s">
        <v>123</v>
      </c>
      <c r="D6" s="56" t="s">
        <v>124</v>
      </c>
      <c r="E6" s="56" t="s">
        <v>125</v>
      </c>
      <c r="F6" s="56" t="s">
        <v>126</v>
      </c>
      <c r="G6" s="56" t="s">
        <v>127</v>
      </c>
      <c r="H6" s="13"/>
      <c r="I6" s="56" t="s">
        <v>128</v>
      </c>
      <c r="J6" s="56" t="s">
        <v>129</v>
      </c>
      <c r="K6" s="56" t="s">
        <v>130</v>
      </c>
      <c r="L6" s="56" t="s">
        <v>131</v>
      </c>
      <c r="M6" s="56" t="s">
        <v>132</v>
      </c>
      <c r="N6" s="56" t="s">
        <v>133</v>
      </c>
      <c r="O6" s="56" t="s">
        <v>134</v>
      </c>
      <c r="P6" s="56" t="s">
        <v>135</v>
      </c>
      <c r="Q6" s="56" t="s">
        <v>136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customFormat="false" ht="13.5" hidden="false" customHeight="true" outlineLevel="0" collapsed="false">
      <c r="A7" s="57" t="s">
        <v>137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</row>
    <row r="8" customFormat="false" ht="19.5" hidden="false" customHeight="true" outlineLevel="0" collapsed="false">
      <c r="A8" s="58" t="s">
        <v>138</v>
      </c>
      <c r="B8" s="35" t="s">
        <v>200</v>
      </c>
      <c r="C8" s="59" t="n">
        <v>1</v>
      </c>
      <c r="D8" s="59" t="n">
        <v>1</v>
      </c>
      <c r="E8" s="60" t="n">
        <v>0</v>
      </c>
      <c r="F8" s="60" t="n">
        <v>0</v>
      </c>
      <c r="G8" s="59" t="n">
        <v>1</v>
      </c>
      <c r="H8" s="61" t="n">
        <f aca="false">COUNTIF(C8:G8,1)</f>
        <v>3</v>
      </c>
      <c r="I8" s="62" t="n">
        <v>1</v>
      </c>
      <c r="J8" s="62" t="n">
        <v>1</v>
      </c>
      <c r="K8" s="62" t="n">
        <v>1</v>
      </c>
      <c r="L8" s="62" t="n">
        <v>1</v>
      </c>
      <c r="M8" s="60" t="n">
        <v>0</v>
      </c>
      <c r="N8" s="60" t="n">
        <v>0</v>
      </c>
      <c r="O8" s="60" t="n">
        <v>0</v>
      </c>
      <c r="P8" s="62" t="n">
        <v>1</v>
      </c>
      <c r="Q8" s="60" t="n">
        <v>0</v>
      </c>
      <c r="R8" s="63" t="n">
        <f aca="false">COUNTIF(I8:Q8,1)</f>
        <v>5</v>
      </c>
      <c r="S8" s="64" t="n">
        <f aca="false">IF(AND(H8&gt;=2,R8&gt;=2),3,IF(OR(AND(H8&gt;=2,R8=1),R8&gt;=2),2,IF(OR(H8&gt;=2,R8&gt;=1),1,0)))</f>
        <v>3</v>
      </c>
      <c r="T8" s="65" t="str">
        <f aca="false">IF(S8=0,"—",TEXT(S8,"0"))</f>
        <v>3</v>
      </c>
      <c r="U8" s="66" t="str">
        <f aca="false">IF(S8=0,"—",TEXT(S8,"0"))</f>
        <v>3</v>
      </c>
      <c r="V8" s="66" t="str">
        <f aca="false">IF(S8=0,"—",TEXT(S8,"0"))</f>
        <v>3</v>
      </c>
      <c r="W8" s="67" t="s">
        <v>16</v>
      </c>
      <c r="X8" s="67" t="s">
        <v>16</v>
      </c>
      <c r="Y8" s="66" t="str">
        <f aca="false">IF(S8=0,"—",TEXT(S8,"0"))</f>
        <v>3</v>
      </c>
      <c r="Z8" s="67" t="s">
        <v>16</v>
      </c>
      <c r="AA8" s="67" t="s">
        <v>16</v>
      </c>
      <c r="AB8" s="67" t="s">
        <v>16</v>
      </c>
      <c r="AC8" s="67" t="s">
        <v>16</v>
      </c>
      <c r="AD8" s="67" t="s">
        <v>16</v>
      </c>
      <c r="AE8" s="67" t="s">
        <v>16</v>
      </c>
      <c r="AF8" s="66" t="str">
        <f aca="false">IF(S8=0,"—",TEXT(S8,"0"))</f>
        <v>3</v>
      </c>
      <c r="AG8" s="66" t="str">
        <f aca="false">IF(S8=0,"—",TEXT(S8,"0"))</f>
        <v>3</v>
      </c>
      <c r="AH8" s="66" t="str">
        <f aca="false">IF(S8=0,"—",TEXT(S8,"0"))</f>
        <v>3</v>
      </c>
      <c r="AI8" s="67" t="s">
        <v>16</v>
      </c>
    </row>
    <row r="9" customFormat="false" ht="19.5" hidden="false" customHeight="true" outlineLevel="0" collapsed="false">
      <c r="A9" s="58" t="s">
        <v>140</v>
      </c>
      <c r="B9" s="37" t="s">
        <v>201</v>
      </c>
      <c r="C9" s="59" t="n">
        <v>1</v>
      </c>
      <c r="D9" s="59" t="n">
        <v>1</v>
      </c>
      <c r="E9" s="59" t="n">
        <v>1</v>
      </c>
      <c r="F9" s="60" t="n">
        <v>0</v>
      </c>
      <c r="G9" s="59" t="n">
        <v>1</v>
      </c>
      <c r="H9" s="61" t="n">
        <f aca="false">COUNTIF(C9:G9,1)</f>
        <v>4</v>
      </c>
      <c r="I9" s="62" t="n">
        <v>1</v>
      </c>
      <c r="J9" s="62" t="n">
        <v>1</v>
      </c>
      <c r="K9" s="62" t="n">
        <v>1</v>
      </c>
      <c r="L9" s="62" t="n">
        <v>1</v>
      </c>
      <c r="M9" s="60" t="n">
        <v>0</v>
      </c>
      <c r="N9" s="60" t="n">
        <v>0</v>
      </c>
      <c r="O9" s="60" t="n">
        <v>0</v>
      </c>
      <c r="P9" s="62" t="n">
        <v>1</v>
      </c>
      <c r="Q9" s="60" t="n">
        <v>0</v>
      </c>
      <c r="R9" s="63" t="n">
        <f aca="false">COUNTIF(I9:Q9,1)</f>
        <v>5</v>
      </c>
      <c r="S9" s="64" t="n">
        <f aca="false">IF(AND(H9&gt;=2,R9&gt;=2),3,IF(OR(AND(H9&gt;=2,R9=1),R9&gt;=2),2,IF(OR(H9&gt;=2,R9&gt;=1),1,0)))</f>
        <v>3</v>
      </c>
      <c r="T9" s="65" t="str">
        <f aca="false">IF(S9=0,"—",TEXT(S9,"0"))</f>
        <v>3</v>
      </c>
      <c r="U9" s="68" t="str">
        <f aca="false">IF(S9=0,"—",TEXT(S9,"0"))</f>
        <v>3</v>
      </c>
      <c r="V9" s="68" t="str">
        <f aca="false">IF(S9=0,"—",TEXT(S9,"0"))</f>
        <v>3</v>
      </c>
      <c r="W9" s="68" t="str">
        <f aca="false">IF(S9=0,"—",TEXT(S9,"0"))</f>
        <v>3</v>
      </c>
      <c r="X9" s="69" t="s">
        <v>16</v>
      </c>
      <c r="Y9" s="68" t="str">
        <f aca="false">IF(S9=0,"—",TEXT(S9,"0"))</f>
        <v>3</v>
      </c>
      <c r="Z9" s="69" t="s">
        <v>16</v>
      </c>
      <c r="AA9" s="69" t="s">
        <v>16</v>
      </c>
      <c r="AB9" s="69" t="s">
        <v>16</v>
      </c>
      <c r="AC9" s="69" t="s">
        <v>16</v>
      </c>
      <c r="AD9" s="69" t="s">
        <v>16</v>
      </c>
      <c r="AE9" s="69" t="s">
        <v>16</v>
      </c>
      <c r="AF9" s="68" t="str">
        <f aca="false">IF(S9=0,"—",TEXT(S9,"0"))</f>
        <v>3</v>
      </c>
      <c r="AG9" s="68" t="str">
        <f aca="false">IF(S9=0,"—",TEXT(S9,"0"))</f>
        <v>3</v>
      </c>
      <c r="AH9" s="68" t="str">
        <f aca="false">IF(S9=0,"—",TEXT(S9,"0"))</f>
        <v>3</v>
      </c>
      <c r="AI9" s="69" t="s">
        <v>16</v>
      </c>
    </row>
    <row r="10" customFormat="false" ht="19.5" hidden="false" customHeight="true" outlineLevel="0" collapsed="false">
      <c r="A10" s="58" t="s">
        <v>142</v>
      </c>
      <c r="B10" s="35" t="s">
        <v>202</v>
      </c>
      <c r="C10" s="59" t="n">
        <v>1</v>
      </c>
      <c r="D10" s="59" t="n">
        <v>1</v>
      </c>
      <c r="E10" s="60" t="n">
        <v>0</v>
      </c>
      <c r="F10" s="60" t="n">
        <v>0</v>
      </c>
      <c r="G10" s="59" t="n">
        <v>1</v>
      </c>
      <c r="H10" s="61" t="n">
        <f aca="false">COUNTIF(C10:G10,1)</f>
        <v>3</v>
      </c>
      <c r="I10" s="62" t="n">
        <v>1</v>
      </c>
      <c r="J10" s="62" t="n">
        <v>1</v>
      </c>
      <c r="K10" s="62" t="n">
        <v>1</v>
      </c>
      <c r="L10" s="62" t="n">
        <v>1</v>
      </c>
      <c r="M10" s="62" t="n">
        <v>1</v>
      </c>
      <c r="N10" s="60" t="n">
        <v>0</v>
      </c>
      <c r="O10" s="62" t="n">
        <v>1</v>
      </c>
      <c r="P10" s="62" t="n">
        <v>1</v>
      </c>
      <c r="Q10" s="60" t="n">
        <v>0</v>
      </c>
      <c r="R10" s="63" t="n">
        <f aca="false">COUNTIF(I10:Q10,1)</f>
        <v>7</v>
      </c>
      <c r="S10" s="64" t="n">
        <f aca="false">IF(AND(H10&gt;=2,R10&gt;=2),3,IF(OR(AND(H10&gt;=2,R10=1),R10&gt;=2),2,IF(OR(H10&gt;=2,R10&gt;=1),1,0)))</f>
        <v>3</v>
      </c>
      <c r="T10" s="65" t="str">
        <f aca="false">IF(S10=0,"—",TEXT(S10,"0"))</f>
        <v>3</v>
      </c>
      <c r="U10" s="66" t="str">
        <f aca="false">IF(S10=0,"—",TEXT(S10,"0"))</f>
        <v>3</v>
      </c>
      <c r="V10" s="66" t="str">
        <f aca="false">IF(S10=0,"—",TEXT(S10,"0"))</f>
        <v>3</v>
      </c>
      <c r="W10" s="66" t="str">
        <f aca="false">IF(S10=0,"—",TEXT(S10,"0"))</f>
        <v>3</v>
      </c>
      <c r="X10" s="67" t="s">
        <v>16</v>
      </c>
      <c r="Y10" s="66" t="str">
        <f aca="false">IF(S10=0,"—",TEXT(S10,"0"))</f>
        <v>3</v>
      </c>
      <c r="Z10" s="67" t="s">
        <v>16</v>
      </c>
      <c r="AA10" s="67" t="s">
        <v>16</v>
      </c>
      <c r="AB10" s="67" t="s">
        <v>16</v>
      </c>
      <c r="AC10" s="67" t="s">
        <v>16</v>
      </c>
      <c r="AD10" s="67" t="s">
        <v>16</v>
      </c>
      <c r="AE10" s="67" t="s">
        <v>16</v>
      </c>
      <c r="AF10" s="66" t="str">
        <f aca="false">IF(S10=0,"—",TEXT(S10,"0"))</f>
        <v>3</v>
      </c>
      <c r="AG10" s="66" t="str">
        <f aca="false">IF(S10=0,"—",TEXT(S10,"0"))</f>
        <v>3</v>
      </c>
      <c r="AH10" s="66" t="str">
        <f aca="false">IF(S10=0,"—",TEXT(S10,"0"))</f>
        <v>3</v>
      </c>
      <c r="AI10" s="66" t="str">
        <f aca="false">IF(S10=0,"—",TEXT(S10,"0"))</f>
        <v>3</v>
      </c>
    </row>
    <row r="11" customFormat="false" ht="19.5" hidden="false" customHeight="true" outlineLevel="0" collapsed="false">
      <c r="A11" s="58" t="s">
        <v>144</v>
      </c>
      <c r="B11" s="37" t="s">
        <v>203</v>
      </c>
      <c r="C11" s="59" t="n">
        <v>1</v>
      </c>
      <c r="D11" s="59" t="n">
        <v>1</v>
      </c>
      <c r="E11" s="60" t="n">
        <v>0</v>
      </c>
      <c r="F11" s="60" t="n">
        <v>0</v>
      </c>
      <c r="G11" s="59" t="n">
        <v>1</v>
      </c>
      <c r="H11" s="61" t="n">
        <f aca="false">COUNTIF(C11:G11,1)</f>
        <v>3</v>
      </c>
      <c r="I11" s="62" t="n">
        <v>1</v>
      </c>
      <c r="J11" s="62" t="n">
        <v>1</v>
      </c>
      <c r="K11" s="62" t="n">
        <v>1</v>
      </c>
      <c r="L11" s="62" t="n">
        <v>1</v>
      </c>
      <c r="M11" s="60" t="n">
        <v>0</v>
      </c>
      <c r="N11" s="60" t="n">
        <v>0</v>
      </c>
      <c r="O11" s="60" t="n">
        <v>0</v>
      </c>
      <c r="P11" s="62" t="n">
        <v>1</v>
      </c>
      <c r="Q11" s="60" t="n">
        <v>0</v>
      </c>
      <c r="R11" s="63" t="n">
        <f aca="false">COUNTIF(I11:Q11,1)</f>
        <v>5</v>
      </c>
      <c r="S11" s="64" t="n">
        <f aca="false">IF(AND(H11&gt;=2,R11&gt;=2),3,IF(OR(AND(H11&gt;=2,R11=1),R11&gt;=2),2,IF(OR(H11&gt;=2,R11&gt;=1),1,0)))</f>
        <v>3</v>
      </c>
      <c r="T11" s="65" t="str">
        <f aca="false">IF(S11=0,"—",TEXT(S11,"0"))</f>
        <v>3</v>
      </c>
      <c r="U11" s="68" t="str">
        <f aca="false">IF(S11=0,"—",TEXT(S11,"0"))</f>
        <v>3</v>
      </c>
      <c r="V11" s="68" t="str">
        <f aca="false">IF(S11=0,"—",TEXT(S11,"0"))</f>
        <v>3</v>
      </c>
      <c r="W11" s="69" t="s">
        <v>16</v>
      </c>
      <c r="X11" s="68" t="str">
        <f aca="false">IF(S11=0,"—",TEXT(S11,"0"))</f>
        <v>3</v>
      </c>
      <c r="Y11" s="68" t="str">
        <f aca="false">IF(S11=0,"—",TEXT(S11,"0"))</f>
        <v>3</v>
      </c>
      <c r="Z11" s="69" t="s">
        <v>16</v>
      </c>
      <c r="AA11" s="69" t="s">
        <v>16</v>
      </c>
      <c r="AB11" s="69" t="s">
        <v>16</v>
      </c>
      <c r="AC11" s="69" t="s">
        <v>16</v>
      </c>
      <c r="AD11" s="69" t="s">
        <v>16</v>
      </c>
      <c r="AE11" s="69" t="s">
        <v>16</v>
      </c>
      <c r="AF11" s="68" t="str">
        <f aca="false">IF(S11=0,"—",TEXT(S11,"0"))</f>
        <v>3</v>
      </c>
      <c r="AG11" s="68" t="str">
        <f aca="false">IF(S11=0,"—",TEXT(S11,"0"))</f>
        <v>3</v>
      </c>
      <c r="AH11" s="68" t="str">
        <f aca="false">IF(S11=0,"—",TEXT(S11,"0"))</f>
        <v>3</v>
      </c>
      <c r="AI11" s="69" t="s">
        <v>16</v>
      </c>
    </row>
    <row r="12" customFormat="false" ht="19.5" hidden="false" customHeight="true" outlineLevel="0" collapsed="false">
      <c r="A12" s="58" t="s">
        <v>146</v>
      </c>
      <c r="B12" s="35" t="s">
        <v>204</v>
      </c>
      <c r="C12" s="59" t="n">
        <v>1</v>
      </c>
      <c r="D12" s="59" t="n">
        <v>1</v>
      </c>
      <c r="E12" s="60" t="n">
        <v>0</v>
      </c>
      <c r="F12" s="59" t="n">
        <v>1</v>
      </c>
      <c r="G12" s="59" t="n">
        <v>1</v>
      </c>
      <c r="H12" s="61" t="n">
        <f aca="false">COUNTIF(C12:G12,1)</f>
        <v>4</v>
      </c>
      <c r="I12" s="62" t="n">
        <v>1</v>
      </c>
      <c r="J12" s="62" t="n">
        <v>1</v>
      </c>
      <c r="K12" s="62" t="n">
        <v>1</v>
      </c>
      <c r="L12" s="62" t="n">
        <v>1</v>
      </c>
      <c r="M12" s="60" t="n">
        <v>0</v>
      </c>
      <c r="N12" s="60" t="n">
        <v>0</v>
      </c>
      <c r="O12" s="60" t="n">
        <v>0</v>
      </c>
      <c r="P12" s="62" t="n">
        <v>1</v>
      </c>
      <c r="Q12" s="60" t="n">
        <v>0</v>
      </c>
      <c r="R12" s="63" t="n">
        <f aca="false">COUNTIF(I12:Q12,1)</f>
        <v>5</v>
      </c>
      <c r="S12" s="64" t="n">
        <f aca="false">IF(AND(H12&gt;=2,R12&gt;=2),3,IF(OR(AND(H12&gt;=2,R12=1),R12&gt;=2),2,IF(OR(H12&gt;=2,R12&gt;=1),1,0)))</f>
        <v>3</v>
      </c>
      <c r="T12" s="65" t="str">
        <f aca="false">IF(S12=0,"—",TEXT(S12,"0"))</f>
        <v>3</v>
      </c>
      <c r="U12" s="66" t="str">
        <f aca="false">IF(S12=0,"—",TEXT(S12,"0"))</f>
        <v>3</v>
      </c>
      <c r="V12" s="66" t="str">
        <f aca="false">IF(S12=0,"—",TEXT(S12,"0"))</f>
        <v>3</v>
      </c>
      <c r="W12" s="66" t="str">
        <f aca="false">IF(S12=0,"—",TEXT(S12,"0"))</f>
        <v>3</v>
      </c>
      <c r="X12" s="66" t="str">
        <f aca="false">IF(S12=0,"—",TEXT(S12,"0"))</f>
        <v>3</v>
      </c>
      <c r="Y12" s="66" t="str">
        <f aca="false">IF(S12=0,"—",TEXT(S12,"0"))</f>
        <v>3</v>
      </c>
      <c r="Z12" s="67" t="s">
        <v>16</v>
      </c>
      <c r="AA12" s="67" t="s">
        <v>16</v>
      </c>
      <c r="AB12" s="67" t="s">
        <v>16</v>
      </c>
      <c r="AC12" s="67" t="s">
        <v>16</v>
      </c>
      <c r="AD12" s="67" t="s">
        <v>16</v>
      </c>
      <c r="AE12" s="67" t="s">
        <v>16</v>
      </c>
      <c r="AF12" s="66" t="str">
        <f aca="false">IF(S12=0,"—",TEXT(S12,"0"))</f>
        <v>3</v>
      </c>
      <c r="AG12" s="66" t="str">
        <f aca="false">IF(S12=0,"—",TEXT(S12,"0"))</f>
        <v>3</v>
      </c>
      <c r="AH12" s="66" t="str">
        <f aca="false">IF(S12=0,"—",TEXT(S12,"0"))</f>
        <v>3</v>
      </c>
      <c r="AI12" s="67" t="s">
        <v>16</v>
      </c>
    </row>
    <row r="13" customFormat="false" ht="19.5" hidden="false" customHeight="true" outlineLevel="0" collapsed="false">
      <c r="A13" s="58" t="s">
        <v>178</v>
      </c>
      <c r="B13" s="37" t="s">
        <v>205</v>
      </c>
      <c r="C13" s="59" t="n">
        <v>1</v>
      </c>
      <c r="D13" s="59" t="n">
        <v>1</v>
      </c>
      <c r="E13" s="60" t="n">
        <v>0</v>
      </c>
      <c r="F13" s="60" t="n">
        <v>0</v>
      </c>
      <c r="G13" s="59" t="n">
        <v>1</v>
      </c>
      <c r="H13" s="61" t="n">
        <f aca="false">COUNTIF(C13:G13,1)</f>
        <v>3</v>
      </c>
      <c r="I13" s="62" t="n">
        <v>1</v>
      </c>
      <c r="J13" s="62" t="n">
        <v>1</v>
      </c>
      <c r="K13" s="62" t="n">
        <v>1</v>
      </c>
      <c r="L13" s="62" t="n">
        <v>1</v>
      </c>
      <c r="M13" s="62" t="n">
        <v>1</v>
      </c>
      <c r="N13" s="60" t="n">
        <v>0</v>
      </c>
      <c r="O13" s="62" t="n">
        <v>1</v>
      </c>
      <c r="P13" s="62" t="n">
        <v>1</v>
      </c>
      <c r="Q13" s="62" t="n">
        <v>1</v>
      </c>
      <c r="R13" s="63" t="n">
        <f aca="false">COUNTIF(I13:Q13,1)</f>
        <v>8</v>
      </c>
      <c r="S13" s="64" t="n">
        <f aca="false">IF(AND(H13&gt;=2,R13&gt;=2),3,IF(OR(AND(H13&gt;=2,R13=1),R13&gt;=2),2,IF(OR(H13&gt;=2,R13&gt;=1),1,0)))</f>
        <v>3</v>
      </c>
      <c r="T13" s="65" t="str">
        <f aca="false">IF(S13=0,"—",TEXT(S13,"0"))</f>
        <v>3</v>
      </c>
      <c r="U13" s="68" t="str">
        <f aca="false">IF(S13=0,"—",TEXT(S13,"0"))</f>
        <v>3</v>
      </c>
      <c r="V13" s="68" t="str">
        <f aca="false">IF(S13=0,"—",TEXT(S13,"0"))</f>
        <v>3</v>
      </c>
      <c r="W13" s="68" t="str">
        <f aca="false">IF(S13=0,"—",TEXT(S13,"0"))</f>
        <v>3</v>
      </c>
      <c r="X13" s="68" t="str">
        <f aca="false">IF(S13=0,"—",TEXT(S13,"0"))</f>
        <v>3</v>
      </c>
      <c r="Y13" s="68" t="str">
        <f aca="false">IF(S13=0,"—",TEXT(S13,"0"))</f>
        <v>3</v>
      </c>
      <c r="Z13" s="69" t="s">
        <v>16</v>
      </c>
      <c r="AA13" s="69" t="s">
        <v>16</v>
      </c>
      <c r="AB13" s="68" t="str">
        <f aca="false">IF(S13=0,"—",TEXT(S13,"0"))</f>
        <v>3</v>
      </c>
      <c r="AC13" s="68" t="str">
        <f aca="false">IF(S13=0,"—",TEXT(S13,"0"))</f>
        <v>3</v>
      </c>
      <c r="AD13" s="68" t="str">
        <f aca="false">IF(S13=0,"—",TEXT(S13,"0"))</f>
        <v>3</v>
      </c>
      <c r="AE13" s="68" t="str">
        <f aca="false">IF(S13=0,"—",TEXT(S13,"0"))</f>
        <v>3</v>
      </c>
      <c r="AF13" s="68" t="str">
        <f aca="false">IF(S13=0,"—",TEXT(S13,"0"))</f>
        <v>3</v>
      </c>
      <c r="AG13" s="68" t="str">
        <f aca="false">IF(S13=0,"—",TEXT(S13,"0"))</f>
        <v>3</v>
      </c>
      <c r="AH13" s="68" t="str">
        <f aca="false">IF(S13=0,"—",TEXT(S13,"0"))</f>
        <v>3</v>
      </c>
      <c r="AI13" s="68" t="str">
        <f aca="false">IF(S13=0,"—",TEXT(S13,"0"))</f>
        <v>3</v>
      </c>
    </row>
    <row r="15" customFormat="false" ht="21.75" hidden="false" customHeight="true" outlineLevel="0" collapsed="false">
      <c r="A15" s="70" t="s">
        <v>148</v>
      </c>
      <c r="B15" s="70"/>
      <c r="C15" s="71" t="n">
        <f aca="false">COUNTIF(C8:C13,1)</f>
        <v>6</v>
      </c>
      <c r="D15" s="71" t="n">
        <f aca="false">COUNTIF(D8:D13,1)</f>
        <v>6</v>
      </c>
      <c r="E15" s="71" t="n">
        <f aca="false">COUNTIF(E8:E13,1)</f>
        <v>1</v>
      </c>
      <c r="F15" s="71" t="n">
        <f aca="false">COUNTIF(F8:F13,1)</f>
        <v>1</v>
      </c>
      <c r="G15" s="71" t="n">
        <f aca="false">COUNTIF(G8:G13,1)</f>
        <v>6</v>
      </c>
      <c r="H15" s="71" t="n">
        <f aca="false">SUM(H8:H13)</f>
        <v>20</v>
      </c>
      <c r="I15" s="71" t="n">
        <f aca="false">COUNTIF(I8:I13,1)</f>
        <v>6</v>
      </c>
      <c r="J15" s="71" t="n">
        <f aca="false">COUNTIF(J8:J13,1)</f>
        <v>6</v>
      </c>
      <c r="K15" s="71" t="n">
        <f aca="false">COUNTIF(K8:K13,1)</f>
        <v>6</v>
      </c>
      <c r="L15" s="71" t="n">
        <f aca="false">COUNTIF(L8:L13,1)</f>
        <v>6</v>
      </c>
      <c r="M15" s="71" t="n">
        <f aca="false">COUNTIF(M8:M13,1)</f>
        <v>2</v>
      </c>
      <c r="N15" s="71" t="n">
        <f aca="false">COUNTIF(N8:N13,1)</f>
        <v>0</v>
      </c>
      <c r="O15" s="71" t="n">
        <f aca="false">COUNTIF(O8:O13,1)</f>
        <v>2</v>
      </c>
      <c r="P15" s="71" t="n">
        <f aca="false">COUNTIF(P8:P13,1)</f>
        <v>6</v>
      </c>
      <c r="Q15" s="71" t="n">
        <f aca="false">COUNTIF(Q8:Q13,1)</f>
        <v>1</v>
      </c>
      <c r="R15" s="71" t="n">
        <f aca="false">SUM(R8:R13)</f>
        <v>35</v>
      </c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</row>
    <row r="16" customFormat="false" ht="21.75" hidden="false" customHeight="true" outlineLevel="0" collapsed="false">
      <c r="A16" s="5" t="s">
        <v>149</v>
      </c>
      <c r="B16" s="5"/>
      <c r="C16" s="73"/>
      <c r="D16" s="73"/>
      <c r="E16" s="73"/>
      <c r="F16" s="73"/>
      <c r="G16" s="73"/>
      <c r="H16" s="74" t="n">
        <f aca="false">IFERROR(AVERAGE(H8:H13),0)</f>
        <v>3.33333333333333</v>
      </c>
      <c r="I16" s="73"/>
      <c r="J16" s="73"/>
      <c r="K16" s="73"/>
      <c r="L16" s="73"/>
      <c r="M16" s="73"/>
      <c r="N16" s="73"/>
      <c r="O16" s="73"/>
      <c r="P16" s="73"/>
      <c r="Q16" s="73"/>
      <c r="R16" s="74" t="n">
        <f aca="false">IFERROR(AVERAGE(R8:R13),0)</f>
        <v>5.83333333333333</v>
      </c>
      <c r="S16" s="74" t="n">
        <f aca="false">IFERROR(AVERAGE(S8:S13),0)</f>
        <v>3</v>
      </c>
      <c r="T16" s="73"/>
      <c r="U16" s="74" t="str">
        <f aca="false">IFERROR(AVERAGEIF(U8:U13,"&lt;&gt;—"),"")</f>
        <v/>
      </c>
      <c r="V16" s="74" t="str">
        <f aca="false">IFERROR(AVERAGEIF(V8:V13,"&lt;&gt;—"),"")</f>
        <v/>
      </c>
      <c r="W16" s="74" t="str">
        <f aca="false">IFERROR(AVERAGEIF(W8:W13,"&lt;&gt;—"),"")</f>
        <v/>
      </c>
      <c r="X16" s="74" t="str">
        <f aca="false">IFERROR(AVERAGEIF(X8:X13,"&lt;&gt;—"),"")</f>
        <v/>
      </c>
      <c r="Y16" s="74" t="str">
        <f aca="false">IFERROR(AVERAGEIF(Y8:Y13,"&lt;&gt;—"),"")</f>
        <v/>
      </c>
      <c r="Z16" s="74" t="str">
        <f aca="false">IFERROR(AVERAGEIF(Z8:Z13,"&lt;&gt;—"),"")</f>
        <v/>
      </c>
      <c r="AA16" s="74" t="str">
        <f aca="false">IFERROR(AVERAGEIF(AA8:AA13,"&lt;&gt;—"),"")</f>
        <v/>
      </c>
      <c r="AB16" s="74" t="str">
        <f aca="false">IFERROR(AVERAGEIF(AB8:AB13,"&lt;&gt;—"),"")</f>
        <v/>
      </c>
      <c r="AC16" s="74" t="str">
        <f aca="false">IFERROR(AVERAGEIF(AC8:AC13,"&lt;&gt;—"),"")</f>
        <v/>
      </c>
      <c r="AD16" s="74" t="str">
        <f aca="false">IFERROR(AVERAGEIF(AD8:AD13,"&lt;&gt;—"),"")</f>
        <v/>
      </c>
      <c r="AE16" s="74" t="str">
        <f aca="false">IFERROR(AVERAGEIF(AE8:AE13,"&lt;&gt;—"),"")</f>
        <v/>
      </c>
      <c r="AF16" s="74" t="str">
        <f aca="false">IFERROR(AVERAGEIF(AF8:AF13,"&lt;&gt;—"),"")</f>
        <v/>
      </c>
      <c r="AG16" s="74" t="str">
        <f aca="false">IFERROR(AVERAGEIF(AG8:AG13,"&lt;&gt;—"),"")</f>
        <v/>
      </c>
      <c r="AH16" s="74" t="str">
        <f aca="false">IFERROR(AVERAGEIF(AH8:AH13,"&lt;&gt;—"),"")</f>
        <v/>
      </c>
      <c r="AI16" s="74" t="str">
        <f aca="false">IFERROR(AVERAGEIF(AI8:AI13,"&lt;&gt;—"),"")</f>
        <v/>
      </c>
    </row>
  </sheetData>
  <mergeCells count="9">
    <mergeCell ref="A1:AI1"/>
    <mergeCell ref="A2:AI2"/>
    <mergeCell ref="C4:G4"/>
    <mergeCell ref="I4:Q4"/>
    <mergeCell ref="U4:AF4"/>
    <mergeCell ref="AG4:AI4"/>
    <mergeCell ref="A7:AI7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2026-05-12T05:44:46Z</dcterms:created>
  <dc:creator>openpyxl</dc:creator>
  <dc:description/>
  <dc:language>en-US</dc:language>
  <cp:lastModifiedBy/>
  <dcterms:modified xsi:type="dcterms:W3CDTF">2026-05-12T05:45:00Z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