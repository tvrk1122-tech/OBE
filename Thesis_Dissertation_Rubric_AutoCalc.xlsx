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 Framework" sheetId="1" state="visible" r:id="rId3"/>
    <sheet name="Score Entry" sheetId="2" state="visible" r:id="rId4"/>
    <sheet name="Scholar Dashboard" sheetId="3" state="visible" r:id="rId5"/>
    <sheet name="Criterion Analysis" sheetId="4" state="visible" r:id="rId6"/>
    <sheet name="PO Attainment" sheetId="5" state="visible" r:id="rId7"/>
    <sheet name="Feedback Card" sheetId="6" state="visible" r:id="rId8"/>
    <sheet name="CO-PO Mapp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<sst xmlns="http://schemas.openxmlformats.org/spreadsheetml/2006/main" count="604" uniqueCount="315">
  <si>
    <t xml:space="preserve">THESIS / DISSERTATION RUBRIC  —  EVALUATION FRAMEWORK</t>
  </si>
  <si>
    <t xml:space="preserve">Postgraduate Research Programs (M.Tech / M.Phil / Ph.D)  |  Department of Computer Science &amp; Engineering  |  AY 2024-25  |  Rubrics Guidelines — Section 5: Thesis/Dissertation Rubric</t>
  </si>
  <si>
    <t xml:space="preserve">SCORING SCALE</t>
  </si>
  <si>
    <t xml:space="preserve">4  —  Excellent</t>
  </si>
  <si>
    <t xml:space="preserve">3  —  Good</t>
  </si>
  <si>
    <t xml:space="preserve">2  —  Fair</t>
  </si>
  <si>
    <t xml:space="preserve">1  —  Poor</t>
  </si>
  <si>
    <t xml:space="preserve">Weighted Marks = (Score / 4) × Criterion Max Marks  |  Total = 100 Marks  |  CO Attainment % = Total / 100  |  PO Attainment via SUMPRODUCT formula</t>
  </si>
  <si>
    <t xml:space="preserve">#</t>
  </si>
  <si>
    <t xml:space="preserve">Criterion</t>
  </si>
  <si>
    <t xml:space="preserve">Weight</t>
  </si>
  <si>
    <t xml:space="preserve">Max
Marks</t>
  </si>
  <si>
    <t xml:space="preserve">Excellent (4)</t>
  </si>
  <si>
    <t xml:space="preserve">Good (3)</t>
  </si>
  <si>
    <t xml:space="preserve">Fair (2)</t>
  </si>
  <si>
    <t xml:space="preserve">Poor (1)</t>
  </si>
  <si>
    <t xml:space="preserve">Bloom's
Level</t>
  </si>
  <si>
    <t xml:space="preserve">Skill Assessed</t>
  </si>
  <si>
    <t xml:space="preserve">Problem Identification</t>
  </si>
  <si>
    <t xml:space="preserve">Clear, significant, well-scoped research problem with strong justification and novelty</t>
  </si>
  <si>
    <t xml:space="preserve">Mostly clear problem; good justification with minor scope gaps</t>
  </si>
  <si>
    <t xml:space="preserve">Moderate clarity; problem partially defined; limited justification</t>
  </si>
  <si>
    <t xml:space="preserve">Weak or vague problem definition; no clear research gap identified</t>
  </si>
  <si>
    <t xml:space="preserve">L3–L4</t>
  </si>
  <si>
    <t xml:space="preserve">Problem Analysis &amp; Research Identification</t>
  </si>
  <si>
    <t xml:space="preserve">PO1, PO2</t>
  </si>
  <si>
    <t xml:space="preserve">Literature Review</t>
  </si>
  <si>
    <t xml:space="preserve">Comprehensive, well-structured, critically analysed review; all key works cited</t>
  </si>
  <si>
    <t xml:space="preserve">Good review covering major references; minor gaps in critical analysis</t>
  </si>
  <si>
    <t xml:space="preserve">Limited review; few references; lacks depth and critical comparison</t>
  </si>
  <si>
    <t xml:space="preserve">Weak, incomplete review; missing key works; no critical evaluation</t>
  </si>
  <si>
    <t xml:space="preserve">L4–L5</t>
  </si>
  <si>
    <t xml:space="preserve">Critical Review &amp; Synthesis</t>
  </si>
  <si>
    <t xml:space="preserve">PO1, PO2, PO12</t>
  </si>
  <si>
    <t xml:space="preserve">Research Methodology</t>
  </si>
  <si>
    <t xml:space="preserve">Scientifically rigorous, well-justified methodology; clear research design and validation</t>
  </si>
  <si>
    <t xml:space="preserve">Good methodology with logical approach; minor justification gaps</t>
  </si>
  <si>
    <t xml:space="preserve">Moderate quality; methodology partially clear; some unjustified choices</t>
  </si>
  <si>
    <t xml:space="preserve">Weak methodology; incorrect or missing research design</t>
  </si>
  <si>
    <t xml:space="preserve">Research Design &amp; Scientific Rigor</t>
  </si>
  <si>
    <t xml:space="preserve">PO3, PO4</t>
  </si>
  <si>
    <t xml:space="preserve">Data Analysis &amp; Results</t>
  </si>
  <si>
    <t xml:space="preserve">Excellent analysis; accurate interpretation; appropriate tools; validated results</t>
  </si>
  <si>
    <t xml:space="preserve">Good analysis with logical interpretation; minor inaccuracies</t>
  </si>
  <si>
    <t xml:space="preserve">Limited analysis; partially correct interpretation; weak validation</t>
  </si>
  <si>
    <t xml:space="preserve">Incorrect or missing analysis; invalid or unverified results</t>
  </si>
  <si>
    <t xml:space="preserve">Analytical Thinking &amp; Data Interpretation</t>
  </si>
  <si>
    <t xml:space="preserve">PO4, PO5</t>
  </si>
  <si>
    <t xml:space="preserve">Originality &amp; Contribution</t>
  </si>
  <si>
    <t xml:space="preserve">Highly original contribution to knowledge; novel findings with research impact</t>
  </si>
  <si>
    <t xml:space="preserve">Good contribution; some novel elements; adequate academic impact</t>
  </si>
  <si>
    <t xml:space="preserve">Limited originality; mostly derivative work with minor new elements</t>
  </si>
  <si>
    <t xml:space="preserve">No originality; plagiarized or purely reproductive work</t>
  </si>
  <si>
    <t xml:space="preserve">L5–L6</t>
  </si>
  <si>
    <t xml:space="preserve">Innovation, Creativity &amp; Research Impact</t>
  </si>
  <si>
    <t xml:space="preserve">PO3, PO12</t>
  </si>
  <si>
    <t xml:space="preserve">Technical Writing Quality</t>
  </si>
  <si>
    <t xml:space="preserve">Excellent writing; precise language; proper citations; zero ambiguity</t>
  </si>
  <si>
    <t xml:space="preserve">Good writing quality; minor grammar or citation issues</t>
  </si>
  <si>
    <t xml:space="preserve">Moderate clarity; several writing errors; inconsistent citations</t>
  </si>
  <si>
    <t xml:space="preserve">Poor writing; unclear language; missing citations; major errors</t>
  </si>
  <si>
    <t xml:space="preserve">Academic &amp; Technical Communication</t>
  </si>
  <si>
    <t xml:space="preserve">PO10</t>
  </si>
  <si>
    <t xml:space="preserve">Presentation &amp; Defense</t>
  </si>
  <si>
    <t xml:space="preserve">Excellent viva defense; confident, accurate answers; strong Q&amp;A performance</t>
  </si>
  <si>
    <t xml:space="preserve">Good defense; answers most questions; clear presentation</t>
  </si>
  <si>
    <t xml:space="preserve">Moderate performance; struggles with some questions; limited depth</t>
  </si>
  <si>
    <t xml:space="preserve">Weak defense; unable to explain research; poor Q&amp;A performance</t>
  </si>
  <si>
    <t xml:space="preserve">Oral Communication &amp; Research Defense</t>
  </si>
  <si>
    <t xml:space="preserve">PO10, PO9</t>
  </si>
  <si>
    <t xml:space="preserve">TOTAL</t>
  </si>
  <si>
    <t xml:space="preserve">100%</t>
  </si>
  <si>
    <t xml:space="preserve">100</t>
  </si>
  <si>
    <t xml:space="preserve">ATTAINMENT LEVEL SCALE</t>
  </si>
  <si>
    <t xml:space="preserve">L4 — Outstanding</t>
  </si>
  <si>
    <t xml:space="preserve">≥ 90%</t>
  </si>
  <si>
    <t xml:space="preserve">Exceptional research; publication-ready; major knowledge contribution</t>
  </si>
  <si>
    <t xml:space="preserve">L3 — Excellent</t>
  </si>
  <si>
    <t xml:space="preserve">75–89%</t>
  </si>
  <si>
    <t xml:space="preserve">High-quality research; strong methodology and originality</t>
  </si>
  <si>
    <t xml:space="preserve">L2 — Good</t>
  </si>
  <si>
    <t xml:space="preserve">60–74%</t>
  </si>
  <si>
    <t xml:space="preserve">Competent research; meets academic standards with minor gaps</t>
  </si>
  <si>
    <t xml:space="preserve">L1 — Satisfactory</t>
  </si>
  <si>
    <t xml:space="preserve">50–59%</t>
  </si>
  <si>
    <t xml:space="preserve">Acceptable research; significant areas need strengthening</t>
  </si>
  <si>
    <t xml:space="preserve">L0 — Inadequate</t>
  </si>
  <si>
    <t xml:space="preserve">&lt; 50%</t>
  </si>
  <si>
    <t xml:space="preserve">Does not meet research standards; requires major revision</t>
  </si>
  <si>
    <t xml:space="preserve">OBJECTIVES &amp; SKILLS ASSESSED</t>
  </si>
  <si>
    <t xml:space="preserve">Research Quality</t>
  </si>
  <si>
    <t xml:space="preserve">Evaluate depth, rigour and scientific validity of research work</t>
  </si>
  <si>
    <t xml:space="preserve">PO4, PO3</t>
  </si>
  <si>
    <t xml:space="preserve">Originality</t>
  </si>
  <si>
    <t xml:space="preserve">Assess novel contribution, innovation and knowledge creation</t>
  </si>
  <si>
    <t xml:space="preserve">Scientific Contribution</t>
  </si>
  <si>
    <t xml:space="preserve">Measure publication-readiness and academic impact</t>
  </si>
  <si>
    <t xml:space="preserve">PO2, PO12</t>
  </si>
  <si>
    <t xml:space="preserve">Documentation Quality</t>
  </si>
  <si>
    <t xml:space="preserve">Evaluate report structure, writing quality and citation standards</t>
  </si>
  <si>
    <t xml:space="preserve">Research Skills</t>
  </si>
  <si>
    <t xml:space="preserve">Critical thinking, scientific reasoning, problem identification</t>
  </si>
  <si>
    <t xml:space="preserve">Technical Communication</t>
  </si>
  <si>
    <t xml:space="preserve">Clarity in presentation, viva defense, Q&amp;A handling</t>
  </si>
  <si>
    <t xml:space="preserve">THESIS / DISSERTATION RUBRIC  —  SCHOLAR SCORE ENTRY SHEET</t>
  </si>
  <si>
    <t xml:space="preserve">Enter Score (1=Poor / 2=Fair / 3=Good / 4=Excellent) in YELLOW cells per criterion per scholar  |  Weighted Marks, Total, Grade, Attainment Level all auto-calculate</t>
  </si>
  <si>
    <t xml:space="preserve">Dept / Guide:</t>
  </si>
  <si>
    <t xml:space="preserve">Dept. of Computer Science &amp; Engineering</t>
  </si>
  <si>
    <t xml:space="preserve">Program Type:</t>
  </si>
  <si>
    <t xml:space="preserve">M.Tech / Ph.D Research</t>
  </si>
  <si>
    <t xml:space="preserve">Supervisor:</t>
  </si>
  <si>
    <t xml:space="preserve">Academic Year:</t>
  </si>
  <si>
    <t xml:space="preserve">2024-25</t>
  </si>
  <si>
    <t xml:space="preserve">Score Guide →</t>
  </si>
  <si>
    <t xml:space="preserve">4 = Excellent</t>
  </si>
  <si>
    <t xml:space="preserve">3 = Good</t>
  </si>
  <si>
    <t xml:space="preserve">2 = Fair</t>
  </si>
  <si>
    <t xml:space="preserve">1 = Poor</t>
  </si>
  <si>
    <t xml:space="preserve">Weighted Marks = Score / 4 × Criterion Max Marks  |  Total /100  |  Grade: O≥90  A+≥80  A≥70  B+≥60  B≥50  F&lt;50  |  CO Att = Total/100</t>
  </si>
  <si>
    <t xml:space="preserve">Scholar Information</t>
  </si>
  <si>
    <t xml:space="preserve">C1: Problem Identification
(Wt:10%  Max:10M)</t>
  </si>
  <si>
    <t xml:space="preserve">C2: Literature Review
(Wt:15%  Max:15M)</t>
  </si>
  <si>
    <t xml:space="preserve">C3: Research Methodology
(Wt:20%  Max:20M)</t>
  </si>
  <si>
    <t xml:space="preserve">C4: Data Analysis &amp; Results
(Wt:20%  Max:20M)</t>
  </si>
  <si>
    <t xml:space="preserve">C5: Originality &amp; Contribution
(Wt:15%  Max:15M)</t>
  </si>
  <si>
    <t xml:space="preserve">C6: Technical Writing Quality
(Wt:10%  Max:10M)</t>
  </si>
  <si>
    <t xml:space="preserve">C7: Presentation &amp; Defense
(Wt:10%  Max:10M)</t>
  </si>
  <si>
    <t xml:space="preserve">Total
(/100M)</t>
  </si>
  <si>
    <t xml:space="preserve">Score%</t>
  </si>
  <si>
    <t xml:space="preserve">Grade</t>
  </si>
  <si>
    <t xml:space="preserve">Level</t>
  </si>
  <si>
    <t xml:space="preserve">CO Att%</t>
  </si>
  <si>
    <t xml:space="preserve">Result</t>
  </si>
  <si>
    <t xml:space="preserve">S.No | Reg No | Scholar Name | Program</t>
  </si>
  <si>
    <t xml:space="preserve">Score
(1–4)</t>
  </si>
  <si>
    <t xml:space="preserve">Wtd
Marks</t>
  </si>
  <si>
    <t xml:space="preserve">← Max Marks per Criterion →</t>
  </si>
  <si>
    <t xml:space="preserve">Max:10</t>
  </si>
  <si>
    <t xml:space="preserve">/10M</t>
  </si>
  <si>
    <t xml:space="preserve">Max:15</t>
  </si>
  <si>
    <t xml:space="preserve">/15M</t>
  </si>
  <si>
    <t xml:space="preserve">Max:20</t>
  </si>
  <si>
    <t xml:space="preserve">/20M</t>
  </si>
  <si>
    <t xml:space="preserve">RS001</t>
  </si>
  <si>
    <t xml:space="preserve">Aarav Sharma</t>
  </si>
  <si>
    <t xml:space="preserve">M.Tech — Machine Learning</t>
  </si>
  <si>
    <t xml:space="preserve">RS002</t>
  </si>
  <si>
    <t xml:space="preserve">Priya Patel</t>
  </si>
  <si>
    <t xml:space="preserve">M.Tech — Data Science</t>
  </si>
  <si>
    <t xml:space="preserve">RS003</t>
  </si>
  <si>
    <t xml:space="preserve">Rohan Mehta</t>
  </si>
  <si>
    <t xml:space="preserve">M.Tech — Computer Networks</t>
  </si>
  <si>
    <t xml:space="preserve">RS004</t>
  </si>
  <si>
    <t xml:space="preserve">Sneha Reddy</t>
  </si>
  <si>
    <t xml:space="preserve">M.Tech — Cybersecurity</t>
  </si>
  <si>
    <t xml:space="preserve">RS005</t>
  </si>
  <si>
    <t xml:space="preserve">Vikram Singh</t>
  </si>
  <si>
    <t xml:space="preserve">M.Tech — Cloud Computing</t>
  </si>
  <si>
    <t xml:space="preserve">RS006</t>
  </si>
  <si>
    <t xml:space="preserve">Anjali Nair</t>
  </si>
  <si>
    <t xml:space="preserve">M.Tech — IoT Systems</t>
  </si>
  <si>
    <t xml:space="preserve">RS007</t>
  </si>
  <si>
    <t xml:space="preserve">Kiran Kumar</t>
  </si>
  <si>
    <t xml:space="preserve">M.Tech — Embedded AI</t>
  </si>
  <si>
    <t xml:space="preserve">RS008</t>
  </si>
  <si>
    <t xml:space="preserve">Divya Rao</t>
  </si>
  <si>
    <t xml:space="preserve">Ph.D — Natural Language Processing</t>
  </si>
  <si>
    <t xml:space="preserve">RS009</t>
  </si>
  <si>
    <t xml:space="preserve">Arjun Gupta</t>
  </si>
  <si>
    <t xml:space="preserve">Ph.D — Deep Learning</t>
  </si>
  <si>
    <t xml:space="preserve">RS010</t>
  </si>
  <si>
    <t xml:space="preserve">Pooja Iyer</t>
  </si>
  <si>
    <t xml:space="preserve">M.Tech — Bioinformatics</t>
  </si>
  <si>
    <t xml:space="preserve">RS011</t>
  </si>
  <si>
    <t xml:space="preserve">Rahul Verma</t>
  </si>
  <si>
    <t xml:space="preserve">Ph.D — Computer Vision</t>
  </si>
  <si>
    <t xml:space="preserve">RS012</t>
  </si>
  <si>
    <t xml:space="preserve">Meera Joshi</t>
  </si>
  <si>
    <t xml:space="preserve">M.Tech — Quantum Computing</t>
  </si>
  <si>
    <t xml:space="preserve">RS013</t>
  </si>
  <si>
    <t xml:space="preserve">Suresh Pillai</t>
  </si>
  <si>
    <t xml:space="preserve">M.Tech — Blockchain</t>
  </si>
  <si>
    <t xml:space="preserve">RS014</t>
  </si>
  <si>
    <t xml:space="preserve">Kavya Menon</t>
  </si>
  <si>
    <t xml:space="preserve">Ph.D — Edge Intelligence</t>
  </si>
  <si>
    <t xml:space="preserve">RS015</t>
  </si>
  <si>
    <t xml:space="preserve">Aditya Bhat</t>
  </si>
  <si>
    <t xml:space="preserve">M.Tech — Digital Forensics</t>
  </si>
  <si>
    <t xml:space="preserve">RS016</t>
  </si>
  <si>
    <t xml:space="preserve">Lakshmi Das</t>
  </si>
  <si>
    <t xml:space="preserve">M.Tech — Federated Learning</t>
  </si>
  <si>
    <t xml:space="preserve">RS017</t>
  </si>
  <si>
    <t xml:space="preserve">Nikhil Tiwari</t>
  </si>
  <si>
    <t xml:space="preserve">Ph.D — Autonomous Systems</t>
  </si>
  <si>
    <t xml:space="preserve">RS018</t>
  </si>
  <si>
    <t xml:space="preserve">Riya Shah</t>
  </si>
  <si>
    <t xml:space="preserve">M.Tech — HealthTech AI</t>
  </si>
  <si>
    <t xml:space="preserve">RS019</t>
  </si>
  <si>
    <t xml:space="preserve">Manish Yadav</t>
  </si>
  <si>
    <t xml:space="preserve">Ph.D — XAI &amp; Trustworthy AI</t>
  </si>
  <si>
    <t xml:space="preserve">RS020</t>
  </si>
  <si>
    <t xml:space="preserve">Deepa Nambiar</t>
  </si>
  <si>
    <t xml:space="preserve">M.Tech — Smart Grid Systems</t>
  </si>
  <si>
    <t xml:space="preserve">RS021</t>
  </si>
  <si>
    <t xml:space="preserve">Siddharth Roy</t>
  </si>
  <si>
    <t xml:space="preserve">M.Tech — AR/VR Technologies</t>
  </si>
  <si>
    <t xml:space="preserve">RS022</t>
  </si>
  <si>
    <t xml:space="preserve">Revathi Kumar</t>
  </si>
  <si>
    <t xml:space="preserve">Ph.D — Social Network Analysis</t>
  </si>
  <si>
    <t xml:space="preserve">RS023</t>
  </si>
  <si>
    <t xml:space="preserve">Aakash Jain</t>
  </si>
  <si>
    <t xml:space="preserve">M.Tech — SDG &amp; Sustainable AI</t>
  </si>
  <si>
    <t xml:space="preserve">RS024</t>
  </si>
  <si>
    <t xml:space="preserve">Bhavana Singh</t>
  </si>
  <si>
    <t xml:space="preserve">Ph.D — Quantum ML</t>
  </si>
  <si>
    <t xml:space="preserve">RS025</t>
  </si>
  <si>
    <t xml:space="preserve">Chetan Rao</t>
  </si>
  <si>
    <t xml:space="preserve">M.Tech — Neuromorphic Computing</t>
  </si>
  <si>
    <t xml:space="preserve">COHORT AVERAGE</t>
  </si>
  <si>
    <t xml:space="preserve">HIGHEST SCORE</t>
  </si>
  <si>
    <t xml:space="preserve">LOWEST SCORE</t>
  </si>
  <si>
    <t xml:space="preserve">PASS COUNT (≥50)</t>
  </si>
  <si>
    <t xml:space="preserve">FAIL COUNT (&lt;50)</t>
  </si>
  <si>
    <t xml:space="preserve">CO ATTAINMENT AVG</t>
  </si>
  <si>
    <t xml:space="preserve">GRADE DISTRIBUTION</t>
  </si>
  <si>
    <t xml:space="preserve">O(≥90)</t>
  </si>
  <si>
    <t xml:space="preserve">A+(≥80)</t>
  </si>
  <si>
    <t xml:space="preserve">A(≥70)</t>
  </si>
  <si>
    <t xml:space="preserve">B+(≥60)</t>
  </si>
  <si>
    <t xml:space="preserve">B(≥50)</t>
  </si>
  <si>
    <t xml:space="preserve">F(&lt;50)</t>
  </si>
  <si>
    <t xml:space="preserve">THESIS / DISSERTATION RUBRIC  —  SCHOLAR PERFORMANCE DASHBOARD</t>
  </si>
  <si>
    <t xml:space="preserve">All values auto-linked from Score Entry. Criterion scores, totals, grade and attainment at a glance.</t>
  </si>
  <si>
    <t xml:space="preserve">GRADE SCALE →</t>
  </si>
  <si>
    <t xml:space="preserve">O
≥90</t>
  </si>
  <si>
    <t xml:space="preserve">A+
≥80</t>
  </si>
  <si>
    <t xml:space="preserve">A
≥70</t>
  </si>
  <si>
    <t xml:space="preserve">B+
≥60</t>
  </si>
  <si>
    <t xml:space="preserve">B
≥50</t>
  </si>
  <si>
    <t xml:space="preserve">F
&lt;50</t>
  </si>
  <si>
    <t xml:space="preserve">Attainment: Outstanding≥90%  |  Excellent≥75%  |  Good≥60%  |  Satisfactory≥50%  |  Inadequate&lt;50%</t>
  </si>
  <si>
    <t xml:space="preserve">Reg No</t>
  </si>
  <si>
    <t xml:space="preserve">Scholar Name</t>
  </si>
  <si>
    <t xml:space="preserve">Program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</si>
  <si>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</si>
  <si>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</si>
  <si>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</si>
  <si>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</si>
  <si>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</si>
  <si>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</si>
  <si>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</si>
  <si>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Total
/100</t>
  </si>
  <si>
    <t xml:space="preserve">THESIS RUBRIC  —  CRITERION-WISE SCORE ANALYSIS</t>
  </si>
  <si>
    <t xml:space="preserve">Auto-linked from Score Entry. Statistical breakdown per criterion across all scholars.</t>
  </si>
  <si>
    <t xml:space="preserve">Metric</t>
  </si>
  <si>
    <t xml:space="preserve">Overall
Avg</t>
  </si>
  <si>
    <t xml:space="preserve">Att%</t>
  </si>
  <si>
    <t xml:space="preserve">Average Score</t>
  </si>
  <si>
    <t xml:space="preserve">Average Wtd Marks</t>
  </si>
  <si>
    <t xml:space="preserve">Max Score</t>
  </si>
  <si>
    <t xml:space="preserve">Min Score</t>
  </si>
  <si>
    <t xml:space="preserve">Attainment %</t>
  </si>
  <si>
    <t xml:space="preserve">Att Level</t>
  </si>
  <si>
    <t xml:space="preserve">THESIS RUBRIC  —  PROGRAMME OUTCOME (PO) ATTAINMENT</t>
  </si>
  <si>
    <t xml:space="preserve">PO Attainment % = Average of criterion attainments mapped to each PO  |  Target ≥ 60%  |  Level: Outstanding≥90%  Excellent≥75%  Good≥60%  Satisfactory≥50%  Inadequate&lt;50%</t>
  </si>
  <si>
    <t xml:space="preserve">PO</t>
  </si>
  <si>
    <t xml:space="preserve">Description</t>
  </si>
  <si>
    <t xml:space="preserve">Relevant Criteria</t>
  </si>
  <si>
    <t xml:space="preserve">CRITERION ATTAINMENT % (Auto-linked from Criterion Analysis)</t>
  </si>
  <si>
    <t xml:space="preserve">PO Att%</t>
  </si>
  <si>
    <t xml:space="preserve">Target</t>
  </si>
  <si>
    <t xml:space="preserve">Gap</t>
  </si>
  <si>
    <t xml:space="preserve">PO1</t>
  </si>
  <si>
    <t xml:space="preserve">Engineering Knowledge</t>
  </si>
  <si>
    <t xml:space="preserve">C1, C2</t>
  </si>
  <si>
    <t xml:space="preserve">—</t>
  </si>
  <si>
    <t xml:space="preserve">PO2</t>
  </si>
  <si>
    <t xml:space="preserve">Problem Analysis</t>
  </si>
  <si>
    <t xml:space="preserve">PO3</t>
  </si>
  <si>
    <t xml:space="preserve">Design/Development of Solutions</t>
  </si>
  <si>
    <t xml:space="preserve">C3, C5</t>
  </si>
  <si>
    <t xml:space="preserve">PO4</t>
  </si>
  <si>
    <t xml:space="preserve">Conduct Investigations</t>
  </si>
  <si>
    <t xml:space="preserve">C3, C4</t>
  </si>
  <si>
    <t xml:space="preserve">PO5</t>
  </si>
  <si>
    <t xml:space="preserve">Modern Tool Usage</t>
  </si>
  <si>
    <t xml:space="preserve">PO6</t>
  </si>
  <si>
    <t xml:space="preserve">The Engineer and Society</t>
  </si>
  <si>
    <t xml:space="preserve">PO7</t>
  </si>
  <si>
    <t xml:space="preserve">Environment and Sustainability</t>
  </si>
  <si>
    <t xml:space="preserve">PO8</t>
  </si>
  <si>
    <t xml:space="preserve">Ethics</t>
  </si>
  <si>
    <t xml:space="preserve">PO9</t>
  </si>
  <si>
    <t xml:space="preserve">Individual and Team Work</t>
  </si>
  <si>
    <t xml:space="preserve">Communication</t>
  </si>
  <si>
    <t xml:space="preserve">C6, C7</t>
  </si>
  <si>
    <t xml:space="preserve">PO11</t>
  </si>
  <si>
    <t xml:space="preserve">Project Management and Finance</t>
  </si>
  <si>
    <t xml:space="preserve">PO12</t>
  </si>
  <si>
    <t xml:space="preserve">Life-long Learning</t>
  </si>
  <si>
    <t xml:space="preserve">C2, C5</t>
  </si>
  <si>
    <t xml:space="preserve">THESIS RUBRIC  —  INDIVIDUAL SCHOLAR FEEDBACK CARDS</t>
  </si>
  <si>
    <t xml:space="preserve">Score labels and personalized feedback auto-generated from Score Entry sheet. Ready for supervisor sign-off.</t>
  </si>
  <si>
    <t xml:space="preserve">Total</t>
  </si>
  <si>
    <t xml:space="preserve">Feedback Summary</t>
  </si>
  <si>
    <t xml:space="preserve">THESIS / DISSERTATION  —  CRITERION TO PO / PSO MAPPING MATRIX</t>
  </si>
  <si>
    <t xml:space="preserve">Criterion-to-PO relevance mapping  |  ✔ = Relevant  |  Strength shown where mapped</t>
  </si>
  <si>
    <t xml:space="preserve">Max Mks</t>
  </si>
  <si>
    <t xml:space="preserve">Bloom's</t>
  </si>
  <si>
    <t xml:space="preserve">PROGRAMME OUTCOMES (PO1–PO12)</t>
  </si>
  <si>
    <t xml:space="preserve">PSOs</t>
  </si>
  <si>
    <t xml:space="preserve">PSO1</t>
  </si>
  <si>
    <t xml:space="preserve">PSO2</t>
  </si>
  <si>
    <t xml:space="preserve">PSO3</t>
  </si>
  <si>
    <t xml:space="preserve">✔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</si>
</sst>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"/>
    <numFmt numFmtId="167" formatCode="0.0"/>
    <numFmt numFmtId="168" formatCode="0.0%"/>
    <numFmt numFmtId="169" formatCode="0.00"/>
    <numFmt numFmtId="170" formatCode="\+0.0;\-0.0;0.0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8B000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2E75B6"/>
      <name val="Arial"/>
      <family val="0"/>
      <charset val="1"/>
    </font>
    <font>
      <sz val="9"/>
      <color rgb="FFBF8F00"/>
      <name val="Arial"/>
      <family val="0"/>
      <charset val="1"/>
    </font>
    <font>
      <sz val="9"/>
      <color rgb="FF8B00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CCCCCC"/>
      <name val="Arial"/>
      <family val="0"/>
      <charset val="1"/>
    </font>
    <font>
      <sz val="9"/>
      <color rgb="FFAAAAAA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FFFFFF"/>
      <name val="Arial"/>
      <family val="0"/>
      <charset val="1"/>
    </font>
    <font>
      <sz val="11"/>
      <color rgb="FFCCCCCC"/>
      <name val="Arial"/>
      <family val="0"/>
      <charset val="1"/>
    </font>
    <font>
      <b val="true"/>
      <sz val="11"/>
      <color rgb="FF7030A0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75623"/>
      </patternFill>
    </fill>
    <fill>
      <patternFill patternType="solid">
        <fgColor rgb="FFE2EFDA"/>
        <bgColor rgb="FFE0F2F1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FF8DC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CCCCCC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404040"/>
      </patternFill>
    </fill>
    <fill>
      <patternFill patternType="solid">
        <fgColor rgb="FFBF8F00"/>
        <bgColor rgb="FF808000"/>
      </patternFill>
    </fill>
    <fill>
      <patternFill patternType="solid">
        <fgColor rgb="FF8B0000"/>
        <bgColor rgb="FF800000"/>
      </patternFill>
    </fill>
    <fill>
      <patternFill patternType="solid">
        <fgColor rgb="FF00695C"/>
        <bgColor rgb="FF008080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FF8DC"/>
      </patternFill>
    </fill>
    <fill>
      <patternFill patternType="solid">
        <fgColor rgb="FFDEEAF1"/>
        <bgColor rgb="FFE0F2F1"/>
      </patternFill>
    </fill>
    <fill>
      <patternFill patternType="solid">
        <fgColor rgb="FF283593"/>
        <bgColor rgb="FF1F3864"/>
      </patternFill>
    </fill>
    <fill>
      <patternFill patternType="solid">
        <fgColor rgb="FFC55A11"/>
        <bgColor rgb="FF993300"/>
      </patternFill>
    </fill>
    <fill>
      <patternFill patternType="solid">
        <fgColor rgb="FFFFF8DC"/>
        <bgColor rgb="FFFFF2CC"/>
      </patternFill>
    </fill>
    <fill>
      <patternFill patternType="solid">
        <fgColor rgb="FFE2D9F3"/>
        <bgColor rgb="FFDEEAF1"/>
      </patternFill>
    </fill>
    <fill>
      <patternFill patternType="solid">
        <fgColor rgb="FFE0F2F1"/>
        <bgColor rgb="FFDEEAF1"/>
      </patternFill>
    </fill>
    <fill>
      <patternFill patternType="solid">
        <fgColor rgb="FF70AD47"/>
        <bgColor rgb="FF99CC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>
        <color rgb="FF595959"/>
      </top>
      <bottom style="medium"/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CCCCCC"/>
      <rgbColor rgb="FF808080"/>
      <rgbColor rgb="FF9999FF"/>
      <rgbColor rgb="FF7030A0"/>
      <rgbColor rgb="FFFFF8D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E2D9F3"/>
      <rgbColor rgb="FFF2F2F2"/>
      <rgbColor rgb="FFDEEAF1"/>
      <rgbColor rgb="FFFCE4D6"/>
      <rgbColor rgb="FF2E75B6"/>
      <rgbColor rgb="FF33CCCC"/>
      <rgbColor rgb="FF99CC00"/>
      <rgbColor rgb="FFFFCC00"/>
      <rgbColor rgb="FFBF8F00"/>
      <rgbColor rgb="FFC55A11"/>
      <rgbColor rgb="FF595959"/>
      <rgbColor rgb="FFAAAAAA"/>
      <rgbColor rgb="FF1F3864"/>
      <rgbColor rgb="FF70AD47"/>
      <rgbColor rgb="FF003300"/>
      <rgbColor rgb="FF375623"/>
      <rgbColor rgb="FF993300"/>
      <rgbColor rgb="FF993366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8" min="5" style="0" width="26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4"/>
    <col collapsed="false" customWidth="true" hidden="false" outlineLevel="0" max="12" min="12" style="0" width="16"/>
  </cols>
  <sheetData>
    <row r="1" customFormat="false" ht="5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/>
      <c r="C4" s="4" t="s">
        <v>3</v>
      </c>
      <c r="D4" s="5" t="s">
        <v>4</v>
      </c>
      <c r="E4" s="6" t="s">
        <v>5</v>
      </c>
      <c r="F4" s="7" t="s">
        <v>6</v>
      </c>
      <c r="G4" s="8" t="s">
        <v>7</v>
      </c>
      <c r="H4" s="8"/>
      <c r="I4" s="8"/>
      <c r="J4" s="8"/>
      <c r="K4" s="8"/>
      <c r="L4" s="8"/>
    </row>
    <row r="5" customFormat="false" ht="4.5" hidden="false" customHeight="true" outlineLevel="0" collapsed="false"/>
    <row r="6" customFormat="false" ht="30" hidden="false" customHeight="true" outlineLevel="0" collapsed="false">
      <c r="A6" s="9" t="s">
        <v>8</v>
      </c>
      <c r="B6" s="9" t="s">
        <v>9</v>
      </c>
      <c r="C6" s="10" t="s">
        <v>10</v>
      </c>
      <c r="D6" s="10" t="s">
        <v>11</v>
      </c>
      <c r="E6" s="11" t="s">
        <v>12</v>
      </c>
      <c r="F6" s="12" t="s">
        <v>13</v>
      </c>
      <c r="G6" s="13" t="s">
        <v>14</v>
      </c>
      <c r="H6" s="14" t="s">
        <v>15</v>
      </c>
      <c r="I6" s="15" t="s">
        <v>16</v>
      </c>
      <c r="J6" s="15" t="s">
        <v>17</v>
      </c>
      <c r="K6" s="15"/>
      <c r="L6" s="15"/>
    </row>
    <row r="7" customFormat="false" ht="51.75" hidden="false" customHeight="true" outlineLevel="0" collapsed="false">
      <c r="A7" s="16" t="n">
        <v>1</v>
      </c>
      <c r="B7" s="17" t="s">
        <v>18</v>
      </c>
      <c r="C7" s="18" t="n">
        <v>0.1</v>
      </c>
      <c r="D7" s="19" t="n">
        <v>10</v>
      </c>
      <c r="E7" s="20" t="s">
        <v>19</v>
      </c>
      <c r="F7" s="21" t="s">
        <v>20</v>
      </c>
      <c r="G7" s="22" t="s">
        <v>21</v>
      </c>
      <c r="H7" s="23" t="s">
        <v>22</v>
      </c>
      <c r="I7" s="24" t="s">
        <v>23</v>
      </c>
      <c r="J7" s="25" t="s">
        <v>24</v>
      </c>
      <c r="K7" s="25"/>
      <c r="L7" s="26" t="s">
        <v>25</v>
      </c>
    </row>
    <row r="8" customFormat="false" ht="51.75" hidden="false" customHeight="true" outlineLevel="0" collapsed="false">
      <c r="A8" s="16" t="n">
        <v>2</v>
      </c>
      <c r="B8" s="27" t="s">
        <v>26</v>
      </c>
      <c r="C8" s="18" t="n">
        <v>0.15</v>
      </c>
      <c r="D8" s="19" t="n">
        <v>15</v>
      </c>
      <c r="E8" s="20" t="s">
        <v>27</v>
      </c>
      <c r="F8" s="21" t="s">
        <v>28</v>
      </c>
      <c r="G8" s="22" t="s">
        <v>29</v>
      </c>
      <c r="H8" s="23" t="s">
        <v>30</v>
      </c>
      <c r="I8" s="24" t="s">
        <v>31</v>
      </c>
      <c r="J8" s="25" t="s">
        <v>32</v>
      </c>
      <c r="K8" s="25"/>
      <c r="L8" s="26" t="s">
        <v>33</v>
      </c>
    </row>
    <row r="9" customFormat="false" ht="51.75" hidden="false" customHeight="true" outlineLevel="0" collapsed="false">
      <c r="A9" s="16" t="n">
        <v>3</v>
      </c>
      <c r="B9" s="17" t="s">
        <v>34</v>
      </c>
      <c r="C9" s="18" t="n">
        <v>0.2</v>
      </c>
      <c r="D9" s="19" t="n">
        <v>20</v>
      </c>
      <c r="E9" s="20" t="s">
        <v>35</v>
      </c>
      <c r="F9" s="21" t="s">
        <v>36</v>
      </c>
      <c r="G9" s="22" t="s">
        <v>37</v>
      </c>
      <c r="H9" s="23" t="s">
        <v>38</v>
      </c>
      <c r="I9" s="24" t="s">
        <v>31</v>
      </c>
      <c r="J9" s="25" t="s">
        <v>39</v>
      </c>
      <c r="K9" s="25"/>
      <c r="L9" s="26" t="s">
        <v>40</v>
      </c>
    </row>
    <row r="10" customFormat="false" ht="51.75" hidden="false" customHeight="true" outlineLevel="0" collapsed="false">
      <c r="A10" s="16" t="n">
        <v>4</v>
      </c>
      <c r="B10" s="27" t="s">
        <v>41</v>
      </c>
      <c r="C10" s="18" t="n">
        <v>0.2</v>
      </c>
      <c r="D10" s="19" t="n">
        <v>20</v>
      </c>
      <c r="E10" s="20" t="s">
        <v>42</v>
      </c>
      <c r="F10" s="21" t="s">
        <v>43</v>
      </c>
      <c r="G10" s="22" t="s">
        <v>44</v>
      </c>
      <c r="H10" s="23" t="s">
        <v>45</v>
      </c>
      <c r="I10" s="24" t="s">
        <v>31</v>
      </c>
      <c r="J10" s="25" t="s">
        <v>46</v>
      </c>
      <c r="K10" s="25"/>
      <c r="L10" s="26" t="s">
        <v>47</v>
      </c>
    </row>
    <row r="11" customFormat="false" ht="51.75" hidden="false" customHeight="true" outlineLevel="0" collapsed="false">
      <c r="A11" s="16" t="n">
        <v>5</v>
      </c>
      <c r="B11" s="17" t="s">
        <v>48</v>
      </c>
      <c r="C11" s="18" t="n">
        <v>0.15</v>
      </c>
      <c r="D11" s="19" t="n">
        <v>15</v>
      </c>
      <c r="E11" s="20" t="s">
        <v>49</v>
      </c>
      <c r="F11" s="21" t="s">
        <v>50</v>
      </c>
      <c r="G11" s="22" t="s">
        <v>51</v>
      </c>
      <c r="H11" s="23" t="s">
        <v>52</v>
      </c>
      <c r="I11" s="24" t="s">
        <v>53</v>
      </c>
      <c r="J11" s="25" t="s">
        <v>54</v>
      </c>
      <c r="K11" s="25"/>
      <c r="L11" s="26" t="s">
        <v>55</v>
      </c>
    </row>
    <row r="12" customFormat="false" ht="51.75" hidden="false" customHeight="true" outlineLevel="0" collapsed="false">
      <c r="A12" s="16" t="n">
        <v>6</v>
      </c>
      <c r="B12" s="27" t="s">
        <v>56</v>
      </c>
      <c r="C12" s="18" t="n">
        <v>0.1</v>
      </c>
      <c r="D12" s="19" t="n">
        <v>10</v>
      </c>
      <c r="E12" s="20" t="s">
        <v>57</v>
      </c>
      <c r="F12" s="21" t="s">
        <v>58</v>
      </c>
      <c r="G12" s="22" t="s">
        <v>59</v>
      </c>
      <c r="H12" s="23" t="s">
        <v>60</v>
      </c>
      <c r="I12" s="24" t="s">
        <v>23</v>
      </c>
      <c r="J12" s="25" t="s">
        <v>61</v>
      </c>
      <c r="K12" s="25"/>
      <c r="L12" s="26" t="s">
        <v>62</v>
      </c>
    </row>
    <row r="13" customFormat="false" ht="51.75" hidden="false" customHeight="true" outlineLevel="0" collapsed="false">
      <c r="A13" s="16" t="n">
        <v>7</v>
      </c>
      <c r="B13" s="17" t="s">
        <v>63</v>
      </c>
      <c r="C13" s="18" t="n">
        <v>0.1</v>
      </c>
      <c r="D13" s="19" t="n">
        <v>10</v>
      </c>
      <c r="E13" s="20" t="s">
        <v>64</v>
      </c>
      <c r="F13" s="21" t="s">
        <v>65</v>
      </c>
      <c r="G13" s="22" t="s">
        <v>66</v>
      </c>
      <c r="H13" s="23" t="s">
        <v>67</v>
      </c>
      <c r="I13" s="24" t="s">
        <v>31</v>
      </c>
      <c r="J13" s="25" t="s">
        <v>68</v>
      </c>
      <c r="K13" s="25"/>
      <c r="L13" s="26" t="s">
        <v>69</v>
      </c>
    </row>
    <row r="14" customFormat="false" ht="21.75" hidden="false" customHeight="true" outlineLevel="0" collapsed="false">
      <c r="A14" s="28" t="s">
        <v>70</v>
      </c>
      <c r="B14" s="28"/>
      <c r="C14" s="29" t="s">
        <v>71</v>
      </c>
      <c r="D14" s="30" t="s">
        <v>72</v>
      </c>
      <c r="E14" s="31"/>
      <c r="F14" s="31"/>
      <c r="G14" s="31"/>
      <c r="H14" s="31"/>
      <c r="I14" s="31"/>
      <c r="J14" s="31"/>
      <c r="K14" s="31"/>
      <c r="L14" s="31"/>
    </row>
    <row r="16" customFormat="false" ht="21.75" hidden="false" customHeight="true" outlineLevel="0" collapsed="false">
      <c r="A16" s="28" t="s">
        <v>73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customFormat="false" ht="19.5" hidden="false" customHeight="true" outlineLevel="0" collapsed="false">
      <c r="A17" s="32" t="s">
        <v>74</v>
      </c>
      <c r="B17" s="33" t="s">
        <v>75</v>
      </c>
      <c r="C17" s="34" t="s">
        <v>76</v>
      </c>
      <c r="D17" s="34"/>
      <c r="E17" s="34"/>
      <c r="F17" s="34"/>
      <c r="G17" s="34"/>
      <c r="H17" s="34"/>
      <c r="I17" s="34"/>
      <c r="J17" s="34"/>
      <c r="K17" s="34"/>
      <c r="L17" s="34"/>
    </row>
    <row r="18" customFormat="false" ht="19.5" hidden="false" customHeight="true" outlineLevel="0" collapsed="false">
      <c r="A18" s="32" t="s">
        <v>77</v>
      </c>
      <c r="B18" s="33" t="s">
        <v>78</v>
      </c>
      <c r="C18" s="34" t="s">
        <v>79</v>
      </c>
      <c r="D18" s="34"/>
      <c r="E18" s="34"/>
      <c r="F18" s="34"/>
      <c r="G18" s="34"/>
      <c r="H18" s="34"/>
      <c r="I18" s="34"/>
      <c r="J18" s="34"/>
      <c r="K18" s="34"/>
      <c r="L18" s="34"/>
    </row>
    <row r="19" customFormat="false" ht="19.5" hidden="false" customHeight="true" outlineLevel="0" collapsed="false">
      <c r="A19" s="32" t="s">
        <v>80</v>
      </c>
      <c r="B19" s="35" t="s">
        <v>81</v>
      </c>
      <c r="C19" s="36" t="s">
        <v>82</v>
      </c>
      <c r="D19" s="36"/>
      <c r="E19" s="36"/>
      <c r="F19" s="36"/>
      <c r="G19" s="36"/>
      <c r="H19" s="36"/>
      <c r="I19" s="36"/>
      <c r="J19" s="36"/>
      <c r="K19" s="36"/>
      <c r="L19" s="36"/>
    </row>
    <row r="20" customFormat="false" ht="19.5" hidden="false" customHeight="true" outlineLevel="0" collapsed="false">
      <c r="A20" s="32" t="s">
        <v>83</v>
      </c>
      <c r="B20" s="37" t="s">
        <v>84</v>
      </c>
      <c r="C20" s="38" t="s">
        <v>85</v>
      </c>
      <c r="D20" s="38"/>
      <c r="E20" s="38"/>
      <c r="F20" s="38"/>
      <c r="G20" s="38"/>
      <c r="H20" s="38"/>
      <c r="I20" s="38"/>
      <c r="J20" s="38"/>
      <c r="K20" s="38"/>
      <c r="L20" s="38"/>
    </row>
    <row r="21" customFormat="false" ht="19.5" hidden="false" customHeight="true" outlineLevel="0" collapsed="false">
      <c r="A21" s="32" t="s">
        <v>86</v>
      </c>
      <c r="B21" s="39" t="s">
        <v>87</v>
      </c>
      <c r="C21" s="40" t="s">
        <v>88</v>
      </c>
      <c r="D21" s="40"/>
      <c r="E21" s="40"/>
      <c r="F21" s="40"/>
      <c r="G21" s="40"/>
      <c r="H21" s="40"/>
      <c r="I21" s="40"/>
      <c r="J21" s="40"/>
      <c r="K21" s="40"/>
      <c r="L21" s="40"/>
    </row>
    <row r="23" customFormat="false" ht="21.75" hidden="false" customHeight="true" outlineLevel="0" collapsed="false">
      <c r="A23" s="41" t="s">
        <v>89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</row>
    <row r="24" customFormat="false" ht="19.5" hidden="false" customHeight="true" outlineLevel="0" collapsed="false">
      <c r="A24" s="32" t="s">
        <v>90</v>
      </c>
      <c r="B24" s="42" t="s">
        <v>91</v>
      </c>
      <c r="C24" s="42"/>
      <c r="D24" s="42"/>
      <c r="E24" s="42"/>
      <c r="F24" s="42"/>
      <c r="G24" s="42"/>
      <c r="H24" s="42"/>
      <c r="I24" s="42"/>
      <c r="J24" s="43" t="s">
        <v>92</v>
      </c>
      <c r="K24" s="43"/>
      <c r="L24" s="43"/>
    </row>
    <row r="25" customFormat="false" ht="19.5" hidden="false" customHeight="true" outlineLevel="0" collapsed="false">
      <c r="A25" s="32" t="s">
        <v>93</v>
      </c>
      <c r="B25" s="44" t="s">
        <v>94</v>
      </c>
      <c r="C25" s="44"/>
      <c r="D25" s="44"/>
      <c r="E25" s="44"/>
      <c r="F25" s="44"/>
      <c r="G25" s="44"/>
      <c r="H25" s="44"/>
      <c r="I25" s="44"/>
      <c r="J25" s="43" t="s">
        <v>55</v>
      </c>
      <c r="K25" s="43"/>
      <c r="L25" s="43"/>
    </row>
    <row r="26" customFormat="false" ht="19.5" hidden="false" customHeight="true" outlineLevel="0" collapsed="false">
      <c r="A26" s="32" t="s">
        <v>95</v>
      </c>
      <c r="B26" s="42" t="s">
        <v>96</v>
      </c>
      <c r="C26" s="42"/>
      <c r="D26" s="42"/>
      <c r="E26" s="42"/>
      <c r="F26" s="42"/>
      <c r="G26" s="42"/>
      <c r="H26" s="42"/>
      <c r="I26" s="42"/>
      <c r="J26" s="43" t="s">
        <v>97</v>
      </c>
      <c r="K26" s="43"/>
      <c r="L26" s="43"/>
    </row>
    <row r="27" customFormat="false" ht="19.5" hidden="false" customHeight="true" outlineLevel="0" collapsed="false">
      <c r="A27" s="32" t="s">
        <v>98</v>
      </c>
      <c r="B27" s="44" t="s">
        <v>99</v>
      </c>
      <c r="C27" s="44"/>
      <c r="D27" s="44"/>
      <c r="E27" s="44"/>
      <c r="F27" s="44"/>
      <c r="G27" s="44"/>
      <c r="H27" s="44"/>
      <c r="I27" s="44"/>
      <c r="J27" s="43" t="s">
        <v>62</v>
      </c>
      <c r="K27" s="43"/>
      <c r="L27" s="43"/>
    </row>
    <row r="28" customFormat="false" ht="19.5" hidden="false" customHeight="true" outlineLevel="0" collapsed="false">
      <c r="A28" s="32" t="s">
        <v>100</v>
      </c>
      <c r="B28" s="42" t="s">
        <v>101</v>
      </c>
      <c r="C28" s="42"/>
      <c r="D28" s="42"/>
      <c r="E28" s="42"/>
      <c r="F28" s="42"/>
      <c r="G28" s="42"/>
      <c r="H28" s="42"/>
      <c r="I28" s="42"/>
      <c r="J28" s="43" t="s">
        <v>25</v>
      </c>
      <c r="K28" s="43"/>
      <c r="L28" s="43"/>
    </row>
    <row r="29" customFormat="false" ht="19.5" hidden="false" customHeight="true" outlineLevel="0" collapsed="false">
      <c r="A29" s="32" t="s">
        <v>102</v>
      </c>
      <c r="B29" s="44" t="s">
        <v>103</v>
      </c>
      <c r="C29" s="44"/>
      <c r="D29" s="44"/>
      <c r="E29" s="44"/>
      <c r="F29" s="44"/>
      <c r="G29" s="44"/>
      <c r="H29" s="44"/>
      <c r="I29" s="44"/>
      <c r="J29" s="43" t="s">
        <v>69</v>
      </c>
      <c r="K29" s="43"/>
      <c r="L29" s="43"/>
    </row>
  </sheetData>
  <mergeCells count="32">
    <mergeCell ref="A1:L1"/>
    <mergeCell ref="A2:L2"/>
    <mergeCell ref="A4:B4"/>
    <mergeCell ref="G4:L4"/>
    <mergeCell ref="J6:L6"/>
    <mergeCell ref="J7:K7"/>
    <mergeCell ref="J8:K8"/>
    <mergeCell ref="J9:K9"/>
    <mergeCell ref="J10:K10"/>
    <mergeCell ref="J11:K11"/>
    <mergeCell ref="J12:K12"/>
    <mergeCell ref="J13:K13"/>
    <mergeCell ref="A14:B14"/>
    <mergeCell ref="A16:L16"/>
    <mergeCell ref="C17:L17"/>
    <mergeCell ref="C18:L18"/>
    <mergeCell ref="C19:L19"/>
    <mergeCell ref="C20:L20"/>
    <mergeCell ref="C21:L21"/>
    <mergeCell ref="A23:L23"/>
    <mergeCell ref="B24:I24"/>
    <mergeCell ref="J24:L24"/>
    <mergeCell ref="B25:I25"/>
    <mergeCell ref="J25:L25"/>
    <mergeCell ref="B26:I26"/>
    <mergeCell ref="J26:L26"/>
    <mergeCell ref="B27:I27"/>
    <mergeCell ref="J27:L27"/>
    <mergeCell ref="B28:I28"/>
    <mergeCell ref="J28:L28"/>
    <mergeCell ref="B29:I29"/>
    <mergeCell ref="J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1" min="20" style="0" width="9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4" min="24" style="0" width="14"/>
  </cols>
  <sheetData>
    <row r="1" customFormat="false" ht="48" hidden="false" customHeight="true" outlineLevel="0" collapsed="false">
      <c r="A1" s="45" t="s">
        <v>104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2" customFormat="false" ht="18" hidden="false" customHeight="true" outlineLevel="0" collapsed="false">
      <c r="A2" s="46" t="s">
        <v>105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customFormat="false" ht="7.5" hidden="false" customHeight="true" outlineLevel="0" collapsed="false"/>
    <row r="4" customFormat="false" ht="21.75" hidden="false" customHeight="true" outlineLevel="0" collapsed="false">
      <c r="A4" s="47" t="s">
        <v>106</v>
      </c>
      <c r="B4" s="48" t="s">
        <v>107</v>
      </c>
      <c r="C4" s="47" t="s">
        <v>108</v>
      </c>
      <c r="D4" s="48" t="s">
        <v>109</v>
      </c>
      <c r="E4" s="47" t="s">
        <v>110</v>
      </c>
      <c r="F4" s="48"/>
      <c r="G4" s="47" t="s">
        <v>111</v>
      </c>
      <c r="H4" s="48" t="s">
        <v>112</v>
      </c>
    </row>
    <row r="5" customFormat="false" ht="7.5" hidden="false" customHeight="true" outlineLevel="0" collapsed="false"/>
    <row r="6" customFormat="false" ht="21.75" hidden="false" customHeight="true" outlineLevel="0" collapsed="false">
      <c r="A6" s="49" t="s">
        <v>113</v>
      </c>
      <c r="B6" s="49"/>
      <c r="C6" s="49"/>
      <c r="D6" s="49"/>
      <c r="E6" s="50" t="s">
        <v>114</v>
      </c>
      <c r="F6" s="51" t="s">
        <v>115</v>
      </c>
      <c r="G6" s="52" t="s">
        <v>116</v>
      </c>
      <c r="H6" s="53" t="s">
        <v>117</v>
      </c>
      <c r="I6" s="54" t="s">
        <v>118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</row>
    <row r="7" customFormat="false" ht="27.75" hidden="false" customHeight="true" outlineLevel="0" collapsed="false">
      <c r="A7" s="49" t="s">
        <v>119</v>
      </c>
      <c r="B7" s="49"/>
      <c r="C7" s="49"/>
      <c r="D7" s="49"/>
      <c r="E7" s="55" t="s">
        <v>120</v>
      </c>
      <c r="F7" s="55"/>
      <c r="G7" s="55" t="s">
        <v>121</v>
      </c>
      <c r="H7" s="55"/>
      <c r="I7" s="55" t="s">
        <v>122</v>
      </c>
      <c r="J7" s="55"/>
      <c r="K7" s="55" t="s">
        <v>123</v>
      </c>
      <c r="L7" s="55"/>
      <c r="M7" s="55" t="s">
        <v>124</v>
      </c>
      <c r="N7" s="55"/>
      <c r="O7" s="55" t="s">
        <v>125</v>
      </c>
      <c r="P7" s="55"/>
      <c r="Q7" s="55" t="s">
        <v>126</v>
      </c>
      <c r="R7" s="55"/>
      <c r="S7" s="56" t="s">
        <v>127</v>
      </c>
      <c r="T7" s="56" t="s">
        <v>128</v>
      </c>
      <c r="U7" s="57" t="s">
        <v>129</v>
      </c>
      <c r="V7" s="58" t="s">
        <v>130</v>
      </c>
      <c r="W7" s="59" t="s">
        <v>131</v>
      </c>
      <c r="X7" s="60" t="s">
        <v>132</v>
      </c>
    </row>
    <row r="8" customFormat="false" ht="21.75" hidden="false" customHeight="true" outlineLevel="0" collapsed="false">
      <c r="A8" s="49" t="s">
        <v>133</v>
      </c>
      <c r="B8" s="49"/>
      <c r="C8" s="49"/>
      <c r="D8" s="49"/>
      <c r="E8" s="61" t="s">
        <v>134</v>
      </c>
      <c r="F8" s="11" t="s">
        <v>135</v>
      </c>
      <c r="G8" s="61" t="s">
        <v>134</v>
      </c>
      <c r="H8" s="11" t="s">
        <v>135</v>
      </c>
      <c r="I8" s="61" t="s">
        <v>134</v>
      </c>
      <c r="J8" s="11" t="s">
        <v>135</v>
      </c>
      <c r="K8" s="61" t="s">
        <v>134</v>
      </c>
      <c r="L8" s="11" t="s">
        <v>135</v>
      </c>
      <c r="M8" s="61" t="s">
        <v>134</v>
      </c>
      <c r="N8" s="11" t="s">
        <v>135</v>
      </c>
      <c r="O8" s="61" t="s">
        <v>134</v>
      </c>
      <c r="P8" s="11" t="s">
        <v>135</v>
      </c>
      <c r="Q8" s="61" t="s">
        <v>134</v>
      </c>
      <c r="R8" s="11" t="s">
        <v>135</v>
      </c>
      <c r="S8" s="56"/>
      <c r="T8" s="56"/>
      <c r="U8" s="56"/>
      <c r="V8" s="56"/>
      <c r="W8" s="56"/>
      <c r="X8" s="56"/>
    </row>
    <row r="9" customFormat="false" ht="13.5" hidden="false" customHeight="true" outlineLevel="0" collapsed="false">
      <c r="A9" s="62" t="s">
        <v>136</v>
      </c>
      <c r="B9" s="62"/>
      <c r="C9" s="62"/>
      <c r="D9" s="62"/>
      <c r="E9" s="63" t="s">
        <v>137</v>
      </c>
      <c r="F9" s="63" t="s">
        <v>138</v>
      </c>
      <c r="G9" s="63" t="s">
        <v>139</v>
      </c>
      <c r="H9" s="63" t="s">
        <v>140</v>
      </c>
      <c r="I9" s="63" t="s">
        <v>141</v>
      </c>
      <c r="J9" s="63" t="s">
        <v>142</v>
      </c>
      <c r="K9" s="63" t="s">
        <v>141</v>
      </c>
      <c r="L9" s="63" t="s">
        <v>142</v>
      </c>
      <c r="M9" s="63" t="s">
        <v>139</v>
      </c>
      <c r="N9" s="63" t="s">
        <v>140</v>
      </c>
      <c r="O9" s="63" t="s">
        <v>137</v>
      </c>
      <c r="P9" s="63" t="s">
        <v>138</v>
      </c>
      <c r="Q9" s="63" t="s">
        <v>137</v>
      </c>
      <c r="R9" s="63" t="s">
        <v>138</v>
      </c>
      <c r="S9" s="64"/>
      <c r="T9" s="64"/>
      <c r="U9" s="64"/>
      <c r="V9" s="64"/>
      <c r="W9" s="64"/>
      <c r="X9" s="64"/>
    </row>
    <row r="10" customFormat="false" ht="21.75" hidden="false" customHeight="true" outlineLevel="0" collapsed="false">
      <c r="A10" s="65" t="n">
        <v>1</v>
      </c>
      <c r="B10" s="65" t="s">
        <v>143</v>
      </c>
      <c r="C10" s="66" t="s">
        <v>144</v>
      </c>
      <c r="D10" s="67" t="s">
        <v>145</v>
      </c>
      <c r="E10" s="68" t="n">
        <v>1</v>
      </c>
      <c r="F10" s="69" t="n">
        <f aca="false">IFERROR(E10/4*10,0)</f>
        <v>2.5</v>
      </c>
      <c r="G10" s="70" t="n">
        <v>4</v>
      </c>
      <c r="H10" s="69" t="n">
        <f aca="false">IFERROR(G10/4*15,0)</f>
        <v>15</v>
      </c>
      <c r="I10" s="71" t="n">
        <v>2</v>
      </c>
      <c r="J10" s="69" t="n">
        <f aca="false">IFERROR(I10/4*20,0)</f>
        <v>10</v>
      </c>
      <c r="K10" s="68" t="n">
        <v>1</v>
      </c>
      <c r="L10" s="69" t="n">
        <f aca="false">IFERROR(K10/4*20,0)</f>
        <v>5</v>
      </c>
      <c r="M10" s="72" t="n">
        <v>3</v>
      </c>
      <c r="N10" s="69" t="n">
        <f aca="false">IFERROR(M10/4*15,0)</f>
        <v>11.25</v>
      </c>
      <c r="O10" s="70" t="n">
        <v>4</v>
      </c>
      <c r="P10" s="69" t="n">
        <f aca="false">IFERROR(O10/4*10,0)</f>
        <v>10</v>
      </c>
      <c r="Q10" s="71" t="n">
        <v>2</v>
      </c>
      <c r="R10" s="69" t="n">
        <f aca="false">IFERROR(Q10/4*10,0)</f>
        <v>5</v>
      </c>
      <c r="S10" s="73" t="n">
        <f aca="false">SUM(F10,H10,J10,L10,N10,P10,R10)</f>
        <v>58.75</v>
      </c>
      <c r="T10" s="74" t="n">
        <f aca="false">S10</f>
        <v>58.75</v>
      </c>
      <c r="U10" s="75" t="str">
        <f aca="false">IF(S10&gt;=90,"O",IF(S10&gt;=80,"A+",IF(S10&gt;=70,"A",IF(S10&gt;=60,"B+",IF(S10&gt;=50,"B","F")))))</f>
        <v>B</v>
      </c>
      <c r="V10" s="76" t="str">
        <f aca="false">IF(S10&gt;=90,"Outstanding",IF(S10&gt;=75,"Excellent",IF(S10&gt;=60,"Good",IF(S10&gt;=50,"Satisfactory","Inadequate"))))</f>
        <v>Satisfactory</v>
      </c>
      <c r="W10" s="77" t="n">
        <f aca="false">S10/100</f>
        <v>0.5875</v>
      </c>
      <c r="X10" s="78" t="str">
        <f aca="false">IF(S10&gt;=50,"Passed","Revision Req.")</f>
        <v>Passed</v>
      </c>
    </row>
    <row r="11" customFormat="false" ht="21.75" hidden="false" customHeight="true" outlineLevel="0" collapsed="false">
      <c r="A11" s="79" t="n">
        <v>2</v>
      </c>
      <c r="B11" s="79" t="s">
        <v>146</v>
      </c>
      <c r="C11" s="80" t="s">
        <v>147</v>
      </c>
      <c r="D11" s="81" t="s">
        <v>148</v>
      </c>
      <c r="E11" s="68" t="n">
        <v>1</v>
      </c>
      <c r="F11" s="82" t="n">
        <f aca="false">IFERROR(E11/4*10,0)</f>
        <v>2.5</v>
      </c>
      <c r="G11" s="70" t="n">
        <v>4</v>
      </c>
      <c r="H11" s="82" t="n">
        <f aca="false">IFERROR(G11/4*15,0)</f>
        <v>15</v>
      </c>
      <c r="I11" s="70" t="n">
        <v>4</v>
      </c>
      <c r="J11" s="82" t="n">
        <f aca="false">IFERROR(I11/4*20,0)</f>
        <v>20</v>
      </c>
      <c r="K11" s="68" t="n">
        <v>1</v>
      </c>
      <c r="L11" s="82" t="n">
        <f aca="false">IFERROR(K11/4*20,0)</f>
        <v>5</v>
      </c>
      <c r="M11" s="68" t="n">
        <v>1</v>
      </c>
      <c r="N11" s="82" t="n">
        <f aca="false">IFERROR(M11/4*15,0)</f>
        <v>3.75</v>
      </c>
      <c r="O11" s="68" t="n">
        <v>1</v>
      </c>
      <c r="P11" s="82" t="n">
        <f aca="false">IFERROR(O11/4*10,0)</f>
        <v>2.5</v>
      </c>
      <c r="Q11" s="71" t="n">
        <v>2</v>
      </c>
      <c r="R11" s="82" t="n">
        <f aca="false">IFERROR(Q11/4*10,0)</f>
        <v>5</v>
      </c>
      <c r="S11" s="73" t="n">
        <f aca="false">SUM(F11,H11,J11,L11,N11,P11,R11)</f>
        <v>53.75</v>
      </c>
      <c r="T11" s="74" t="n">
        <f aca="false">S11</f>
        <v>53.75</v>
      </c>
      <c r="U11" s="75" t="str">
        <f aca="false">IF(S11&gt;=90,"O",IF(S11&gt;=80,"A+",IF(S11&gt;=70,"A",IF(S11&gt;=60,"B+",IF(S11&gt;=50,"B","F")))))</f>
        <v>B</v>
      </c>
      <c r="V11" s="76" t="str">
        <f aca="false">IF(S11&gt;=90,"Outstanding",IF(S11&gt;=75,"Excellent",IF(S11&gt;=60,"Good",IF(S11&gt;=50,"Satisfactory","Inadequate"))))</f>
        <v>Satisfactory</v>
      </c>
      <c r="W11" s="77" t="n">
        <f aca="false">S11/100</f>
        <v>0.5375</v>
      </c>
      <c r="X11" s="78" t="str">
        <f aca="false">IF(S11&gt;=50,"Passed","Revision Req.")</f>
        <v>Passed</v>
      </c>
    </row>
    <row r="12" customFormat="false" ht="21.75" hidden="false" customHeight="true" outlineLevel="0" collapsed="false">
      <c r="A12" s="65" t="n">
        <v>3</v>
      </c>
      <c r="B12" s="65" t="s">
        <v>149</v>
      </c>
      <c r="C12" s="66" t="s">
        <v>150</v>
      </c>
      <c r="D12" s="67" t="s">
        <v>151</v>
      </c>
      <c r="E12" s="70" t="n">
        <v>4</v>
      </c>
      <c r="F12" s="69" t="n">
        <f aca="false">IFERROR(E12/4*10,0)</f>
        <v>10</v>
      </c>
      <c r="G12" s="68" t="n">
        <v>1</v>
      </c>
      <c r="H12" s="69" t="n">
        <f aca="false">IFERROR(G12/4*15,0)</f>
        <v>3.75</v>
      </c>
      <c r="I12" s="70" t="n">
        <v>4</v>
      </c>
      <c r="J12" s="69" t="n">
        <f aca="false">IFERROR(I12/4*20,0)</f>
        <v>20</v>
      </c>
      <c r="K12" s="68" t="n">
        <v>1</v>
      </c>
      <c r="L12" s="69" t="n">
        <f aca="false">IFERROR(K12/4*20,0)</f>
        <v>5</v>
      </c>
      <c r="M12" s="68" t="n">
        <v>1</v>
      </c>
      <c r="N12" s="69" t="n">
        <f aca="false">IFERROR(M12/4*15,0)</f>
        <v>3.75</v>
      </c>
      <c r="O12" s="68" t="n">
        <v>1</v>
      </c>
      <c r="P12" s="69" t="n">
        <f aca="false">IFERROR(O12/4*10,0)</f>
        <v>2.5</v>
      </c>
      <c r="Q12" s="71" t="n">
        <v>2</v>
      </c>
      <c r="R12" s="69" t="n">
        <f aca="false">IFERROR(Q12/4*10,0)</f>
        <v>5</v>
      </c>
      <c r="S12" s="73" t="n">
        <f aca="false">SUM(F12,H12,J12,L12,N12,P12,R12)</f>
        <v>50</v>
      </c>
      <c r="T12" s="74" t="n">
        <f aca="false">S12</f>
        <v>50</v>
      </c>
      <c r="U12" s="75" t="str">
        <f aca="false">IF(S12&gt;=90,"O",IF(S12&gt;=80,"A+",IF(S12&gt;=70,"A",IF(S12&gt;=60,"B+",IF(S12&gt;=50,"B","F")))))</f>
        <v>B</v>
      </c>
      <c r="V12" s="76" t="str">
        <f aca="false">IF(S12&gt;=90,"Outstanding",IF(S12&gt;=75,"Excellent",IF(S12&gt;=60,"Good",IF(S12&gt;=50,"Satisfactory","Inadequate"))))</f>
        <v>Satisfactory</v>
      </c>
      <c r="W12" s="77" t="n">
        <f aca="false">S12/100</f>
        <v>0.5</v>
      </c>
      <c r="X12" s="78" t="str">
        <f aca="false">IF(S12&gt;=50,"Passed","Revision Req.")</f>
        <v>Passed</v>
      </c>
    </row>
    <row r="13" customFormat="false" ht="21.75" hidden="false" customHeight="true" outlineLevel="0" collapsed="false">
      <c r="A13" s="79" t="n">
        <v>4</v>
      </c>
      <c r="B13" s="79" t="s">
        <v>152</v>
      </c>
      <c r="C13" s="80" t="s">
        <v>153</v>
      </c>
      <c r="D13" s="81" t="s">
        <v>154</v>
      </c>
      <c r="E13" s="71" t="n">
        <v>2</v>
      </c>
      <c r="F13" s="82" t="n">
        <f aca="false">IFERROR(E13/4*10,0)</f>
        <v>5</v>
      </c>
      <c r="G13" s="68" t="n">
        <v>1</v>
      </c>
      <c r="H13" s="82" t="n">
        <f aca="false">IFERROR(G13/4*15,0)</f>
        <v>3.75</v>
      </c>
      <c r="I13" s="71" t="n">
        <v>2</v>
      </c>
      <c r="J13" s="82" t="n">
        <f aca="false">IFERROR(I13/4*20,0)</f>
        <v>10</v>
      </c>
      <c r="K13" s="70" t="n">
        <v>4</v>
      </c>
      <c r="L13" s="82" t="n">
        <f aca="false">IFERROR(K13/4*20,0)</f>
        <v>20</v>
      </c>
      <c r="M13" s="70" t="n">
        <v>4</v>
      </c>
      <c r="N13" s="82" t="n">
        <f aca="false">IFERROR(M13/4*15,0)</f>
        <v>15</v>
      </c>
      <c r="O13" s="72" t="n">
        <v>3</v>
      </c>
      <c r="P13" s="82" t="n">
        <f aca="false">IFERROR(O13/4*10,0)</f>
        <v>7.5</v>
      </c>
      <c r="Q13" s="68" t="n">
        <v>1</v>
      </c>
      <c r="R13" s="82" t="n">
        <f aca="false">IFERROR(Q13/4*10,0)</f>
        <v>2.5</v>
      </c>
      <c r="S13" s="73" t="n">
        <f aca="false">SUM(F13,H13,J13,L13,N13,P13,R13)</f>
        <v>63.75</v>
      </c>
      <c r="T13" s="74" t="n">
        <f aca="false">S13</f>
        <v>63.75</v>
      </c>
      <c r="U13" s="75" t="str">
        <f aca="false">IF(S13&gt;=90,"O",IF(S13&gt;=80,"A+",IF(S13&gt;=70,"A",IF(S13&gt;=60,"B+",IF(S13&gt;=50,"B","F")))))</f>
        <v>B+</v>
      </c>
      <c r="V13" s="76" t="str">
        <f aca="false">IF(S13&gt;=90,"Outstanding",IF(S13&gt;=75,"Excellent",IF(S13&gt;=60,"Good",IF(S13&gt;=50,"Satisfactory","Inadequate"))))</f>
        <v>Good</v>
      </c>
      <c r="W13" s="77" t="n">
        <f aca="false">S13/100</f>
        <v>0.6375</v>
      </c>
      <c r="X13" s="78" t="str">
        <f aca="false">IF(S13&gt;=50,"Passed","Revision Req.")</f>
        <v>Passed</v>
      </c>
    </row>
    <row r="14" customFormat="false" ht="21.75" hidden="false" customHeight="true" outlineLevel="0" collapsed="false">
      <c r="A14" s="65" t="n">
        <v>5</v>
      </c>
      <c r="B14" s="65" t="s">
        <v>155</v>
      </c>
      <c r="C14" s="66" t="s">
        <v>156</v>
      </c>
      <c r="D14" s="67" t="s">
        <v>157</v>
      </c>
      <c r="E14" s="68" t="n">
        <v>1</v>
      </c>
      <c r="F14" s="69" t="n">
        <f aca="false">IFERROR(E14/4*10,0)</f>
        <v>2.5</v>
      </c>
      <c r="G14" s="71" t="n">
        <v>2</v>
      </c>
      <c r="H14" s="69" t="n">
        <f aca="false">IFERROR(G14/4*15,0)</f>
        <v>7.5</v>
      </c>
      <c r="I14" s="71" t="n">
        <v>2</v>
      </c>
      <c r="J14" s="69" t="n">
        <f aca="false">IFERROR(I14/4*20,0)</f>
        <v>10</v>
      </c>
      <c r="K14" s="68" t="n">
        <v>1</v>
      </c>
      <c r="L14" s="69" t="n">
        <f aca="false">IFERROR(K14/4*20,0)</f>
        <v>5</v>
      </c>
      <c r="M14" s="71" t="n">
        <v>2</v>
      </c>
      <c r="N14" s="69" t="n">
        <f aca="false">IFERROR(M14/4*15,0)</f>
        <v>7.5</v>
      </c>
      <c r="O14" s="68" t="n">
        <v>1</v>
      </c>
      <c r="P14" s="69" t="n">
        <f aca="false">IFERROR(O14/4*10,0)</f>
        <v>2.5</v>
      </c>
      <c r="Q14" s="68" t="n">
        <v>1</v>
      </c>
      <c r="R14" s="69" t="n">
        <f aca="false">IFERROR(Q14/4*10,0)</f>
        <v>2.5</v>
      </c>
      <c r="S14" s="73" t="n">
        <f aca="false">SUM(F14,H14,J14,L14,N14,P14,R14)</f>
        <v>37.5</v>
      </c>
      <c r="T14" s="74" t="n">
        <f aca="false">S14</f>
        <v>37.5</v>
      </c>
      <c r="U14" s="75" t="str">
        <f aca="false">IF(S14&gt;=90,"O",IF(S14&gt;=80,"A+",IF(S14&gt;=70,"A",IF(S14&gt;=60,"B+",IF(S14&gt;=50,"B","F")))))</f>
        <v>F</v>
      </c>
      <c r="V14" s="76" t="str">
        <f aca="false">IF(S14&gt;=90,"Outstanding",IF(S14&gt;=75,"Excellent",IF(S14&gt;=60,"Good",IF(S14&gt;=50,"Satisfactory","Inadequate"))))</f>
        <v>Inadequate</v>
      </c>
      <c r="W14" s="77" t="n">
        <f aca="false">S14/100</f>
        <v>0.375</v>
      </c>
      <c r="X14" s="78" t="str">
        <f aca="false">IF(S14&gt;=50,"Passed","Revision Req.")</f>
        <v>Revision Req.</v>
      </c>
    </row>
    <row r="15" customFormat="false" ht="21.75" hidden="false" customHeight="true" outlineLevel="0" collapsed="false">
      <c r="A15" s="79" t="n">
        <v>6</v>
      </c>
      <c r="B15" s="79" t="s">
        <v>158</v>
      </c>
      <c r="C15" s="80" t="s">
        <v>159</v>
      </c>
      <c r="D15" s="81" t="s">
        <v>160</v>
      </c>
      <c r="E15" s="71" t="n">
        <v>2</v>
      </c>
      <c r="F15" s="82" t="n">
        <f aca="false">IFERROR(E15/4*10,0)</f>
        <v>5</v>
      </c>
      <c r="G15" s="72" t="n">
        <v>3</v>
      </c>
      <c r="H15" s="82" t="n">
        <f aca="false">IFERROR(G15/4*15,0)</f>
        <v>11.25</v>
      </c>
      <c r="I15" s="68" t="n">
        <v>1</v>
      </c>
      <c r="J15" s="82" t="n">
        <f aca="false">IFERROR(I15/4*20,0)</f>
        <v>5</v>
      </c>
      <c r="K15" s="70" t="n">
        <v>4</v>
      </c>
      <c r="L15" s="82" t="n">
        <f aca="false">IFERROR(K15/4*20,0)</f>
        <v>20</v>
      </c>
      <c r="M15" s="72" t="n">
        <v>3</v>
      </c>
      <c r="N15" s="82" t="n">
        <f aca="false">IFERROR(M15/4*15,0)</f>
        <v>11.25</v>
      </c>
      <c r="O15" s="70" t="n">
        <v>4</v>
      </c>
      <c r="P15" s="82" t="n">
        <f aca="false">IFERROR(O15/4*10,0)</f>
        <v>10</v>
      </c>
      <c r="Q15" s="71" t="n">
        <v>2</v>
      </c>
      <c r="R15" s="82" t="n">
        <f aca="false">IFERROR(Q15/4*10,0)</f>
        <v>5</v>
      </c>
      <c r="S15" s="73" t="n">
        <f aca="false">SUM(F15,H15,J15,L15,N15,P15,R15)</f>
        <v>67.5</v>
      </c>
      <c r="T15" s="74" t="n">
        <f aca="false">S15</f>
        <v>67.5</v>
      </c>
      <c r="U15" s="75" t="str">
        <f aca="false">IF(S15&gt;=90,"O",IF(S15&gt;=80,"A+",IF(S15&gt;=70,"A",IF(S15&gt;=60,"B+",IF(S15&gt;=50,"B","F")))))</f>
        <v>B+</v>
      </c>
      <c r="V15" s="76" t="str">
        <f aca="false">IF(S15&gt;=90,"Outstanding",IF(S15&gt;=75,"Excellent",IF(S15&gt;=60,"Good",IF(S15&gt;=50,"Satisfactory","Inadequate"))))</f>
        <v>Good</v>
      </c>
      <c r="W15" s="77" t="n">
        <f aca="false">S15/100</f>
        <v>0.675</v>
      </c>
      <c r="X15" s="78" t="str">
        <f aca="false">IF(S15&gt;=50,"Passed","Revision Req.")</f>
        <v>Passed</v>
      </c>
    </row>
    <row r="16" customFormat="false" ht="21.75" hidden="false" customHeight="true" outlineLevel="0" collapsed="false">
      <c r="A16" s="65" t="n">
        <v>7</v>
      </c>
      <c r="B16" s="65" t="s">
        <v>161</v>
      </c>
      <c r="C16" s="66" t="s">
        <v>162</v>
      </c>
      <c r="D16" s="67" t="s">
        <v>163</v>
      </c>
      <c r="E16" s="72" t="n">
        <v>3</v>
      </c>
      <c r="F16" s="69" t="n">
        <f aca="false">IFERROR(E16/4*10,0)</f>
        <v>7.5</v>
      </c>
      <c r="G16" s="70" t="n">
        <v>4</v>
      </c>
      <c r="H16" s="69" t="n">
        <f aca="false">IFERROR(G16/4*15,0)</f>
        <v>15</v>
      </c>
      <c r="I16" s="70" t="n">
        <v>4</v>
      </c>
      <c r="J16" s="69" t="n">
        <f aca="false">IFERROR(I16/4*20,0)</f>
        <v>20</v>
      </c>
      <c r="K16" s="70" t="n">
        <v>4</v>
      </c>
      <c r="L16" s="69" t="n">
        <f aca="false">IFERROR(K16/4*20,0)</f>
        <v>20</v>
      </c>
      <c r="M16" s="68" t="n">
        <v>1</v>
      </c>
      <c r="N16" s="69" t="n">
        <f aca="false">IFERROR(M16/4*15,0)</f>
        <v>3.75</v>
      </c>
      <c r="O16" s="70" t="n">
        <v>4</v>
      </c>
      <c r="P16" s="69" t="n">
        <f aca="false">IFERROR(O16/4*10,0)</f>
        <v>10</v>
      </c>
      <c r="Q16" s="68" t="n">
        <v>1</v>
      </c>
      <c r="R16" s="69" t="n">
        <f aca="false">IFERROR(Q16/4*10,0)</f>
        <v>2.5</v>
      </c>
      <c r="S16" s="73" t="n">
        <f aca="false">SUM(F16,H16,J16,L16,N16,P16,R16)</f>
        <v>78.75</v>
      </c>
      <c r="T16" s="74" t="n">
        <f aca="false">S16</f>
        <v>78.75</v>
      </c>
      <c r="U16" s="75" t="str">
        <f aca="false">IF(S16&gt;=90,"O",IF(S16&gt;=80,"A+",IF(S16&gt;=70,"A",IF(S16&gt;=60,"B+",IF(S16&gt;=50,"B","F")))))</f>
        <v>A</v>
      </c>
      <c r="V16" s="76" t="str">
        <f aca="false">IF(S16&gt;=90,"Outstanding",IF(S16&gt;=75,"Excellent",IF(S16&gt;=60,"Good",IF(S16&gt;=50,"Satisfactory","Inadequate"))))</f>
        <v>Excellent</v>
      </c>
      <c r="W16" s="77" t="n">
        <f aca="false">S16/100</f>
        <v>0.7875</v>
      </c>
      <c r="X16" s="78" t="str">
        <f aca="false">IF(S16&gt;=50,"Passed","Revision Req.")</f>
        <v>Passed</v>
      </c>
    </row>
    <row r="17" customFormat="false" ht="21.75" hidden="false" customHeight="true" outlineLevel="0" collapsed="false">
      <c r="A17" s="79" t="n">
        <v>8</v>
      </c>
      <c r="B17" s="79" t="s">
        <v>164</v>
      </c>
      <c r="C17" s="80" t="s">
        <v>165</v>
      </c>
      <c r="D17" s="81" t="s">
        <v>166</v>
      </c>
      <c r="E17" s="72" t="n">
        <v>3</v>
      </c>
      <c r="F17" s="82" t="n">
        <f aca="false">IFERROR(E17/4*10,0)</f>
        <v>7.5</v>
      </c>
      <c r="G17" s="71" t="n">
        <v>2</v>
      </c>
      <c r="H17" s="82" t="n">
        <f aca="false">IFERROR(G17/4*15,0)</f>
        <v>7.5</v>
      </c>
      <c r="I17" s="72" t="n">
        <v>3</v>
      </c>
      <c r="J17" s="82" t="n">
        <f aca="false">IFERROR(I17/4*20,0)</f>
        <v>15</v>
      </c>
      <c r="K17" s="71" t="n">
        <v>2</v>
      </c>
      <c r="L17" s="82" t="n">
        <f aca="false">IFERROR(K17/4*20,0)</f>
        <v>10</v>
      </c>
      <c r="M17" s="72" t="n">
        <v>3</v>
      </c>
      <c r="N17" s="82" t="n">
        <f aca="false">IFERROR(M17/4*15,0)</f>
        <v>11.25</v>
      </c>
      <c r="O17" s="71" t="n">
        <v>2</v>
      </c>
      <c r="P17" s="82" t="n">
        <f aca="false">IFERROR(O17/4*10,0)</f>
        <v>5</v>
      </c>
      <c r="Q17" s="72" t="n">
        <v>3</v>
      </c>
      <c r="R17" s="82" t="n">
        <f aca="false">IFERROR(Q17/4*10,0)</f>
        <v>7.5</v>
      </c>
      <c r="S17" s="73" t="n">
        <f aca="false">SUM(F17,H17,J17,L17,N17,P17,R17)</f>
        <v>63.75</v>
      </c>
      <c r="T17" s="74" t="n">
        <f aca="false">S17</f>
        <v>63.75</v>
      </c>
      <c r="U17" s="75" t="str">
        <f aca="false">IF(S17&gt;=90,"O",IF(S17&gt;=80,"A+",IF(S17&gt;=70,"A",IF(S17&gt;=60,"B+",IF(S17&gt;=50,"B","F")))))</f>
        <v>B+</v>
      </c>
      <c r="V17" s="76" t="str">
        <f aca="false">IF(S17&gt;=90,"Outstanding",IF(S17&gt;=75,"Excellent",IF(S17&gt;=60,"Good",IF(S17&gt;=50,"Satisfactory","Inadequate"))))</f>
        <v>Good</v>
      </c>
      <c r="W17" s="77" t="n">
        <f aca="false">S17/100</f>
        <v>0.6375</v>
      </c>
      <c r="X17" s="78" t="str">
        <f aca="false">IF(S17&gt;=50,"Passed","Revision Req.")</f>
        <v>Passed</v>
      </c>
    </row>
    <row r="18" customFormat="false" ht="21.75" hidden="false" customHeight="true" outlineLevel="0" collapsed="false">
      <c r="A18" s="65" t="n">
        <v>9</v>
      </c>
      <c r="B18" s="65" t="s">
        <v>167</v>
      </c>
      <c r="C18" s="66" t="s">
        <v>168</v>
      </c>
      <c r="D18" s="67" t="s">
        <v>169</v>
      </c>
      <c r="E18" s="72" t="n">
        <v>3</v>
      </c>
      <c r="F18" s="69" t="n">
        <f aca="false">IFERROR(E18/4*10,0)</f>
        <v>7.5</v>
      </c>
      <c r="G18" s="72" t="n">
        <v>3</v>
      </c>
      <c r="H18" s="69" t="n">
        <f aca="false">IFERROR(G18/4*15,0)</f>
        <v>11.25</v>
      </c>
      <c r="I18" s="72" t="n">
        <v>3</v>
      </c>
      <c r="J18" s="69" t="n">
        <f aca="false">IFERROR(I18/4*20,0)</f>
        <v>15</v>
      </c>
      <c r="K18" s="68" t="n">
        <v>1</v>
      </c>
      <c r="L18" s="69" t="n">
        <f aca="false">IFERROR(K18/4*20,0)</f>
        <v>5</v>
      </c>
      <c r="M18" s="71" t="n">
        <v>2</v>
      </c>
      <c r="N18" s="69" t="n">
        <f aca="false">IFERROR(M18/4*15,0)</f>
        <v>7.5</v>
      </c>
      <c r="O18" s="72" t="n">
        <v>3</v>
      </c>
      <c r="P18" s="69" t="n">
        <f aca="false">IFERROR(O18/4*10,0)</f>
        <v>7.5</v>
      </c>
      <c r="Q18" s="72" t="n">
        <v>3</v>
      </c>
      <c r="R18" s="69" t="n">
        <f aca="false">IFERROR(Q18/4*10,0)</f>
        <v>7.5</v>
      </c>
      <c r="S18" s="73" t="n">
        <f aca="false">SUM(F18,H18,J18,L18,N18,P18,R18)</f>
        <v>61.25</v>
      </c>
      <c r="T18" s="74" t="n">
        <f aca="false">S18</f>
        <v>61.25</v>
      </c>
      <c r="U18" s="75" t="str">
        <f aca="false">IF(S18&gt;=90,"O",IF(S18&gt;=80,"A+",IF(S18&gt;=70,"A",IF(S18&gt;=60,"B+",IF(S18&gt;=50,"B","F")))))</f>
        <v>B+</v>
      </c>
      <c r="V18" s="76" t="str">
        <f aca="false">IF(S18&gt;=90,"Outstanding",IF(S18&gt;=75,"Excellent",IF(S18&gt;=60,"Good",IF(S18&gt;=50,"Satisfactory","Inadequate"))))</f>
        <v>Good</v>
      </c>
      <c r="W18" s="77" t="n">
        <f aca="false">S18/100</f>
        <v>0.6125</v>
      </c>
      <c r="X18" s="78" t="str">
        <f aca="false">IF(S18&gt;=50,"Passed","Revision Req.")</f>
        <v>Passed</v>
      </c>
    </row>
    <row r="19" customFormat="false" ht="21.75" hidden="false" customHeight="true" outlineLevel="0" collapsed="false">
      <c r="A19" s="79" t="n">
        <v>10</v>
      </c>
      <c r="B19" s="79" t="s">
        <v>170</v>
      </c>
      <c r="C19" s="80" t="s">
        <v>171</v>
      </c>
      <c r="D19" s="81" t="s">
        <v>172</v>
      </c>
      <c r="E19" s="71" t="n">
        <v>2</v>
      </c>
      <c r="F19" s="82" t="n">
        <f aca="false">IFERROR(E19/4*10,0)</f>
        <v>5</v>
      </c>
      <c r="G19" s="68" t="n">
        <v>1</v>
      </c>
      <c r="H19" s="82" t="n">
        <f aca="false">IFERROR(G19/4*15,0)</f>
        <v>3.75</v>
      </c>
      <c r="I19" s="72" t="n">
        <v>3</v>
      </c>
      <c r="J19" s="82" t="n">
        <f aca="false">IFERROR(I19/4*20,0)</f>
        <v>15</v>
      </c>
      <c r="K19" s="71" t="n">
        <v>2</v>
      </c>
      <c r="L19" s="82" t="n">
        <f aca="false">IFERROR(K19/4*20,0)</f>
        <v>10</v>
      </c>
      <c r="M19" s="70" t="n">
        <v>4</v>
      </c>
      <c r="N19" s="82" t="n">
        <f aca="false">IFERROR(M19/4*15,0)</f>
        <v>15</v>
      </c>
      <c r="O19" s="72" t="n">
        <v>3</v>
      </c>
      <c r="P19" s="82" t="n">
        <f aca="false">IFERROR(O19/4*10,0)</f>
        <v>7.5</v>
      </c>
      <c r="Q19" s="71" t="n">
        <v>2</v>
      </c>
      <c r="R19" s="82" t="n">
        <f aca="false">IFERROR(Q19/4*10,0)</f>
        <v>5</v>
      </c>
      <c r="S19" s="73" t="n">
        <f aca="false">SUM(F19,H19,J19,L19,N19,P19,R19)</f>
        <v>61.25</v>
      </c>
      <c r="T19" s="74" t="n">
        <f aca="false">S19</f>
        <v>61.25</v>
      </c>
      <c r="U19" s="75" t="str">
        <f aca="false">IF(S19&gt;=90,"O",IF(S19&gt;=80,"A+",IF(S19&gt;=70,"A",IF(S19&gt;=60,"B+",IF(S19&gt;=50,"B","F")))))</f>
        <v>B+</v>
      </c>
      <c r="V19" s="76" t="str">
        <f aca="false">IF(S19&gt;=90,"Outstanding",IF(S19&gt;=75,"Excellent",IF(S19&gt;=60,"Good",IF(S19&gt;=50,"Satisfactory","Inadequate"))))</f>
        <v>Good</v>
      </c>
      <c r="W19" s="77" t="n">
        <f aca="false">S19/100</f>
        <v>0.6125</v>
      </c>
      <c r="X19" s="78" t="str">
        <f aca="false">IF(S19&gt;=50,"Passed","Revision Req.")</f>
        <v>Passed</v>
      </c>
    </row>
    <row r="20" customFormat="false" ht="21.75" hidden="false" customHeight="true" outlineLevel="0" collapsed="false">
      <c r="A20" s="65" t="n">
        <v>11</v>
      </c>
      <c r="B20" s="65" t="s">
        <v>173</v>
      </c>
      <c r="C20" s="66" t="s">
        <v>174</v>
      </c>
      <c r="D20" s="67" t="s">
        <v>175</v>
      </c>
      <c r="E20" s="72" t="n">
        <v>3</v>
      </c>
      <c r="F20" s="69" t="n">
        <f aca="false">IFERROR(E20/4*10,0)</f>
        <v>7.5</v>
      </c>
      <c r="G20" s="68" t="n">
        <v>1</v>
      </c>
      <c r="H20" s="69" t="n">
        <f aca="false">IFERROR(G20/4*15,0)</f>
        <v>3.75</v>
      </c>
      <c r="I20" s="70" t="n">
        <v>4</v>
      </c>
      <c r="J20" s="69" t="n">
        <f aca="false">IFERROR(I20/4*20,0)</f>
        <v>20</v>
      </c>
      <c r="K20" s="68" t="n">
        <v>1</v>
      </c>
      <c r="L20" s="69" t="n">
        <f aca="false">IFERROR(K20/4*20,0)</f>
        <v>5</v>
      </c>
      <c r="M20" s="71" t="n">
        <v>2</v>
      </c>
      <c r="N20" s="69" t="n">
        <f aca="false">IFERROR(M20/4*15,0)</f>
        <v>7.5</v>
      </c>
      <c r="O20" s="71" t="n">
        <v>2</v>
      </c>
      <c r="P20" s="69" t="n">
        <f aca="false">IFERROR(O20/4*10,0)</f>
        <v>5</v>
      </c>
      <c r="Q20" s="71" t="n">
        <v>2</v>
      </c>
      <c r="R20" s="69" t="n">
        <f aca="false">IFERROR(Q20/4*10,0)</f>
        <v>5</v>
      </c>
      <c r="S20" s="73" t="n">
        <f aca="false">SUM(F20,H20,J20,L20,N20,P20,R20)</f>
        <v>53.75</v>
      </c>
      <c r="T20" s="74" t="n">
        <f aca="false">S20</f>
        <v>53.75</v>
      </c>
      <c r="U20" s="75" t="str">
        <f aca="false">IF(S20&gt;=90,"O",IF(S20&gt;=80,"A+",IF(S20&gt;=70,"A",IF(S20&gt;=60,"B+",IF(S20&gt;=50,"B","F")))))</f>
        <v>B</v>
      </c>
      <c r="V20" s="76" t="str">
        <f aca="false">IF(S20&gt;=90,"Outstanding",IF(S20&gt;=75,"Excellent",IF(S20&gt;=60,"Good",IF(S20&gt;=50,"Satisfactory","Inadequate"))))</f>
        <v>Satisfactory</v>
      </c>
      <c r="W20" s="77" t="n">
        <f aca="false">S20/100</f>
        <v>0.5375</v>
      </c>
      <c r="X20" s="78" t="str">
        <f aca="false">IF(S20&gt;=50,"Passed","Revision Req.")</f>
        <v>Passed</v>
      </c>
    </row>
    <row r="21" customFormat="false" ht="21.75" hidden="false" customHeight="true" outlineLevel="0" collapsed="false">
      <c r="A21" s="79" t="n">
        <v>12</v>
      </c>
      <c r="B21" s="79" t="s">
        <v>176</v>
      </c>
      <c r="C21" s="80" t="s">
        <v>177</v>
      </c>
      <c r="D21" s="81" t="s">
        <v>178</v>
      </c>
      <c r="E21" s="71" t="n">
        <v>2</v>
      </c>
      <c r="F21" s="82" t="n">
        <f aca="false">IFERROR(E21/4*10,0)</f>
        <v>5</v>
      </c>
      <c r="G21" s="71" t="n">
        <v>2</v>
      </c>
      <c r="H21" s="82" t="n">
        <f aca="false">IFERROR(G21/4*15,0)</f>
        <v>7.5</v>
      </c>
      <c r="I21" s="70" t="n">
        <v>4</v>
      </c>
      <c r="J21" s="82" t="n">
        <f aca="false">IFERROR(I21/4*20,0)</f>
        <v>20</v>
      </c>
      <c r="K21" s="71" t="n">
        <v>2</v>
      </c>
      <c r="L21" s="82" t="n">
        <f aca="false">IFERROR(K21/4*20,0)</f>
        <v>10</v>
      </c>
      <c r="M21" s="72" t="n">
        <v>3</v>
      </c>
      <c r="N21" s="82" t="n">
        <f aca="false">IFERROR(M21/4*15,0)</f>
        <v>11.25</v>
      </c>
      <c r="O21" s="68" t="n">
        <v>1</v>
      </c>
      <c r="P21" s="82" t="n">
        <f aca="false">IFERROR(O21/4*10,0)</f>
        <v>2.5</v>
      </c>
      <c r="Q21" s="68" t="n">
        <v>1</v>
      </c>
      <c r="R21" s="82" t="n">
        <f aca="false">IFERROR(Q21/4*10,0)</f>
        <v>2.5</v>
      </c>
      <c r="S21" s="73" t="n">
        <f aca="false">SUM(F21,H21,J21,L21,N21,P21,R21)</f>
        <v>58.75</v>
      </c>
      <c r="T21" s="74" t="n">
        <f aca="false">S21</f>
        <v>58.75</v>
      </c>
      <c r="U21" s="75" t="str">
        <f aca="false">IF(S21&gt;=90,"O",IF(S21&gt;=80,"A+",IF(S21&gt;=70,"A",IF(S21&gt;=60,"B+",IF(S21&gt;=50,"B","F")))))</f>
        <v>B</v>
      </c>
      <c r="V21" s="76" t="str">
        <f aca="false">IF(S21&gt;=90,"Outstanding",IF(S21&gt;=75,"Excellent",IF(S21&gt;=60,"Good",IF(S21&gt;=50,"Satisfactory","Inadequate"))))</f>
        <v>Satisfactory</v>
      </c>
      <c r="W21" s="77" t="n">
        <f aca="false">S21/100</f>
        <v>0.5875</v>
      </c>
      <c r="X21" s="78" t="str">
        <f aca="false">IF(S21&gt;=50,"Passed","Revision Req.")</f>
        <v>Passed</v>
      </c>
    </row>
    <row r="22" customFormat="false" ht="21.75" hidden="false" customHeight="true" outlineLevel="0" collapsed="false">
      <c r="A22" s="65" t="n">
        <v>13</v>
      </c>
      <c r="B22" s="65" t="s">
        <v>179</v>
      </c>
      <c r="C22" s="66" t="s">
        <v>180</v>
      </c>
      <c r="D22" s="67" t="s">
        <v>181</v>
      </c>
      <c r="E22" s="70" t="n">
        <v>4</v>
      </c>
      <c r="F22" s="69" t="n">
        <f aca="false">IFERROR(E22/4*10,0)</f>
        <v>10</v>
      </c>
      <c r="G22" s="71" t="n">
        <v>2</v>
      </c>
      <c r="H22" s="69" t="n">
        <f aca="false">IFERROR(G22/4*15,0)</f>
        <v>7.5</v>
      </c>
      <c r="I22" s="71" t="n">
        <v>2</v>
      </c>
      <c r="J22" s="69" t="n">
        <f aca="false">IFERROR(I22/4*20,0)</f>
        <v>10</v>
      </c>
      <c r="K22" s="71" t="n">
        <v>2</v>
      </c>
      <c r="L22" s="69" t="n">
        <f aca="false">IFERROR(K22/4*20,0)</f>
        <v>10</v>
      </c>
      <c r="M22" s="71" t="n">
        <v>2</v>
      </c>
      <c r="N22" s="69" t="n">
        <f aca="false">IFERROR(M22/4*15,0)</f>
        <v>7.5</v>
      </c>
      <c r="O22" s="72" t="n">
        <v>3</v>
      </c>
      <c r="P22" s="69" t="n">
        <f aca="false">IFERROR(O22/4*10,0)</f>
        <v>7.5</v>
      </c>
      <c r="Q22" s="72" t="n">
        <v>3</v>
      </c>
      <c r="R22" s="69" t="n">
        <f aca="false">IFERROR(Q22/4*10,0)</f>
        <v>7.5</v>
      </c>
      <c r="S22" s="73" t="n">
        <f aca="false">SUM(F22,H22,J22,L22,N22,P22,R22)</f>
        <v>60</v>
      </c>
      <c r="T22" s="74" t="n">
        <f aca="false">S22</f>
        <v>60</v>
      </c>
      <c r="U22" s="75" t="str">
        <f aca="false">IF(S22&gt;=90,"O",IF(S22&gt;=80,"A+",IF(S22&gt;=70,"A",IF(S22&gt;=60,"B+",IF(S22&gt;=50,"B","F")))))</f>
        <v>B+</v>
      </c>
      <c r="V22" s="76" t="str">
        <f aca="false">IF(S22&gt;=90,"Outstanding",IF(S22&gt;=75,"Excellent",IF(S22&gt;=60,"Good",IF(S22&gt;=50,"Satisfactory","Inadequate"))))</f>
        <v>Good</v>
      </c>
      <c r="W22" s="77" t="n">
        <f aca="false">S22/100</f>
        <v>0.6</v>
      </c>
      <c r="X22" s="78" t="str">
        <f aca="false">IF(S22&gt;=50,"Passed","Revision Req.")</f>
        <v>Passed</v>
      </c>
    </row>
    <row r="23" customFormat="false" ht="21.75" hidden="false" customHeight="true" outlineLevel="0" collapsed="false">
      <c r="A23" s="79" t="n">
        <v>14</v>
      </c>
      <c r="B23" s="79" t="s">
        <v>182</v>
      </c>
      <c r="C23" s="80" t="s">
        <v>183</v>
      </c>
      <c r="D23" s="81" t="s">
        <v>184</v>
      </c>
      <c r="E23" s="71" t="n">
        <v>2</v>
      </c>
      <c r="F23" s="82" t="n">
        <f aca="false">IFERROR(E23/4*10,0)</f>
        <v>5</v>
      </c>
      <c r="G23" s="72" t="n">
        <v>3</v>
      </c>
      <c r="H23" s="82" t="n">
        <f aca="false">IFERROR(G23/4*15,0)</f>
        <v>11.25</v>
      </c>
      <c r="I23" s="72" t="n">
        <v>3</v>
      </c>
      <c r="J23" s="82" t="n">
        <f aca="false">IFERROR(I23/4*20,0)</f>
        <v>15</v>
      </c>
      <c r="K23" s="71" t="n">
        <v>2</v>
      </c>
      <c r="L23" s="82" t="n">
        <f aca="false">IFERROR(K23/4*20,0)</f>
        <v>10</v>
      </c>
      <c r="M23" s="70" t="n">
        <v>4</v>
      </c>
      <c r="N23" s="82" t="n">
        <f aca="false">IFERROR(M23/4*15,0)</f>
        <v>15</v>
      </c>
      <c r="O23" s="71" t="n">
        <v>2</v>
      </c>
      <c r="P23" s="82" t="n">
        <f aca="false">IFERROR(O23/4*10,0)</f>
        <v>5</v>
      </c>
      <c r="Q23" s="70" t="n">
        <v>4</v>
      </c>
      <c r="R23" s="82" t="n">
        <f aca="false">IFERROR(Q23/4*10,0)</f>
        <v>10</v>
      </c>
      <c r="S23" s="73" t="n">
        <f aca="false">SUM(F23,H23,J23,L23,N23,P23,R23)</f>
        <v>71.25</v>
      </c>
      <c r="T23" s="74" t="n">
        <f aca="false">S23</f>
        <v>71.25</v>
      </c>
      <c r="U23" s="75" t="str">
        <f aca="false">IF(S23&gt;=90,"O",IF(S23&gt;=80,"A+",IF(S23&gt;=70,"A",IF(S23&gt;=60,"B+",IF(S23&gt;=50,"B","F")))))</f>
        <v>A</v>
      </c>
      <c r="V23" s="76" t="str">
        <f aca="false">IF(S23&gt;=90,"Outstanding",IF(S23&gt;=75,"Excellent",IF(S23&gt;=60,"Good",IF(S23&gt;=50,"Satisfactory","Inadequate"))))</f>
        <v>Good</v>
      </c>
      <c r="W23" s="77" t="n">
        <f aca="false">S23/100</f>
        <v>0.7125</v>
      </c>
      <c r="X23" s="78" t="str">
        <f aca="false">IF(S23&gt;=50,"Passed","Revision Req.")</f>
        <v>Passed</v>
      </c>
    </row>
    <row r="24" customFormat="false" ht="21.75" hidden="false" customHeight="true" outlineLevel="0" collapsed="false">
      <c r="A24" s="65" t="n">
        <v>15</v>
      </c>
      <c r="B24" s="65" t="s">
        <v>185</v>
      </c>
      <c r="C24" s="66" t="s">
        <v>186</v>
      </c>
      <c r="D24" s="67" t="s">
        <v>187</v>
      </c>
      <c r="E24" s="71" t="n">
        <v>2</v>
      </c>
      <c r="F24" s="69" t="n">
        <f aca="false">IFERROR(E24/4*10,0)</f>
        <v>5</v>
      </c>
      <c r="G24" s="68" t="n">
        <v>1</v>
      </c>
      <c r="H24" s="69" t="n">
        <f aca="false">IFERROR(G24/4*15,0)</f>
        <v>3.75</v>
      </c>
      <c r="I24" s="71" t="n">
        <v>2</v>
      </c>
      <c r="J24" s="69" t="n">
        <f aca="false">IFERROR(I24/4*20,0)</f>
        <v>10</v>
      </c>
      <c r="K24" s="71" t="n">
        <v>2</v>
      </c>
      <c r="L24" s="69" t="n">
        <f aca="false">IFERROR(K24/4*20,0)</f>
        <v>10</v>
      </c>
      <c r="M24" s="70" t="n">
        <v>4</v>
      </c>
      <c r="N24" s="69" t="n">
        <f aca="false">IFERROR(M24/4*15,0)</f>
        <v>15</v>
      </c>
      <c r="O24" s="72" t="n">
        <v>3</v>
      </c>
      <c r="P24" s="69" t="n">
        <f aca="false">IFERROR(O24/4*10,0)</f>
        <v>7.5</v>
      </c>
      <c r="Q24" s="71" t="n">
        <v>2</v>
      </c>
      <c r="R24" s="69" t="n">
        <f aca="false">IFERROR(Q24/4*10,0)</f>
        <v>5</v>
      </c>
      <c r="S24" s="73" t="n">
        <f aca="false">SUM(F24,H24,J24,L24,N24,P24,R24)</f>
        <v>56.25</v>
      </c>
      <c r="T24" s="74" t="n">
        <f aca="false">S24</f>
        <v>56.25</v>
      </c>
      <c r="U24" s="75" t="str">
        <f aca="false">IF(S24&gt;=90,"O",IF(S24&gt;=80,"A+",IF(S24&gt;=70,"A",IF(S24&gt;=60,"B+",IF(S24&gt;=50,"B","F")))))</f>
        <v>B</v>
      </c>
      <c r="V24" s="76" t="str">
        <f aca="false">IF(S24&gt;=90,"Outstanding",IF(S24&gt;=75,"Excellent",IF(S24&gt;=60,"Good",IF(S24&gt;=50,"Satisfactory","Inadequate"))))</f>
        <v>Satisfactory</v>
      </c>
      <c r="W24" s="77" t="n">
        <f aca="false">S24/100</f>
        <v>0.5625</v>
      </c>
      <c r="X24" s="78" t="str">
        <f aca="false">IF(S24&gt;=50,"Passed","Revision Req.")</f>
        <v>Passed</v>
      </c>
    </row>
    <row r="25" customFormat="false" ht="21.75" hidden="false" customHeight="true" outlineLevel="0" collapsed="false">
      <c r="A25" s="79" t="n">
        <v>16</v>
      </c>
      <c r="B25" s="79" t="s">
        <v>188</v>
      </c>
      <c r="C25" s="80" t="s">
        <v>189</v>
      </c>
      <c r="D25" s="81" t="s">
        <v>190</v>
      </c>
      <c r="E25" s="68" t="n">
        <v>1</v>
      </c>
      <c r="F25" s="82" t="n">
        <f aca="false">IFERROR(E25/4*10,0)</f>
        <v>2.5</v>
      </c>
      <c r="G25" s="72" t="n">
        <v>3</v>
      </c>
      <c r="H25" s="82" t="n">
        <f aca="false">IFERROR(G25/4*15,0)</f>
        <v>11.25</v>
      </c>
      <c r="I25" s="72" t="n">
        <v>3</v>
      </c>
      <c r="J25" s="82" t="n">
        <f aca="false">IFERROR(I25/4*20,0)</f>
        <v>15</v>
      </c>
      <c r="K25" s="72" t="n">
        <v>3</v>
      </c>
      <c r="L25" s="82" t="n">
        <f aca="false">IFERROR(K25/4*20,0)</f>
        <v>15</v>
      </c>
      <c r="M25" s="70" t="n">
        <v>4</v>
      </c>
      <c r="N25" s="82" t="n">
        <f aca="false">IFERROR(M25/4*15,0)</f>
        <v>15</v>
      </c>
      <c r="O25" s="72" t="n">
        <v>3</v>
      </c>
      <c r="P25" s="82" t="n">
        <f aca="false">IFERROR(O25/4*10,0)</f>
        <v>7.5</v>
      </c>
      <c r="Q25" s="72" t="n">
        <v>3</v>
      </c>
      <c r="R25" s="82" t="n">
        <f aca="false">IFERROR(Q25/4*10,0)</f>
        <v>7.5</v>
      </c>
      <c r="S25" s="73" t="n">
        <f aca="false">SUM(F25,H25,J25,L25,N25,P25,R25)</f>
        <v>73.75</v>
      </c>
      <c r="T25" s="74" t="n">
        <f aca="false">S25</f>
        <v>73.75</v>
      </c>
      <c r="U25" s="75" t="str">
        <f aca="false">IF(S25&gt;=90,"O",IF(S25&gt;=80,"A+",IF(S25&gt;=70,"A",IF(S25&gt;=60,"B+",IF(S25&gt;=50,"B","F")))))</f>
        <v>A</v>
      </c>
      <c r="V25" s="76" t="str">
        <f aca="false">IF(S25&gt;=90,"Outstanding",IF(S25&gt;=75,"Excellent",IF(S25&gt;=60,"Good",IF(S25&gt;=50,"Satisfactory","Inadequate"))))</f>
        <v>Good</v>
      </c>
      <c r="W25" s="77" t="n">
        <f aca="false">S25/100</f>
        <v>0.7375</v>
      </c>
      <c r="X25" s="78" t="str">
        <f aca="false">IF(S25&gt;=50,"Passed","Revision Req.")</f>
        <v>Passed</v>
      </c>
    </row>
    <row r="26" customFormat="false" ht="21.75" hidden="false" customHeight="true" outlineLevel="0" collapsed="false">
      <c r="A26" s="65" t="n">
        <v>17</v>
      </c>
      <c r="B26" s="65" t="s">
        <v>191</v>
      </c>
      <c r="C26" s="66" t="s">
        <v>192</v>
      </c>
      <c r="D26" s="67" t="s">
        <v>193</v>
      </c>
      <c r="E26" s="68" t="n">
        <v>1</v>
      </c>
      <c r="F26" s="69" t="n">
        <f aca="false">IFERROR(E26/4*10,0)</f>
        <v>2.5</v>
      </c>
      <c r="G26" s="71" t="n">
        <v>2</v>
      </c>
      <c r="H26" s="69" t="n">
        <f aca="false">IFERROR(G26/4*15,0)</f>
        <v>7.5</v>
      </c>
      <c r="I26" s="72" t="n">
        <v>3</v>
      </c>
      <c r="J26" s="69" t="n">
        <f aca="false">IFERROR(I26/4*20,0)</f>
        <v>15</v>
      </c>
      <c r="K26" s="70" t="n">
        <v>4</v>
      </c>
      <c r="L26" s="69" t="n">
        <f aca="false">IFERROR(K26/4*20,0)</f>
        <v>20</v>
      </c>
      <c r="M26" s="70" t="n">
        <v>4</v>
      </c>
      <c r="N26" s="69" t="n">
        <f aca="false">IFERROR(M26/4*15,0)</f>
        <v>15</v>
      </c>
      <c r="O26" s="70" t="n">
        <v>4</v>
      </c>
      <c r="P26" s="69" t="n">
        <f aca="false">IFERROR(O26/4*10,0)</f>
        <v>10</v>
      </c>
      <c r="Q26" s="72" t="n">
        <v>3</v>
      </c>
      <c r="R26" s="69" t="n">
        <f aca="false">IFERROR(Q26/4*10,0)</f>
        <v>7.5</v>
      </c>
      <c r="S26" s="73" t="n">
        <f aca="false">SUM(F26,H26,J26,L26,N26,P26,R26)</f>
        <v>77.5</v>
      </c>
      <c r="T26" s="74" t="n">
        <f aca="false">S26</f>
        <v>77.5</v>
      </c>
      <c r="U26" s="75" t="str">
        <f aca="false">IF(S26&gt;=90,"O",IF(S26&gt;=80,"A+",IF(S26&gt;=70,"A",IF(S26&gt;=60,"B+",IF(S26&gt;=50,"B","F")))))</f>
        <v>A</v>
      </c>
      <c r="V26" s="76" t="str">
        <f aca="false">IF(S26&gt;=90,"Outstanding",IF(S26&gt;=75,"Excellent",IF(S26&gt;=60,"Good",IF(S26&gt;=50,"Satisfactory","Inadequate"))))</f>
        <v>Excellent</v>
      </c>
      <c r="W26" s="77" t="n">
        <f aca="false">S26/100</f>
        <v>0.775</v>
      </c>
      <c r="X26" s="78" t="str">
        <f aca="false">IF(S26&gt;=50,"Passed","Revision Req.")</f>
        <v>Passed</v>
      </c>
    </row>
    <row r="27" customFormat="false" ht="21.75" hidden="false" customHeight="true" outlineLevel="0" collapsed="false">
      <c r="A27" s="79" t="n">
        <v>18</v>
      </c>
      <c r="B27" s="79" t="s">
        <v>194</v>
      </c>
      <c r="C27" s="80" t="s">
        <v>195</v>
      </c>
      <c r="D27" s="81" t="s">
        <v>196</v>
      </c>
      <c r="E27" s="72" t="n">
        <v>3</v>
      </c>
      <c r="F27" s="82" t="n">
        <f aca="false">IFERROR(E27/4*10,0)</f>
        <v>7.5</v>
      </c>
      <c r="G27" s="68" t="n">
        <v>1</v>
      </c>
      <c r="H27" s="82" t="n">
        <f aca="false">IFERROR(G27/4*15,0)</f>
        <v>3.75</v>
      </c>
      <c r="I27" s="71" t="n">
        <v>2</v>
      </c>
      <c r="J27" s="82" t="n">
        <f aca="false">IFERROR(I27/4*20,0)</f>
        <v>10</v>
      </c>
      <c r="K27" s="71" t="n">
        <v>2</v>
      </c>
      <c r="L27" s="82" t="n">
        <f aca="false">IFERROR(K27/4*20,0)</f>
        <v>10</v>
      </c>
      <c r="M27" s="72" t="n">
        <v>3</v>
      </c>
      <c r="N27" s="82" t="n">
        <f aca="false">IFERROR(M27/4*15,0)</f>
        <v>11.25</v>
      </c>
      <c r="O27" s="68" t="n">
        <v>1</v>
      </c>
      <c r="P27" s="82" t="n">
        <f aca="false">IFERROR(O27/4*10,0)</f>
        <v>2.5</v>
      </c>
      <c r="Q27" s="72" t="n">
        <v>3</v>
      </c>
      <c r="R27" s="82" t="n">
        <f aca="false">IFERROR(Q27/4*10,0)</f>
        <v>7.5</v>
      </c>
      <c r="S27" s="73" t="n">
        <f aca="false">SUM(F27,H27,J27,L27,N27,P27,R27)</f>
        <v>52.5</v>
      </c>
      <c r="T27" s="74" t="n">
        <f aca="false">S27</f>
        <v>52.5</v>
      </c>
      <c r="U27" s="75" t="str">
        <f aca="false">IF(S27&gt;=90,"O",IF(S27&gt;=80,"A+",IF(S27&gt;=70,"A",IF(S27&gt;=60,"B+",IF(S27&gt;=50,"B","F")))))</f>
        <v>B</v>
      </c>
      <c r="V27" s="76" t="str">
        <f aca="false">IF(S27&gt;=90,"Outstanding",IF(S27&gt;=75,"Excellent",IF(S27&gt;=60,"Good",IF(S27&gt;=50,"Satisfactory","Inadequate"))))</f>
        <v>Satisfactory</v>
      </c>
      <c r="W27" s="77" t="n">
        <f aca="false">S27/100</f>
        <v>0.525</v>
      </c>
      <c r="X27" s="78" t="str">
        <f aca="false">IF(S27&gt;=50,"Passed","Revision Req.")</f>
        <v>Passed</v>
      </c>
    </row>
    <row r="28" customFormat="false" ht="21.75" hidden="false" customHeight="true" outlineLevel="0" collapsed="false">
      <c r="A28" s="65" t="n">
        <v>19</v>
      </c>
      <c r="B28" s="65" t="s">
        <v>197</v>
      </c>
      <c r="C28" s="66" t="s">
        <v>198</v>
      </c>
      <c r="D28" s="67" t="s">
        <v>199</v>
      </c>
      <c r="E28" s="71" t="n">
        <v>2</v>
      </c>
      <c r="F28" s="69" t="n">
        <f aca="false">IFERROR(E28/4*10,0)</f>
        <v>5</v>
      </c>
      <c r="G28" s="71" t="n">
        <v>2</v>
      </c>
      <c r="H28" s="69" t="n">
        <f aca="false">IFERROR(G28/4*15,0)</f>
        <v>7.5</v>
      </c>
      <c r="I28" s="70" t="n">
        <v>4</v>
      </c>
      <c r="J28" s="69" t="n">
        <f aca="false">IFERROR(I28/4*20,0)</f>
        <v>20</v>
      </c>
      <c r="K28" s="71" t="n">
        <v>2</v>
      </c>
      <c r="L28" s="69" t="n">
        <f aca="false">IFERROR(K28/4*20,0)</f>
        <v>10</v>
      </c>
      <c r="M28" s="68" t="n">
        <v>1</v>
      </c>
      <c r="N28" s="69" t="n">
        <f aca="false">IFERROR(M28/4*15,0)</f>
        <v>3.75</v>
      </c>
      <c r="O28" s="68" t="n">
        <v>1</v>
      </c>
      <c r="P28" s="69" t="n">
        <f aca="false">IFERROR(O28/4*10,0)</f>
        <v>2.5</v>
      </c>
      <c r="Q28" s="71" t="n">
        <v>2</v>
      </c>
      <c r="R28" s="69" t="n">
        <f aca="false">IFERROR(Q28/4*10,0)</f>
        <v>5</v>
      </c>
      <c r="S28" s="73" t="n">
        <f aca="false">SUM(F28,H28,J28,L28,N28,P28,R28)</f>
        <v>53.75</v>
      </c>
      <c r="T28" s="74" t="n">
        <f aca="false">S28</f>
        <v>53.75</v>
      </c>
      <c r="U28" s="75" t="str">
        <f aca="false">IF(S28&gt;=90,"O",IF(S28&gt;=80,"A+",IF(S28&gt;=70,"A",IF(S28&gt;=60,"B+",IF(S28&gt;=50,"B","F")))))</f>
        <v>B</v>
      </c>
      <c r="V28" s="76" t="str">
        <f aca="false">IF(S28&gt;=90,"Outstanding",IF(S28&gt;=75,"Excellent",IF(S28&gt;=60,"Good",IF(S28&gt;=50,"Satisfactory","Inadequate"))))</f>
        <v>Satisfactory</v>
      </c>
      <c r="W28" s="77" t="n">
        <f aca="false">S28/100</f>
        <v>0.5375</v>
      </c>
      <c r="X28" s="78" t="str">
        <f aca="false">IF(S28&gt;=50,"Passed","Revision Req.")</f>
        <v>Passed</v>
      </c>
    </row>
    <row r="29" customFormat="false" ht="21.75" hidden="false" customHeight="true" outlineLevel="0" collapsed="false">
      <c r="A29" s="79" t="n">
        <v>20</v>
      </c>
      <c r="B29" s="79" t="s">
        <v>200</v>
      </c>
      <c r="C29" s="80" t="s">
        <v>201</v>
      </c>
      <c r="D29" s="81" t="s">
        <v>202</v>
      </c>
      <c r="E29" s="72" t="n">
        <v>3</v>
      </c>
      <c r="F29" s="82" t="n">
        <f aca="false">IFERROR(E29/4*10,0)</f>
        <v>7.5</v>
      </c>
      <c r="G29" s="72" t="n">
        <v>3</v>
      </c>
      <c r="H29" s="82" t="n">
        <f aca="false">IFERROR(G29/4*15,0)</f>
        <v>11.25</v>
      </c>
      <c r="I29" s="68" t="n">
        <v>1</v>
      </c>
      <c r="J29" s="82" t="n">
        <f aca="false">IFERROR(I29/4*20,0)</f>
        <v>5</v>
      </c>
      <c r="K29" s="68" t="n">
        <v>1</v>
      </c>
      <c r="L29" s="82" t="n">
        <f aca="false">IFERROR(K29/4*20,0)</f>
        <v>5</v>
      </c>
      <c r="M29" s="68" t="n">
        <v>1</v>
      </c>
      <c r="N29" s="82" t="n">
        <f aca="false">IFERROR(M29/4*15,0)</f>
        <v>3.75</v>
      </c>
      <c r="O29" s="72" t="n">
        <v>3</v>
      </c>
      <c r="P29" s="82" t="n">
        <f aca="false">IFERROR(O29/4*10,0)</f>
        <v>7.5</v>
      </c>
      <c r="Q29" s="72" t="n">
        <v>3</v>
      </c>
      <c r="R29" s="82" t="n">
        <f aca="false">IFERROR(Q29/4*10,0)</f>
        <v>7.5</v>
      </c>
      <c r="S29" s="73" t="n">
        <f aca="false">SUM(F29,H29,J29,L29,N29,P29,R29)</f>
        <v>47.5</v>
      </c>
      <c r="T29" s="74" t="n">
        <f aca="false">S29</f>
        <v>47.5</v>
      </c>
      <c r="U29" s="75" t="str">
        <f aca="false">IF(S29&gt;=90,"O",IF(S29&gt;=80,"A+",IF(S29&gt;=70,"A",IF(S29&gt;=60,"B+",IF(S29&gt;=50,"B","F")))))</f>
        <v>F</v>
      </c>
      <c r="V29" s="76" t="str">
        <f aca="false">IF(S29&gt;=90,"Outstanding",IF(S29&gt;=75,"Excellent",IF(S29&gt;=60,"Good",IF(S29&gt;=50,"Satisfactory","Inadequate"))))</f>
        <v>Inadequate</v>
      </c>
      <c r="W29" s="77" t="n">
        <f aca="false">S29/100</f>
        <v>0.475</v>
      </c>
      <c r="X29" s="78" t="str">
        <f aca="false">IF(S29&gt;=50,"Passed","Revision Req.")</f>
        <v>Revision Req.</v>
      </c>
    </row>
    <row r="30" customFormat="false" ht="21.75" hidden="false" customHeight="true" outlineLevel="0" collapsed="false">
      <c r="A30" s="65" t="n">
        <v>21</v>
      </c>
      <c r="B30" s="65" t="s">
        <v>203</v>
      </c>
      <c r="C30" s="66" t="s">
        <v>204</v>
      </c>
      <c r="D30" s="67" t="s">
        <v>205</v>
      </c>
      <c r="E30" s="71" t="n">
        <v>2</v>
      </c>
      <c r="F30" s="69" t="n">
        <f aca="false">IFERROR(E30/4*10,0)</f>
        <v>5</v>
      </c>
      <c r="G30" s="72" t="n">
        <v>3</v>
      </c>
      <c r="H30" s="69" t="n">
        <f aca="false">IFERROR(G30/4*15,0)</f>
        <v>11.25</v>
      </c>
      <c r="I30" s="72" t="n">
        <v>3</v>
      </c>
      <c r="J30" s="69" t="n">
        <f aca="false">IFERROR(I30/4*20,0)</f>
        <v>15</v>
      </c>
      <c r="K30" s="71" t="n">
        <v>2</v>
      </c>
      <c r="L30" s="69" t="n">
        <f aca="false">IFERROR(K30/4*20,0)</f>
        <v>10</v>
      </c>
      <c r="M30" s="68" t="n">
        <v>1</v>
      </c>
      <c r="N30" s="69" t="n">
        <f aca="false">IFERROR(M30/4*15,0)</f>
        <v>3.75</v>
      </c>
      <c r="O30" s="70" t="n">
        <v>4</v>
      </c>
      <c r="P30" s="69" t="n">
        <f aca="false">IFERROR(O30/4*10,0)</f>
        <v>10</v>
      </c>
      <c r="Q30" s="70" t="n">
        <v>4</v>
      </c>
      <c r="R30" s="69" t="n">
        <f aca="false">IFERROR(Q30/4*10,0)</f>
        <v>10</v>
      </c>
      <c r="S30" s="73" t="n">
        <f aca="false">SUM(F30,H30,J30,L30,N30,P30,R30)</f>
        <v>65</v>
      </c>
      <c r="T30" s="74" t="n">
        <f aca="false">S30</f>
        <v>65</v>
      </c>
      <c r="U30" s="75" t="str">
        <f aca="false">IF(S30&gt;=90,"O",IF(S30&gt;=80,"A+",IF(S30&gt;=70,"A",IF(S30&gt;=60,"B+",IF(S30&gt;=50,"B","F")))))</f>
        <v>B+</v>
      </c>
      <c r="V30" s="76" t="str">
        <f aca="false">IF(S30&gt;=90,"Outstanding",IF(S30&gt;=75,"Excellent",IF(S30&gt;=60,"Good",IF(S30&gt;=50,"Satisfactory","Inadequate"))))</f>
        <v>Good</v>
      </c>
      <c r="W30" s="77" t="n">
        <f aca="false">S30/100</f>
        <v>0.65</v>
      </c>
      <c r="X30" s="78" t="str">
        <f aca="false">IF(S30&gt;=50,"Passed","Revision Req.")</f>
        <v>Passed</v>
      </c>
    </row>
    <row r="31" customFormat="false" ht="21.75" hidden="false" customHeight="true" outlineLevel="0" collapsed="false">
      <c r="A31" s="79" t="n">
        <v>22</v>
      </c>
      <c r="B31" s="79" t="s">
        <v>206</v>
      </c>
      <c r="C31" s="80" t="s">
        <v>207</v>
      </c>
      <c r="D31" s="81" t="s">
        <v>208</v>
      </c>
      <c r="E31" s="72" t="n">
        <v>3</v>
      </c>
      <c r="F31" s="82" t="n">
        <f aca="false">IFERROR(E31/4*10,0)</f>
        <v>7.5</v>
      </c>
      <c r="G31" s="72" t="n">
        <v>3</v>
      </c>
      <c r="H31" s="82" t="n">
        <f aca="false">IFERROR(G31/4*15,0)</f>
        <v>11.25</v>
      </c>
      <c r="I31" s="72" t="n">
        <v>3</v>
      </c>
      <c r="J31" s="82" t="n">
        <f aca="false">IFERROR(I31/4*20,0)</f>
        <v>15</v>
      </c>
      <c r="K31" s="71" t="n">
        <v>2</v>
      </c>
      <c r="L31" s="82" t="n">
        <f aca="false">IFERROR(K31/4*20,0)</f>
        <v>10</v>
      </c>
      <c r="M31" s="72" t="n">
        <v>3</v>
      </c>
      <c r="N31" s="82" t="n">
        <f aca="false">IFERROR(M31/4*15,0)</f>
        <v>11.25</v>
      </c>
      <c r="O31" s="70" t="n">
        <v>4</v>
      </c>
      <c r="P31" s="82" t="n">
        <f aca="false">IFERROR(O31/4*10,0)</f>
        <v>10</v>
      </c>
      <c r="Q31" s="68" t="n">
        <v>1</v>
      </c>
      <c r="R31" s="82" t="n">
        <f aca="false">IFERROR(Q31/4*10,0)</f>
        <v>2.5</v>
      </c>
      <c r="S31" s="73" t="n">
        <f aca="false">SUM(F31,H31,J31,L31,N31,P31,R31)</f>
        <v>67.5</v>
      </c>
      <c r="T31" s="74" t="n">
        <f aca="false">S31</f>
        <v>67.5</v>
      </c>
      <c r="U31" s="75" t="str">
        <f aca="false">IF(S31&gt;=90,"O",IF(S31&gt;=80,"A+",IF(S31&gt;=70,"A",IF(S31&gt;=60,"B+",IF(S31&gt;=50,"B","F")))))</f>
        <v>B+</v>
      </c>
      <c r="V31" s="76" t="str">
        <f aca="false">IF(S31&gt;=90,"Outstanding",IF(S31&gt;=75,"Excellent",IF(S31&gt;=60,"Good",IF(S31&gt;=50,"Satisfactory","Inadequate"))))</f>
        <v>Good</v>
      </c>
      <c r="W31" s="77" t="n">
        <f aca="false">S31/100</f>
        <v>0.675</v>
      </c>
      <c r="X31" s="78" t="str">
        <f aca="false">IF(S31&gt;=50,"Passed","Revision Req.")</f>
        <v>Passed</v>
      </c>
    </row>
    <row r="32" customFormat="false" ht="21.75" hidden="false" customHeight="true" outlineLevel="0" collapsed="false">
      <c r="A32" s="65" t="n">
        <v>23</v>
      </c>
      <c r="B32" s="65" t="s">
        <v>209</v>
      </c>
      <c r="C32" s="66" t="s">
        <v>210</v>
      </c>
      <c r="D32" s="67" t="s">
        <v>211</v>
      </c>
      <c r="E32" s="72" t="n">
        <v>3</v>
      </c>
      <c r="F32" s="69" t="n">
        <f aca="false">IFERROR(E32/4*10,0)</f>
        <v>7.5</v>
      </c>
      <c r="G32" s="68" t="n">
        <v>1</v>
      </c>
      <c r="H32" s="69" t="n">
        <f aca="false">IFERROR(G32/4*15,0)</f>
        <v>3.75</v>
      </c>
      <c r="I32" s="70" t="n">
        <v>4</v>
      </c>
      <c r="J32" s="69" t="n">
        <f aca="false">IFERROR(I32/4*20,0)</f>
        <v>20</v>
      </c>
      <c r="K32" s="71" t="n">
        <v>2</v>
      </c>
      <c r="L32" s="69" t="n">
        <f aca="false">IFERROR(K32/4*20,0)</f>
        <v>10</v>
      </c>
      <c r="M32" s="68" t="n">
        <v>1</v>
      </c>
      <c r="N32" s="69" t="n">
        <f aca="false">IFERROR(M32/4*15,0)</f>
        <v>3.75</v>
      </c>
      <c r="O32" s="70" t="n">
        <v>4</v>
      </c>
      <c r="P32" s="69" t="n">
        <f aca="false">IFERROR(O32/4*10,0)</f>
        <v>10</v>
      </c>
      <c r="Q32" s="70" t="n">
        <v>4</v>
      </c>
      <c r="R32" s="69" t="n">
        <f aca="false">IFERROR(Q32/4*10,0)</f>
        <v>10</v>
      </c>
      <c r="S32" s="73" t="n">
        <f aca="false">SUM(F32,H32,J32,L32,N32,P32,R32)</f>
        <v>65</v>
      </c>
      <c r="T32" s="74" t="n">
        <f aca="false">S32</f>
        <v>65</v>
      </c>
      <c r="U32" s="75" t="str">
        <f aca="false">IF(S32&gt;=90,"O",IF(S32&gt;=80,"A+",IF(S32&gt;=70,"A",IF(S32&gt;=60,"B+",IF(S32&gt;=50,"B","F")))))</f>
        <v>B+</v>
      </c>
      <c r="V32" s="76" t="str">
        <f aca="false">IF(S32&gt;=90,"Outstanding",IF(S32&gt;=75,"Excellent",IF(S32&gt;=60,"Good",IF(S32&gt;=50,"Satisfactory","Inadequate"))))</f>
        <v>Good</v>
      </c>
      <c r="W32" s="77" t="n">
        <f aca="false">S32/100</f>
        <v>0.65</v>
      </c>
      <c r="X32" s="78" t="str">
        <f aca="false">IF(S32&gt;=50,"Passed","Revision Req.")</f>
        <v>Passed</v>
      </c>
    </row>
    <row r="33" customFormat="false" ht="21.75" hidden="false" customHeight="true" outlineLevel="0" collapsed="false">
      <c r="A33" s="79" t="n">
        <v>24</v>
      </c>
      <c r="B33" s="79" t="s">
        <v>212</v>
      </c>
      <c r="C33" s="80" t="s">
        <v>213</v>
      </c>
      <c r="D33" s="81" t="s">
        <v>214</v>
      </c>
      <c r="E33" s="72" t="n">
        <v>3</v>
      </c>
      <c r="F33" s="82" t="n">
        <f aca="false">IFERROR(E33/4*10,0)</f>
        <v>7.5</v>
      </c>
      <c r="G33" s="70" t="n">
        <v>4</v>
      </c>
      <c r="H33" s="82" t="n">
        <f aca="false">IFERROR(G33/4*15,0)</f>
        <v>15</v>
      </c>
      <c r="I33" s="68" t="n">
        <v>1</v>
      </c>
      <c r="J33" s="82" t="n">
        <f aca="false">IFERROR(I33/4*20,0)</f>
        <v>5</v>
      </c>
      <c r="K33" s="68" t="n">
        <v>1</v>
      </c>
      <c r="L33" s="82" t="n">
        <f aca="false">IFERROR(K33/4*20,0)</f>
        <v>5</v>
      </c>
      <c r="M33" s="72" t="n">
        <v>3</v>
      </c>
      <c r="N33" s="82" t="n">
        <f aca="false">IFERROR(M33/4*15,0)</f>
        <v>11.25</v>
      </c>
      <c r="O33" s="68" t="n">
        <v>1</v>
      </c>
      <c r="P33" s="82" t="n">
        <f aca="false">IFERROR(O33/4*10,0)</f>
        <v>2.5</v>
      </c>
      <c r="Q33" s="68" t="n">
        <v>1</v>
      </c>
      <c r="R33" s="82" t="n">
        <f aca="false">IFERROR(Q33/4*10,0)</f>
        <v>2.5</v>
      </c>
      <c r="S33" s="73" t="n">
        <f aca="false">SUM(F33,H33,J33,L33,N33,P33,R33)</f>
        <v>48.75</v>
      </c>
      <c r="T33" s="74" t="n">
        <f aca="false">S33</f>
        <v>48.75</v>
      </c>
      <c r="U33" s="75" t="str">
        <f aca="false">IF(S33&gt;=90,"O",IF(S33&gt;=80,"A+",IF(S33&gt;=70,"A",IF(S33&gt;=60,"B+",IF(S33&gt;=50,"B","F")))))</f>
        <v>F</v>
      </c>
      <c r="V33" s="76" t="str">
        <f aca="false">IF(S33&gt;=90,"Outstanding",IF(S33&gt;=75,"Excellent",IF(S33&gt;=60,"Good",IF(S33&gt;=50,"Satisfactory","Inadequate"))))</f>
        <v>Inadequate</v>
      </c>
      <c r="W33" s="77" t="n">
        <f aca="false">S33/100</f>
        <v>0.4875</v>
      </c>
      <c r="X33" s="78" t="str">
        <f aca="false">IF(S33&gt;=50,"Passed","Revision Req.")</f>
        <v>Revision Req.</v>
      </c>
    </row>
    <row r="34" customFormat="false" ht="21.75" hidden="false" customHeight="true" outlineLevel="0" collapsed="false">
      <c r="A34" s="65" t="n">
        <v>25</v>
      </c>
      <c r="B34" s="65" t="s">
        <v>215</v>
      </c>
      <c r="C34" s="66" t="s">
        <v>216</v>
      </c>
      <c r="D34" s="67" t="s">
        <v>217</v>
      </c>
      <c r="E34" s="70" t="n">
        <v>4</v>
      </c>
      <c r="F34" s="69" t="n">
        <f aca="false">IFERROR(E34/4*10,0)</f>
        <v>10</v>
      </c>
      <c r="G34" s="70" t="n">
        <v>4</v>
      </c>
      <c r="H34" s="69" t="n">
        <f aca="false">IFERROR(G34/4*15,0)</f>
        <v>15</v>
      </c>
      <c r="I34" s="72" t="n">
        <v>3</v>
      </c>
      <c r="J34" s="69" t="n">
        <f aca="false">IFERROR(I34/4*20,0)</f>
        <v>15</v>
      </c>
      <c r="K34" s="68" t="n">
        <v>1</v>
      </c>
      <c r="L34" s="69" t="n">
        <f aca="false">IFERROR(K34/4*20,0)</f>
        <v>5</v>
      </c>
      <c r="M34" s="72" t="n">
        <v>3</v>
      </c>
      <c r="N34" s="69" t="n">
        <f aca="false">IFERROR(M34/4*15,0)</f>
        <v>11.25</v>
      </c>
      <c r="O34" s="68" t="n">
        <v>1</v>
      </c>
      <c r="P34" s="69" t="n">
        <f aca="false">IFERROR(O34/4*10,0)</f>
        <v>2.5</v>
      </c>
      <c r="Q34" s="72" t="n">
        <v>3</v>
      </c>
      <c r="R34" s="69" t="n">
        <f aca="false">IFERROR(Q34/4*10,0)</f>
        <v>7.5</v>
      </c>
      <c r="S34" s="73" t="n">
        <f aca="false">SUM(F34,H34,J34,L34,N34,P34,R34)</f>
        <v>66.25</v>
      </c>
      <c r="T34" s="74" t="n">
        <f aca="false">S34</f>
        <v>66.25</v>
      </c>
      <c r="U34" s="75" t="str">
        <f aca="false">IF(S34&gt;=90,"O",IF(S34&gt;=80,"A+",IF(S34&gt;=70,"A",IF(S34&gt;=60,"B+",IF(S34&gt;=50,"B","F")))))</f>
        <v>B+</v>
      </c>
      <c r="V34" s="76" t="str">
        <f aca="false">IF(S34&gt;=90,"Outstanding",IF(S34&gt;=75,"Excellent",IF(S34&gt;=60,"Good",IF(S34&gt;=50,"Satisfactory","Inadequate"))))</f>
        <v>Good</v>
      </c>
      <c r="W34" s="77" t="n">
        <f aca="false">S34/100</f>
        <v>0.6625</v>
      </c>
      <c r="X34" s="78" t="str">
        <f aca="false">IF(S34&gt;=50,"Passed","Revision Req.")</f>
        <v>Passed</v>
      </c>
    </row>
    <row r="36" customFormat="false" ht="21.75" hidden="false" customHeight="true" outlineLevel="0" collapsed="false">
      <c r="A36" s="83" t="s">
        <v>218</v>
      </c>
      <c r="B36" s="83"/>
      <c r="C36" s="83"/>
      <c r="D36" s="83"/>
      <c r="E36" s="84" t="n">
        <f aca="false">AVERAGE(E10:E34)</f>
        <v>2.4</v>
      </c>
      <c r="F36" s="84" t="n">
        <f aca="false">AVERAGE(F10:F34)</f>
        <v>6</v>
      </c>
      <c r="G36" s="84" t="n">
        <f aca="false">AVERAGE(G10:G34)</f>
        <v>2.4</v>
      </c>
      <c r="H36" s="84" t="n">
        <f aca="false">AVERAGE(H10:H34)</f>
        <v>9</v>
      </c>
      <c r="I36" s="84" t="n">
        <f aca="false">AVERAGE(I10:I34)</f>
        <v>2.8</v>
      </c>
      <c r="J36" s="84" t="n">
        <f aca="false">AVERAGE(J10:J34)</f>
        <v>14</v>
      </c>
      <c r="K36" s="84" t="n">
        <f aca="false">AVERAGE(K10:K34)</f>
        <v>2</v>
      </c>
      <c r="L36" s="84" t="n">
        <f aca="false">AVERAGE(L10:L34)</f>
        <v>10</v>
      </c>
      <c r="M36" s="84" t="n">
        <f aca="false">AVERAGE(M10:M34)</f>
        <v>2.52</v>
      </c>
      <c r="N36" s="84" t="n">
        <f aca="false">AVERAGE(N10:N34)</f>
        <v>9.45</v>
      </c>
      <c r="O36" s="84" t="n">
        <f aca="false">AVERAGE(O10:O34)</f>
        <v>2.52</v>
      </c>
      <c r="P36" s="84" t="n">
        <f aca="false">AVERAGE(P10:P34)</f>
        <v>6.3</v>
      </c>
      <c r="Q36" s="84" t="n">
        <f aca="false">AVERAGE(Q10:Q34)</f>
        <v>2.32</v>
      </c>
      <c r="R36" s="84" t="n">
        <f aca="false">AVERAGE(R10:R34)</f>
        <v>5.8</v>
      </c>
      <c r="S36" s="85" t="n">
        <f aca="false">AVERAGE(S10:S34)</f>
        <v>60.55</v>
      </c>
      <c r="T36" s="31"/>
      <c r="U36" s="31"/>
      <c r="V36" s="31"/>
      <c r="W36" s="31"/>
      <c r="X36" s="31"/>
    </row>
    <row r="37" customFormat="false" ht="21.75" hidden="false" customHeight="true" outlineLevel="0" collapsed="false">
      <c r="A37" s="86" t="s">
        <v>219</v>
      </c>
      <c r="B37" s="86"/>
      <c r="C37" s="86"/>
      <c r="D37" s="86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8" t="n">
        <f aca="false">MAX(S10:S34)</f>
        <v>78.75</v>
      </c>
      <c r="T37" s="87"/>
      <c r="U37" s="87"/>
      <c r="V37" s="87"/>
      <c r="W37" s="87"/>
      <c r="X37" s="87"/>
    </row>
    <row r="38" customFormat="false" ht="21.75" hidden="false" customHeight="true" outlineLevel="0" collapsed="false">
      <c r="A38" s="89" t="s">
        <v>220</v>
      </c>
      <c r="B38" s="89"/>
      <c r="C38" s="89"/>
      <c r="D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1" t="n">
        <f aca="false">MIN(S10:S34)</f>
        <v>37.5</v>
      </c>
      <c r="T38" s="90"/>
      <c r="U38" s="90"/>
      <c r="V38" s="90"/>
      <c r="W38" s="90"/>
      <c r="X38" s="90"/>
    </row>
    <row r="39" customFormat="false" ht="21.75" hidden="false" customHeight="true" outlineLevel="0" collapsed="false">
      <c r="A39" s="92" t="s">
        <v>221</v>
      </c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4" t="n">
        <f aca="false">COUNTIF(S10:S34,"&gt;=50")</f>
        <v>22</v>
      </c>
      <c r="T39" s="93"/>
      <c r="U39" s="93"/>
      <c r="V39" s="93"/>
      <c r="W39" s="93"/>
      <c r="X39" s="93"/>
    </row>
    <row r="40" customFormat="false" ht="21.75" hidden="false" customHeight="true" outlineLevel="0" collapsed="false">
      <c r="A40" s="95" t="s">
        <v>222</v>
      </c>
      <c r="B40" s="95"/>
      <c r="C40" s="95"/>
      <c r="D40" s="95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7" t="n">
        <f aca="false">COUNTIF(S10:S34,"&lt;50")</f>
        <v>3</v>
      </c>
      <c r="T40" s="96"/>
      <c r="U40" s="96"/>
      <c r="V40" s="96"/>
      <c r="W40" s="96"/>
      <c r="X40" s="96"/>
    </row>
    <row r="41" customFormat="false" ht="21.75" hidden="false" customHeight="true" outlineLevel="0" collapsed="false">
      <c r="A41" s="98" t="s">
        <v>223</v>
      </c>
      <c r="B41" s="98"/>
      <c r="C41" s="98"/>
      <c r="D41" s="98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100" t="n">
        <f aca="false">AVERAGE(W10:W34)</f>
        <v>0.6055</v>
      </c>
      <c r="T41" s="99"/>
      <c r="U41" s="99"/>
      <c r="V41" s="99"/>
      <c r="W41" s="99"/>
      <c r="X41" s="99"/>
    </row>
    <row r="43" customFormat="false" ht="21.75" hidden="false" customHeight="true" outlineLevel="0" collapsed="false">
      <c r="A43" s="83" t="s">
        <v>224</v>
      </c>
      <c r="B43" s="83"/>
      <c r="C43" s="83"/>
      <c r="D43" s="83"/>
      <c r="E43" s="101" t="s">
        <v>225</v>
      </c>
      <c r="F43" s="102" t="n">
        <f aca="false">COUNTIF(S10:S34,"&gt;=90")</f>
        <v>0</v>
      </c>
      <c r="G43" s="101" t="s">
        <v>226</v>
      </c>
      <c r="H43" s="102" t="n">
        <f aca="false">COUNTIF(S10:S34,"&gt;=80")</f>
        <v>0</v>
      </c>
      <c r="I43" s="101" t="s">
        <v>227</v>
      </c>
      <c r="J43" s="102" t="n">
        <f aca="false">COUNTIF(S10:S34,"&gt;=70")</f>
        <v>4</v>
      </c>
      <c r="K43" s="101" t="s">
        <v>228</v>
      </c>
      <c r="L43" s="102" t="n">
        <f aca="false">COUNTIF(S10:S34,"&gt;=60")</f>
        <v>14</v>
      </c>
      <c r="M43" s="101" t="s">
        <v>229</v>
      </c>
      <c r="N43" s="102" t="n">
        <f aca="false">COUNTIF(S10:S34,"&gt;=50")</f>
        <v>22</v>
      </c>
      <c r="O43" s="101" t="s">
        <v>230</v>
      </c>
      <c r="P43" s="102" t="n">
        <f aca="false">COUNTIF(S10:S34,"&lt;50")</f>
        <v>3</v>
      </c>
    </row>
  </sheetData>
  <mergeCells count="27">
    <mergeCell ref="A1:Y1"/>
    <mergeCell ref="A2:Y2"/>
    <mergeCell ref="A6:D6"/>
    <mergeCell ref="I6:Y6"/>
    <mergeCell ref="A7:D7"/>
    <mergeCell ref="E7:F7"/>
    <mergeCell ref="G7:H7"/>
    <mergeCell ref="I7:J7"/>
    <mergeCell ref="K7:L7"/>
    <mergeCell ref="M7:N7"/>
    <mergeCell ref="O7:P7"/>
    <mergeCell ref="Q7:R7"/>
    <mergeCell ref="S7:S8"/>
    <mergeCell ref="T7:T8"/>
    <mergeCell ref="U7:U8"/>
    <mergeCell ref="V7:V8"/>
    <mergeCell ref="W7:W8"/>
    <mergeCell ref="X7:X8"/>
    <mergeCell ref="A8:D8"/>
    <mergeCell ref="A9:D9"/>
    <mergeCell ref="A36:D36"/>
    <mergeCell ref="A37:D37"/>
    <mergeCell ref="A38:D38"/>
    <mergeCell ref="A39:D39"/>
    <mergeCell ref="A40:D40"/>
    <mergeCell ref="A41:D41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11" min="5" style="0" width="10"/>
    <col collapsed="false" customWidth="true" hidden="false" outlineLevel="0" max="17" min="12" style="0" width="13"/>
  </cols>
  <sheetData>
    <row r="1" customFormat="false" ht="45.75" hidden="false" customHeight="true" outlineLevel="0" collapsed="false">
      <c r="A1" s="45" t="s">
        <v>231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customFormat="false" ht="15.75" hidden="false" customHeight="true" outlineLevel="0" collapsed="false">
      <c r="A2" s="46" t="s">
        <v>232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customFormat="false" ht="7.5" hidden="false" customHeight="true" outlineLevel="0" collapsed="false"/>
    <row r="4" customFormat="false" ht="21.75" hidden="false" customHeight="true" outlineLevel="0" collapsed="false">
      <c r="A4" s="49" t="s">
        <v>233</v>
      </c>
      <c r="B4" s="49"/>
      <c r="C4" s="103" t="s">
        <v>234</v>
      </c>
      <c r="D4" s="103" t="s">
        <v>235</v>
      </c>
      <c r="E4" s="104" t="s">
        <v>236</v>
      </c>
      <c r="F4" s="105" t="s">
        <v>237</v>
      </c>
      <c r="G4" s="106" t="s">
        <v>238</v>
      </c>
      <c r="H4" s="106" t="s">
        <v>239</v>
      </c>
      <c r="I4" s="107" t="s">
        <v>240</v>
      </c>
      <c r="J4" s="107"/>
      <c r="K4" s="107"/>
      <c r="L4" s="107"/>
      <c r="M4" s="107"/>
      <c r="N4" s="107"/>
      <c r="O4" s="107"/>
      <c r="P4" s="107"/>
    </row>
    <row r="6" customFormat="false" ht="27.75" hidden="false" customHeight="true" outlineLevel="0" collapsed="false">
      <c r="A6" s="9" t="s">
        <v>8</v>
      </c>
      <c r="B6" s="9" t="s">
        <v>241</v>
      </c>
      <c r="C6" s="9" t="s">
        <v>242</v>
      </c>
      <c r="D6" s="9" t="s">
        <v>243</v>
      </c>
      <c r="E6" s="61" t="s">
        <v>244</v>
      </c>
      <c r="F6" s="61" t="s">
        <v>245</v>
      </c>
      <c r="G6" s="61" t="s">
        <v>246</v>
      </c>
      <c r="H6" s="61" t="s">
        <v>247</v>
      </c>
      <c r="I6" s="61" t="s">
        <v>248</v>
      </c>
      <c r="J6" s="61" t="s">
        <v>249</v>
      </c>
      <c r="K6" s="61" t="s">
        <v>250</v>
      </c>
      <c r="L6" s="108" t="s">
        <v>251</v>
      </c>
      <c r="M6" s="108" t="s">
        <v>128</v>
      </c>
      <c r="N6" s="11" t="s">
        <v>129</v>
      </c>
      <c r="O6" s="10" t="s">
        <v>130</v>
      </c>
      <c r="P6" s="15" t="s">
        <v>131</v>
      </c>
      <c r="Q6" s="109" t="s">
        <v>132</v>
      </c>
    </row>
    <row r="7" customFormat="false" ht="19.5" hidden="false" customHeight="true" outlineLevel="0" collapsed="false">
      <c r="A7" s="65" t="n">
        <v>1</v>
      </c>
      <c r="B7" s="65" t="str">
        <f aca="false">'Score Entry'!B10</f>
        <v>RS001</v>
      </c>
      <c r="C7" s="65" t="str">
        <f aca="false">'Score Entry'!C10</f>
        <v>Aarav Sharma</v>
      </c>
      <c r="D7" s="67" t="str">
        <f aca="false">'Score Entry'!D10</f>
        <v>M.Tech — Machine Learning</v>
      </c>
      <c r="E7" s="110" t="n">
        <f aca="false">'Score Entry'!E10</f>
        <v>1</v>
      </c>
      <c r="F7" s="110" t="n">
        <f aca="false">'Score Entry'!G10</f>
        <v>4</v>
      </c>
      <c r="G7" s="110" t="n">
        <f aca="false">'Score Entry'!I10</f>
        <v>2</v>
      </c>
      <c r="H7" s="110" t="n">
        <f aca="false">'Score Entry'!K10</f>
        <v>1</v>
      </c>
      <c r="I7" s="110" t="n">
        <f aca="false">'Score Entry'!M10</f>
        <v>3</v>
      </c>
      <c r="J7" s="110" t="n">
        <f aca="false">'Score Entry'!O10</f>
        <v>4</v>
      </c>
      <c r="K7" s="110" t="n">
        <f aca="false">'Score Entry'!Q10</f>
        <v>2</v>
      </c>
      <c r="L7" s="73" t="n">
        <f aca="false">'Score Entry'!S10</f>
        <v>58.75</v>
      </c>
      <c r="M7" s="74" t="n">
        <f aca="false">'Score Entry'!S10</f>
        <v>58.75</v>
      </c>
      <c r="N7" s="111" t="str">
        <f aca="false">'Score Entry'!U10</f>
        <v>B</v>
      </c>
      <c r="O7" s="76" t="str">
        <f aca="false">'Score Entry'!V10</f>
        <v>Satisfactory</v>
      </c>
      <c r="P7" s="77" t="n">
        <f aca="false">'Score Entry'!W10</f>
        <v>0.5875</v>
      </c>
      <c r="Q7" s="78" t="str">
        <f aca="false">'Score Entry'!V10</f>
        <v>Satisfactory</v>
      </c>
    </row>
    <row r="8" customFormat="false" ht="19.5" hidden="false" customHeight="true" outlineLevel="0" collapsed="false">
      <c r="A8" s="79" t="n">
        <v>2</v>
      </c>
      <c r="B8" s="79" t="str">
        <f aca="false">'Score Entry'!B11</f>
        <v>RS002</v>
      </c>
      <c r="C8" s="79" t="str">
        <f aca="false">'Score Entry'!C11</f>
        <v>Priya Patel</v>
      </c>
      <c r="D8" s="81" t="str">
        <f aca="false">'Score Entry'!D11</f>
        <v>M.Tech — Data Science</v>
      </c>
      <c r="E8" s="110" t="n">
        <f aca="false">'Score Entry'!E11</f>
        <v>1</v>
      </c>
      <c r="F8" s="110" t="n">
        <f aca="false">'Score Entry'!G11</f>
        <v>4</v>
      </c>
      <c r="G8" s="110" t="n">
        <f aca="false">'Score Entry'!I11</f>
        <v>4</v>
      </c>
      <c r="H8" s="110" t="n">
        <f aca="false">'Score Entry'!K11</f>
        <v>1</v>
      </c>
      <c r="I8" s="110" t="n">
        <f aca="false">'Score Entry'!M11</f>
        <v>1</v>
      </c>
      <c r="J8" s="110" t="n">
        <f aca="false">'Score Entry'!O11</f>
        <v>1</v>
      </c>
      <c r="K8" s="110" t="n">
        <f aca="false">'Score Entry'!Q11</f>
        <v>2</v>
      </c>
      <c r="L8" s="73" t="n">
        <f aca="false">'Score Entry'!S11</f>
        <v>53.75</v>
      </c>
      <c r="M8" s="74" t="n">
        <f aca="false">'Score Entry'!S11</f>
        <v>53.75</v>
      </c>
      <c r="N8" s="111" t="str">
        <f aca="false">'Score Entry'!U11</f>
        <v>B</v>
      </c>
      <c r="O8" s="76" t="str">
        <f aca="false">'Score Entry'!V11</f>
        <v>Satisfactory</v>
      </c>
      <c r="P8" s="77" t="n">
        <f aca="false">'Score Entry'!W11</f>
        <v>0.5375</v>
      </c>
      <c r="Q8" s="78" t="str">
        <f aca="false">'Score Entry'!V11</f>
        <v>Satisfactory</v>
      </c>
    </row>
    <row r="9" customFormat="false" ht="19.5" hidden="false" customHeight="true" outlineLevel="0" collapsed="false">
      <c r="A9" s="65" t="n">
        <v>3</v>
      </c>
      <c r="B9" s="65" t="str">
        <f aca="false">'Score Entry'!B12</f>
        <v>RS003</v>
      </c>
      <c r="C9" s="65" t="str">
        <f aca="false">'Score Entry'!C12</f>
        <v>Rohan Mehta</v>
      </c>
      <c r="D9" s="67" t="str">
        <f aca="false">'Score Entry'!D12</f>
        <v>M.Tech — Computer Networks</v>
      </c>
      <c r="E9" s="110" t="n">
        <f aca="false">'Score Entry'!E12</f>
        <v>4</v>
      </c>
      <c r="F9" s="110" t="n">
        <f aca="false">'Score Entry'!G12</f>
        <v>1</v>
      </c>
      <c r="G9" s="110" t="n">
        <f aca="false">'Score Entry'!I12</f>
        <v>4</v>
      </c>
      <c r="H9" s="110" t="n">
        <f aca="false">'Score Entry'!K12</f>
        <v>1</v>
      </c>
      <c r="I9" s="110" t="n">
        <f aca="false">'Score Entry'!M12</f>
        <v>1</v>
      </c>
      <c r="J9" s="110" t="n">
        <f aca="false">'Score Entry'!O12</f>
        <v>1</v>
      </c>
      <c r="K9" s="110" t="n">
        <f aca="false">'Score Entry'!Q12</f>
        <v>2</v>
      </c>
      <c r="L9" s="73" t="n">
        <f aca="false">'Score Entry'!S12</f>
        <v>50</v>
      </c>
      <c r="M9" s="74" t="n">
        <f aca="false">'Score Entry'!S12</f>
        <v>50</v>
      </c>
      <c r="N9" s="111" t="str">
        <f aca="false">'Score Entry'!U12</f>
        <v>B</v>
      </c>
      <c r="O9" s="76" t="str">
        <f aca="false">'Score Entry'!V12</f>
        <v>Satisfactory</v>
      </c>
      <c r="P9" s="77" t="n">
        <f aca="false">'Score Entry'!W12</f>
        <v>0.5</v>
      </c>
      <c r="Q9" s="78" t="str">
        <f aca="false">'Score Entry'!V12</f>
        <v>Satisfactory</v>
      </c>
    </row>
    <row r="10" customFormat="false" ht="19.5" hidden="false" customHeight="true" outlineLevel="0" collapsed="false">
      <c r="A10" s="79" t="n">
        <v>4</v>
      </c>
      <c r="B10" s="79" t="str">
        <f aca="false">'Score Entry'!B13</f>
        <v>RS004</v>
      </c>
      <c r="C10" s="79" t="str">
        <f aca="false">'Score Entry'!C13</f>
        <v>Sneha Reddy</v>
      </c>
      <c r="D10" s="81" t="str">
        <f aca="false">'Score Entry'!D13</f>
        <v>M.Tech — Cybersecurity</v>
      </c>
      <c r="E10" s="110" t="n">
        <f aca="false">'Score Entry'!E13</f>
        <v>2</v>
      </c>
      <c r="F10" s="110" t="n">
        <f aca="false">'Score Entry'!G13</f>
        <v>1</v>
      </c>
      <c r="G10" s="110" t="n">
        <f aca="false">'Score Entry'!I13</f>
        <v>2</v>
      </c>
      <c r="H10" s="110" t="n">
        <f aca="false">'Score Entry'!K13</f>
        <v>4</v>
      </c>
      <c r="I10" s="110" t="n">
        <f aca="false">'Score Entry'!M13</f>
        <v>4</v>
      </c>
      <c r="J10" s="110" t="n">
        <f aca="false">'Score Entry'!O13</f>
        <v>3</v>
      </c>
      <c r="K10" s="110" t="n">
        <f aca="false">'Score Entry'!Q13</f>
        <v>1</v>
      </c>
      <c r="L10" s="73" t="n">
        <f aca="false">'Score Entry'!S13</f>
        <v>63.75</v>
      </c>
      <c r="M10" s="74" t="n">
        <f aca="false">'Score Entry'!S13</f>
        <v>63.75</v>
      </c>
      <c r="N10" s="111" t="str">
        <f aca="false">'Score Entry'!U13</f>
        <v>B+</v>
      </c>
      <c r="O10" s="76" t="str">
        <f aca="false">'Score Entry'!V13</f>
        <v>Good</v>
      </c>
      <c r="P10" s="77" t="n">
        <f aca="false">'Score Entry'!W13</f>
        <v>0.6375</v>
      </c>
      <c r="Q10" s="78" t="str">
        <f aca="false">'Score Entry'!V13</f>
        <v>Good</v>
      </c>
    </row>
    <row r="11" customFormat="false" ht="19.5" hidden="false" customHeight="true" outlineLevel="0" collapsed="false">
      <c r="A11" s="65" t="n">
        <v>5</v>
      </c>
      <c r="B11" s="65" t="str">
        <f aca="false">'Score Entry'!B14</f>
        <v>RS005</v>
      </c>
      <c r="C11" s="65" t="str">
        <f aca="false">'Score Entry'!C14</f>
        <v>Vikram Singh</v>
      </c>
      <c r="D11" s="67" t="str">
        <f aca="false">'Score Entry'!D14</f>
        <v>M.Tech — Cloud Computing</v>
      </c>
      <c r="E11" s="110" t="n">
        <f aca="false">'Score Entry'!E14</f>
        <v>1</v>
      </c>
      <c r="F11" s="110" t="n">
        <f aca="false">'Score Entry'!G14</f>
        <v>2</v>
      </c>
      <c r="G11" s="110" t="n">
        <f aca="false">'Score Entry'!I14</f>
        <v>2</v>
      </c>
      <c r="H11" s="110" t="n">
        <f aca="false">'Score Entry'!K14</f>
        <v>1</v>
      </c>
      <c r="I11" s="110" t="n">
        <f aca="false">'Score Entry'!M14</f>
        <v>2</v>
      </c>
      <c r="J11" s="110" t="n">
        <f aca="false">'Score Entry'!O14</f>
        <v>1</v>
      </c>
      <c r="K11" s="110" t="n">
        <f aca="false">'Score Entry'!Q14</f>
        <v>1</v>
      </c>
      <c r="L11" s="73" t="n">
        <f aca="false">'Score Entry'!S14</f>
        <v>37.5</v>
      </c>
      <c r="M11" s="74" t="n">
        <f aca="false">'Score Entry'!S14</f>
        <v>37.5</v>
      </c>
      <c r="N11" s="111" t="str">
        <f aca="false">'Score Entry'!U14</f>
        <v>F</v>
      </c>
      <c r="O11" s="76" t="str">
        <f aca="false">'Score Entry'!V14</f>
        <v>Inadequate</v>
      </c>
      <c r="P11" s="77" t="n">
        <f aca="false">'Score Entry'!W14</f>
        <v>0.375</v>
      </c>
      <c r="Q11" s="78" t="str">
        <f aca="false">'Score Entry'!V14</f>
        <v>Inadequate</v>
      </c>
    </row>
    <row r="12" customFormat="false" ht="19.5" hidden="false" customHeight="true" outlineLevel="0" collapsed="false">
      <c r="A12" s="79" t="n">
        <v>6</v>
      </c>
      <c r="B12" s="79" t="str">
        <f aca="false">'Score Entry'!B15</f>
        <v>RS006</v>
      </c>
      <c r="C12" s="79" t="str">
        <f aca="false">'Score Entry'!C15</f>
        <v>Anjali Nair</v>
      </c>
      <c r="D12" s="81" t="str">
        <f aca="false">'Score Entry'!D15</f>
        <v>M.Tech — IoT Systems</v>
      </c>
      <c r="E12" s="110" t="n">
        <f aca="false">'Score Entry'!E15</f>
        <v>2</v>
      </c>
      <c r="F12" s="110" t="n">
        <f aca="false">'Score Entry'!G15</f>
        <v>3</v>
      </c>
      <c r="G12" s="110" t="n">
        <f aca="false">'Score Entry'!I15</f>
        <v>1</v>
      </c>
      <c r="H12" s="110" t="n">
        <f aca="false">'Score Entry'!K15</f>
        <v>4</v>
      </c>
      <c r="I12" s="110" t="n">
        <f aca="false">'Score Entry'!M15</f>
        <v>3</v>
      </c>
      <c r="J12" s="110" t="n">
        <f aca="false">'Score Entry'!O15</f>
        <v>4</v>
      </c>
      <c r="K12" s="110" t="n">
        <f aca="false">'Score Entry'!Q15</f>
        <v>2</v>
      </c>
      <c r="L12" s="73" t="n">
        <f aca="false">'Score Entry'!S15</f>
        <v>67.5</v>
      </c>
      <c r="M12" s="74" t="n">
        <f aca="false">'Score Entry'!S15</f>
        <v>67.5</v>
      </c>
      <c r="N12" s="111" t="str">
        <f aca="false">'Score Entry'!U15</f>
        <v>B+</v>
      </c>
      <c r="O12" s="76" t="str">
        <f aca="false">'Score Entry'!V15</f>
        <v>Good</v>
      </c>
      <c r="P12" s="77" t="n">
        <f aca="false">'Score Entry'!W15</f>
        <v>0.675</v>
      </c>
      <c r="Q12" s="78" t="str">
        <f aca="false">'Score Entry'!V15</f>
        <v>Good</v>
      </c>
    </row>
    <row r="13" customFormat="false" ht="19.5" hidden="false" customHeight="true" outlineLevel="0" collapsed="false">
      <c r="A13" s="65" t="n">
        <v>7</v>
      </c>
      <c r="B13" s="65" t="str">
        <f aca="false">'Score Entry'!B16</f>
        <v>RS007</v>
      </c>
      <c r="C13" s="65" t="str">
        <f aca="false">'Score Entry'!C16</f>
        <v>Kiran Kumar</v>
      </c>
      <c r="D13" s="67" t="str">
        <f aca="false">'Score Entry'!D16</f>
        <v>M.Tech — Embedded AI</v>
      </c>
      <c r="E13" s="110" t="n">
        <f aca="false">'Score Entry'!E16</f>
        <v>3</v>
      </c>
      <c r="F13" s="110" t="n">
        <f aca="false">'Score Entry'!G16</f>
        <v>4</v>
      </c>
      <c r="G13" s="110" t="n">
        <f aca="false">'Score Entry'!I16</f>
        <v>4</v>
      </c>
      <c r="H13" s="110" t="n">
        <f aca="false">'Score Entry'!K16</f>
        <v>4</v>
      </c>
      <c r="I13" s="110" t="n">
        <f aca="false">'Score Entry'!M16</f>
        <v>1</v>
      </c>
      <c r="J13" s="110" t="n">
        <f aca="false">'Score Entry'!O16</f>
        <v>4</v>
      </c>
      <c r="K13" s="110" t="n">
        <f aca="false">'Score Entry'!Q16</f>
        <v>1</v>
      </c>
      <c r="L13" s="73" t="n">
        <f aca="false">'Score Entry'!S16</f>
        <v>78.75</v>
      </c>
      <c r="M13" s="74" t="n">
        <f aca="false">'Score Entry'!S16</f>
        <v>78.75</v>
      </c>
      <c r="N13" s="111" t="str">
        <f aca="false">'Score Entry'!U16</f>
        <v>A</v>
      </c>
      <c r="O13" s="76" t="str">
        <f aca="false">'Score Entry'!V16</f>
        <v>Excellent</v>
      </c>
      <c r="P13" s="77" t="n">
        <f aca="false">'Score Entry'!W16</f>
        <v>0.7875</v>
      </c>
      <c r="Q13" s="78" t="str">
        <f aca="false">'Score Entry'!V16</f>
        <v>Excellent</v>
      </c>
    </row>
    <row r="14" customFormat="false" ht="19.5" hidden="false" customHeight="true" outlineLevel="0" collapsed="false">
      <c r="A14" s="79" t="n">
        <v>8</v>
      </c>
      <c r="B14" s="79" t="str">
        <f aca="false">'Score Entry'!B17</f>
        <v>RS008</v>
      </c>
      <c r="C14" s="79" t="str">
        <f aca="false">'Score Entry'!C17</f>
        <v>Divya Rao</v>
      </c>
      <c r="D14" s="81" t="str">
        <f aca="false">'Score Entry'!D17</f>
        <v>Ph.D — Natural Language Processing</v>
      </c>
      <c r="E14" s="110" t="n">
        <f aca="false">'Score Entry'!E17</f>
        <v>3</v>
      </c>
      <c r="F14" s="110" t="n">
        <f aca="false">'Score Entry'!G17</f>
        <v>2</v>
      </c>
      <c r="G14" s="110" t="n">
        <f aca="false">'Score Entry'!I17</f>
        <v>3</v>
      </c>
      <c r="H14" s="110" t="n">
        <f aca="false">'Score Entry'!K17</f>
        <v>2</v>
      </c>
      <c r="I14" s="110" t="n">
        <f aca="false">'Score Entry'!M17</f>
        <v>3</v>
      </c>
      <c r="J14" s="110" t="n">
        <f aca="false">'Score Entry'!O17</f>
        <v>2</v>
      </c>
      <c r="K14" s="110" t="n">
        <f aca="false">'Score Entry'!Q17</f>
        <v>3</v>
      </c>
      <c r="L14" s="73" t="n">
        <f aca="false">'Score Entry'!S17</f>
        <v>63.75</v>
      </c>
      <c r="M14" s="74" t="n">
        <f aca="false">'Score Entry'!S17</f>
        <v>63.75</v>
      </c>
      <c r="N14" s="111" t="str">
        <f aca="false">'Score Entry'!U17</f>
        <v>B+</v>
      </c>
      <c r="O14" s="76" t="str">
        <f aca="false">'Score Entry'!V17</f>
        <v>Good</v>
      </c>
      <c r="P14" s="77" t="n">
        <f aca="false">'Score Entry'!W17</f>
        <v>0.6375</v>
      </c>
      <c r="Q14" s="78" t="str">
        <f aca="false">'Score Entry'!V17</f>
        <v>Good</v>
      </c>
    </row>
    <row r="15" customFormat="false" ht="19.5" hidden="false" customHeight="true" outlineLevel="0" collapsed="false">
      <c r="A15" s="65" t="n">
        <v>9</v>
      </c>
      <c r="B15" s="65" t="str">
        <f aca="false">'Score Entry'!B18</f>
        <v>RS009</v>
      </c>
      <c r="C15" s="65" t="str">
        <f aca="false">'Score Entry'!C18</f>
        <v>Arjun Gupta</v>
      </c>
      <c r="D15" s="67" t="str">
        <f aca="false">'Score Entry'!D18</f>
        <v>Ph.D — Deep Learning</v>
      </c>
      <c r="E15" s="110" t="n">
        <f aca="false">'Score Entry'!E18</f>
        <v>3</v>
      </c>
      <c r="F15" s="110" t="n">
        <f aca="false">'Score Entry'!G18</f>
        <v>3</v>
      </c>
      <c r="G15" s="110" t="n">
        <f aca="false">'Score Entry'!I18</f>
        <v>3</v>
      </c>
      <c r="H15" s="110" t="n">
        <f aca="false">'Score Entry'!K18</f>
        <v>1</v>
      </c>
      <c r="I15" s="110" t="n">
        <f aca="false">'Score Entry'!M18</f>
        <v>2</v>
      </c>
      <c r="J15" s="110" t="n">
        <f aca="false">'Score Entry'!O18</f>
        <v>3</v>
      </c>
      <c r="K15" s="110" t="n">
        <f aca="false">'Score Entry'!Q18</f>
        <v>3</v>
      </c>
      <c r="L15" s="73" t="n">
        <f aca="false">'Score Entry'!S18</f>
        <v>61.25</v>
      </c>
      <c r="M15" s="74" t="n">
        <f aca="false">'Score Entry'!S18</f>
        <v>61.25</v>
      </c>
      <c r="N15" s="111" t="str">
        <f aca="false">'Score Entry'!U18</f>
        <v>B+</v>
      </c>
      <c r="O15" s="76" t="str">
        <f aca="false">'Score Entry'!V18</f>
        <v>Good</v>
      </c>
      <c r="P15" s="77" t="n">
        <f aca="false">'Score Entry'!W18</f>
        <v>0.6125</v>
      </c>
      <c r="Q15" s="78" t="str">
        <f aca="false">'Score Entry'!V18</f>
        <v>Good</v>
      </c>
    </row>
    <row r="16" customFormat="false" ht="19.5" hidden="false" customHeight="true" outlineLevel="0" collapsed="false">
      <c r="A16" s="79" t="n">
        <v>10</v>
      </c>
      <c r="B16" s="79" t="str">
        <f aca="false">'Score Entry'!B19</f>
        <v>RS010</v>
      </c>
      <c r="C16" s="79" t="str">
        <f aca="false">'Score Entry'!C19</f>
        <v>Pooja Iyer</v>
      </c>
      <c r="D16" s="81" t="str">
        <f aca="false">'Score Entry'!D19</f>
        <v>M.Tech — Bioinformatics</v>
      </c>
      <c r="E16" s="110" t="n">
        <f aca="false">'Score Entry'!E19</f>
        <v>2</v>
      </c>
      <c r="F16" s="110" t="n">
        <f aca="false">'Score Entry'!G19</f>
        <v>1</v>
      </c>
      <c r="G16" s="110" t="n">
        <f aca="false">'Score Entry'!I19</f>
        <v>3</v>
      </c>
      <c r="H16" s="110" t="n">
        <f aca="false">'Score Entry'!K19</f>
        <v>2</v>
      </c>
      <c r="I16" s="110" t="n">
        <f aca="false">'Score Entry'!M19</f>
        <v>4</v>
      </c>
      <c r="J16" s="110" t="n">
        <f aca="false">'Score Entry'!O19</f>
        <v>3</v>
      </c>
      <c r="K16" s="110" t="n">
        <f aca="false">'Score Entry'!Q19</f>
        <v>2</v>
      </c>
      <c r="L16" s="73" t="n">
        <f aca="false">'Score Entry'!S19</f>
        <v>61.25</v>
      </c>
      <c r="M16" s="74" t="n">
        <f aca="false">'Score Entry'!S19</f>
        <v>61.25</v>
      </c>
      <c r="N16" s="111" t="str">
        <f aca="false">'Score Entry'!U19</f>
        <v>B+</v>
      </c>
      <c r="O16" s="76" t="str">
        <f aca="false">'Score Entry'!V19</f>
        <v>Good</v>
      </c>
      <c r="P16" s="77" t="n">
        <f aca="false">'Score Entry'!W19</f>
        <v>0.6125</v>
      </c>
      <c r="Q16" s="78" t="str">
        <f aca="false">'Score Entry'!V19</f>
        <v>Good</v>
      </c>
    </row>
    <row r="17" customFormat="false" ht="19.5" hidden="false" customHeight="true" outlineLevel="0" collapsed="false">
      <c r="A17" s="65" t="n">
        <v>11</v>
      </c>
      <c r="B17" s="65" t="str">
        <f aca="false">'Score Entry'!B20</f>
        <v>RS011</v>
      </c>
      <c r="C17" s="65" t="str">
        <f aca="false">'Score Entry'!C20</f>
        <v>Rahul Verma</v>
      </c>
      <c r="D17" s="67" t="str">
        <f aca="false">'Score Entry'!D20</f>
        <v>Ph.D — Computer Vision</v>
      </c>
      <c r="E17" s="110" t="n">
        <f aca="false">'Score Entry'!E20</f>
        <v>3</v>
      </c>
      <c r="F17" s="110" t="n">
        <f aca="false">'Score Entry'!G20</f>
        <v>1</v>
      </c>
      <c r="G17" s="110" t="n">
        <f aca="false">'Score Entry'!I20</f>
        <v>4</v>
      </c>
      <c r="H17" s="110" t="n">
        <f aca="false">'Score Entry'!K20</f>
        <v>1</v>
      </c>
      <c r="I17" s="110" t="n">
        <f aca="false">'Score Entry'!M20</f>
        <v>2</v>
      </c>
      <c r="J17" s="110" t="n">
        <f aca="false">'Score Entry'!O20</f>
        <v>2</v>
      </c>
      <c r="K17" s="110" t="n">
        <f aca="false">'Score Entry'!Q20</f>
        <v>2</v>
      </c>
      <c r="L17" s="73" t="n">
        <f aca="false">'Score Entry'!S20</f>
        <v>53.75</v>
      </c>
      <c r="M17" s="74" t="n">
        <f aca="false">'Score Entry'!S20</f>
        <v>53.75</v>
      </c>
      <c r="N17" s="111" t="str">
        <f aca="false">'Score Entry'!U20</f>
        <v>B</v>
      </c>
      <c r="O17" s="76" t="str">
        <f aca="false">'Score Entry'!V20</f>
        <v>Satisfactory</v>
      </c>
      <c r="P17" s="77" t="n">
        <f aca="false">'Score Entry'!W20</f>
        <v>0.5375</v>
      </c>
      <c r="Q17" s="78" t="str">
        <f aca="false">'Score Entry'!V20</f>
        <v>Satisfactory</v>
      </c>
    </row>
    <row r="18" customFormat="false" ht="19.5" hidden="false" customHeight="true" outlineLevel="0" collapsed="false">
      <c r="A18" s="79" t="n">
        <v>12</v>
      </c>
      <c r="B18" s="79" t="str">
        <f aca="false">'Score Entry'!B21</f>
        <v>RS012</v>
      </c>
      <c r="C18" s="79" t="str">
        <f aca="false">'Score Entry'!C21</f>
        <v>Meera Joshi</v>
      </c>
      <c r="D18" s="81" t="str">
        <f aca="false">'Score Entry'!D21</f>
        <v>M.Tech — Quantum Computing</v>
      </c>
      <c r="E18" s="110" t="n">
        <f aca="false">'Score Entry'!E21</f>
        <v>2</v>
      </c>
      <c r="F18" s="110" t="n">
        <f aca="false">'Score Entry'!G21</f>
        <v>2</v>
      </c>
      <c r="G18" s="110" t="n">
        <f aca="false">'Score Entry'!I21</f>
        <v>4</v>
      </c>
      <c r="H18" s="110" t="n">
        <f aca="false">'Score Entry'!K21</f>
        <v>2</v>
      </c>
      <c r="I18" s="110" t="n">
        <f aca="false">'Score Entry'!M21</f>
        <v>3</v>
      </c>
      <c r="J18" s="110" t="n">
        <f aca="false">'Score Entry'!O21</f>
        <v>1</v>
      </c>
      <c r="K18" s="110" t="n">
        <f aca="false">'Score Entry'!Q21</f>
        <v>1</v>
      </c>
      <c r="L18" s="73" t="n">
        <f aca="false">'Score Entry'!S21</f>
        <v>58.75</v>
      </c>
      <c r="M18" s="74" t="n">
        <f aca="false">'Score Entry'!S21</f>
        <v>58.75</v>
      </c>
      <c r="N18" s="111" t="str">
        <f aca="false">'Score Entry'!U21</f>
        <v>B</v>
      </c>
      <c r="O18" s="76" t="str">
        <f aca="false">'Score Entry'!V21</f>
        <v>Satisfactory</v>
      </c>
      <c r="P18" s="77" t="n">
        <f aca="false">'Score Entry'!W21</f>
        <v>0.5875</v>
      </c>
      <c r="Q18" s="78" t="str">
        <f aca="false">'Score Entry'!V21</f>
        <v>Satisfactory</v>
      </c>
    </row>
    <row r="19" customFormat="false" ht="19.5" hidden="false" customHeight="true" outlineLevel="0" collapsed="false">
      <c r="A19" s="65" t="n">
        <v>13</v>
      </c>
      <c r="B19" s="65" t="str">
        <f aca="false">'Score Entry'!B22</f>
        <v>RS013</v>
      </c>
      <c r="C19" s="65" t="str">
        <f aca="false">'Score Entry'!C22</f>
        <v>Suresh Pillai</v>
      </c>
      <c r="D19" s="67" t="str">
        <f aca="false">'Score Entry'!D22</f>
        <v>M.Tech — Blockchain</v>
      </c>
      <c r="E19" s="110" t="n">
        <f aca="false">'Score Entry'!E22</f>
        <v>4</v>
      </c>
      <c r="F19" s="110" t="n">
        <f aca="false">'Score Entry'!G22</f>
        <v>2</v>
      </c>
      <c r="G19" s="110" t="n">
        <f aca="false">'Score Entry'!I22</f>
        <v>2</v>
      </c>
      <c r="H19" s="110" t="n">
        <f aca="false">'Score Entry'!K22</f>
        <v>2</v>
      </c>
      <c r="I19" s="110" t="n">
        <f aca="false">'Score Entry'!M22</f>
        <v>2</v>
      </c>
      <c r="J19" s="110" t="n">
        <f aca="false">'Score Entry'!O22</f>
        <v>3</v>
      </c>
      <c r="K19" s="110" t="n">
        <f aca="false">'Score Entry'!Q22</f>
        <v>3</v>
      </c>
      <c r="L19" s="73" t="n">
        <f aca="false">'Score Entry'!S22</f>
        <v>60</v>
      </c>
      <c r="M19" s="74" t="n">
        <f aca="false">'Score Entry'!S22</f>
        <v>60</v>
      </c>
      <c r="N19" s="111" t="str">
        <f aca="false">'Score Entry'!U22</f>
        <v>B+</v>
      </c>
      <c r="O19" s="76" t="str">
        <f aca="false">'Score Entry'!V22</f>
        <v>Good</v>
      </c>
      <c r="P19" s="77" t="n">
        <f aca="false">'Score Entry'!W22</f>
        <v>0.6</v>
      </c>
      <c r="Q19" s="78" t="str">
        <f aca="false">'Score Entry'!V22</f>
        <v>Good</v>
      </c>
    </row>
    <row r="20" customFormat="false" ht="19.5" hidden="false" customHeight="true" outlineLevel="0" collapsed="false">
      <c r="A20" s="79" t="n">
        <v>14</v>
      </c>
      <c r="B20" s="79" t="str">
        <f aca="false">'Score Entry'!B23</f>
        <v>RS014</v>
      </c>
      <c r="C20" s="79" t="str">
        <f aca="false">'Score Entry'!C23</f>
        <v>Kavya Menon</v>
      </c>
      <c r="D20" s="81" t="str">
        <f aca="false">'Score Entry'!D23</f>
        <v>Ph.D — Edge Intelligence</v>
      </c>
      <c r="E20" s="110" t="n">
        <f aca="false">'Score Entry'!E23</f>
        <v>2</v>
      </c>
      <c r="F20" s="110" t="n">
        <f aca="false">'Score Entry'!G23</f>
        <v>3</v>
      </c>
      <c r="G20" s="110" t="n">
        <f aca="false">'Score Entry'!I23</f>
        <v>3</v>
      </c>
      <c r="H20" s="110" t="n">
        <f aca="false">'Score Entry'!K23</f>
        <v>2</v>
      </c>
      <c r="I20" s="110" t="n">
        <f aca="false">'Score Entry'!M23</f>
        <v>4</v>
      </c>
      <c r="J20" s="110" t="n">
        <f aca="false">'Score Entry'!O23</f>
        <v>2</v>
      </c>
      <c r="K20" s="110" t="n">
        <f aca="false">'Score Entry'!Q23</f>
        <v>4</v>
      </c>
      <c r="L20" s="73" t="n">
        <f aca="false">'Score Entry'!S23</f>
        <v>71.25</v>
      </c>
      <c r="M20" s="74" t="n">
        <f aca="false">'Score Entry'!S23</f>
        <v>71.25</v>
      </c>
      <c r="N20" s="111" t="str">
        <f aca="false">'Score Entry'!U23</f>
        <v>A</v>
      </c>
      <c r="O20" s="76" t="str">
        <f aca="false">'Score Entry'!V23</f>
        <v>Good</v>
      </c>
      <c r="P20" s="77" t="n">
        <f aca="false">'Score Entry'!W23</f>
        <v>0.7125</v>
      </c>
      <c r="Q20" s="78" t="str">
        <f aca="false">'Score Entry'!V23</f>
        <v>Good</v>
      </c>
    </row>
    <row r="21" customFormat="false" ht="19.5" hidden="false" customHeight="true" outlineLevel="0" collapsed="false">
      <c r="A21" s="65" t="n">
        <v>15</v>
      </c>
      <c r="B21" s="65" t="str">
        <f aca="false">'Score Entry'!B24</f>
        <v>RS015</v>
      </c>
      <c r="C21" s="65" t="str">
        <f aca="false">'Score Entry'!C24</f>
        <v>Aditya Bhat</v>
      </c>
      <c r="D21" s="67" t="str">
        <f aca="false">'Score Entry'!D24</f>
        <v>M.Tech — Digital Forensics</v>
      </c>
      <c r="E21" s="110" t="n">
        <f aca="false">'Score Entry'!E24</f>
        <v>2</v>
      </c>
      <c r="F21" s="110" t="n">
        <f aca="false">'Score Entry'!G24</f>
        <v>1</v>
      </c>
      <c r="G21" s="110" t="n">
        <f aca="false">'Score Entry'!I24</f>
        <v>2</v>
      </c>
      <c r="H21" s="110" t="n">
        <f aca="false">'Score Entry'!K24</f>
        <v>2</v>
      </c>
      <c r="I21" s="110" t="n">
        <f aca="false">'Score Entry'!M24</f>
        <v>4</v>
      </c>
      <c r="J21" s="110" t="n">
        <f aca="false">'Score Entry'!O24</f>
        <v>3</v>
      </c>
      <c r="K21" s="110" t="n">
        <f aca="false">'Score Entry'!Q24</f>
        <v>2</v>
      </c>
      <c r="L21" s="73" t="n">
        <f aca="false">'Score Entry'!S24</f>
        <v>56.25</v>
      </c>
      <c r="M21" s="74" t="n">
        <f aca="false">'Score Entry'!S24</f>
        <v>56.25</v>
      </c>
      <c r="N21" s="111" t="str">
        <f aca="false">'Score Entry'!U24</f>
        <v>B</v>
      </c>
      <c r="O21" s="76" t="str">
        <f aca="false">'Score Entry'!V24</f>
        <v>Satisfactory</v>
      </c>
      <c r="P21" s="77" t="n">
        <f aca="false">'Score Entry'!W24</f>
        <v>0.5625</v>
      </c>
      <c r="Q21" s="78" t="str">
        <f aca="false">'Score Entry'!V24</f>
        <v>Satisfactory</v>
      </c>
    </row>
    <row r="22" customFormat="false" ht="19.5" hidden="false" customHeight="true" outlineLevel="0" collapsed="false">
      <c r="A22" s="79" t="n">
        <v>16</v>
      </c>
      <c r="B22" s="79" t="str">
        <f aca="false">'Score Entry'!B25</f>
        <v>RS016</v>
      </c>
      <c r="C22" s="79" t="str">
        <f aca="false">'Score Entry'!C25</f>
        <v>Lakshmi Das</v>
      </c>
      <c r="D22" s="81" t="str">
        <f aca="false">'Score Entry'!D25</f>
        <v>M.Tech — Federated Learning</v>
      </c>
      <c r="E22" s="110" t="n">
        <f aca="false">'Score Entry'!E25</f>
        <v>1</v>
      </c>
      <c r="F22" s="110" t="n">
        <f aca="false">'Score Entry'!G25</f>
        <v>3</v>
      </c>
      <c r="G22" s="110" t="n">
        <f aca="false">'Score Entry'!I25</f>
        <v>3</v>
      </c>
      <c r="H22" s="110" t="n">
        <f aca="false">'Score Entry'!K25</f>
        <v>3</v>
      </c>
      <c r="I22" s="110" t="n">
        <f aca="false">'Score Entry'!M25</f>
        <v>4</v>
      </c>
      <c r="J22" s="110" t="n">
        <f aca="false">'Score Entry'!O25</f>
        <v>3</v>
      </c>
      <c r="K22" s="110" t="n">
        <f aca="false">'Score Entry'!Q25</f>
        <v>3</v>
      </c>
      <c r="L22" s="73" t="n">
        <f aca="false">'Score Entry'!S25</f>
        <v>73.75</v>
      </c>
      <c r="M22" s="74" t="n">
        <f aca="false">'Score Entry'!S25</f>
        <v>73.75</v>
      </c>
      <c r="N22" s="111" t="str">
        <f aca="false">'Score Entry'!U25</f>
        <v>A</v>
      </c>
      <c r="O22" s="76" t="str">
        <f aca="false">'Score Entry'!V25</f>
        <v>Good</v>
      </c>
      <c r="P22" s="77" t="n">
        <f aca="false">'Score Entry'!W25</f>
        <v>0.7375</v>
      </c>
      <c r="Q22" s="78" t="str">
        <f aca="false">'Score Entry'!V25</f>
        <v>Good</v>
      </c>
    </row>
    <row r="23" customFormat="false" ht="19.5" hidden="false" customHeight="true" outlineLevel="0" collapsed="false">
      <c r="A23" s="65" t="n">
        <v>17</v>
      </c>
      <c r="B23" s="65" t="str">
        <f aca="false">'Score Entry'!B26</f>
        <v>RS017</v>
      </c>
      <c r="C23" s="65" t="str">
        <f aca="false">'Score Entry'!C26</f>
        <v>Nikhil Tiwari</v>
      </c>
      <c r="D23" s="67" t="str">
        <f aca="false">'Score Entry'!D26</f>
        <v>Ph.D — Autonomous Systems</v>
      </c>
      <c r="E23" s="110" t="n">
        <f aca="false">'Score Entry'!E26</f>
        <v>1</v>
      </c>
      <c r="F23" s="110" t="n">
        <f aca="false">'Score Entry'!G26</f>
        <v>2</v>
      </c>
      <c r="G23" s="110" t="n">
        <f aca="false">'Score Entry'!I26</f>
        <v>3</v>
      </c>
      <c r="H23" s="110" t="n">
        <f aca="false">'Score Entry'!K26</f>
        <v>4</v>
      </c>
      <c r="I23" s="110" t="n">
        <f aca="false">'Score Entry'!M26</f>
        <v>4</v>
      </c>
      <c r="J23" s="110" t="n">
        <f aca="false">'Score Entry'!O26</f>
        <v>4</v>
      </c>
      <c r="K23" s="110" t="n">
        <f aca="false">'Score Entry'!Q26</f>
        <v>3</v>
      </c>
      <c r="L23" s="73" t="n">
        <f aca="false">'Score Entry'!S26</f>
        <v>77.5</v>
      </c>
      <c r="M23" s="74" t="n">
        <f aca="false">'Score Entry'!S26</f>
        <v>77.5</v>
      </c>
      <c r="N23" s="111" t="str">
        <f aca="false">'Score Entry'!U26</f>
        <v>A</v>
      </c>
      <c r="O23" s="76" t="str">
        <f aca="false">'Score Entry'!V26</f>
        <v>Excellent</v>
      </c>
      <c r="P23" s="77" t="n">
        <f aca="false">'Score Entry'!W26</f>
        <v>0.775</v>
      </c>
      <c r="Q23" s="78" t="str">
        <f aca="false">'Score Entry'!V26</f>
        <v>Excellent</v>
      </c>
    </row>
    <row r="24" customFormat="false" ht="19.5" hidden="false" customHeight="true" outlineLevel="0" collapsed="false">
      <c r="A24" s="79" t="n">
        <v>18</v>
      </c>
      <c r="B24" s="79" t="str">
        <f aca="false">'Score Entry'!B27</f>
        <v>RS018</v>
      </c>
      <c r="C24" s="79" t="str">
        <f aca="false">'Score Entry'!C27</f>
        <v>Riya Shah</v>
      </c>
      <c r="D24" s="81" t="str">
        <f aca="false">'Score Entry'!D27</f>
        <v>M.Tech — HealthTech AI</v>
      </c>
      <c r="E24" s="110" t="n">
        <f aca="false">'Score Entry'!E27</f>
        <v>3</v>
      </c>
      <c r="F24" s="110" t="n">
        <f aca="false">'Score Entry'!G27</f>
        <v>1</v>
      </c>
      <c r="G24" s="110" t="n">
        <f aca="false">'Score Entry'!I27</f>
        <v>2</v>
      </c>
      <c r="H24" s="110" t="n">
        <f aca="false">'Score Entry'!K27</f>
        <v>2</v>
      </c>
      <c r="I24" s="110" t="n">
        <f aca="false">'Score Entry'!M27</f>
        <v>3</v>
      </c>
      <c r="J24" s="110" t="n">
        <f aca="false">'Score Entry'!O27</f>
        <v>1</v>
      </c>
      <c r="K24" s="110" t="n">
        <f aca="false">'Score Entry'!Q27</f>
        <v>3</v>
      </c>
      <c r="L24" s="73" t="n">
        <f aca="false">'Score Entry'!S27</f>
        <v>52.5</v>
      </c>
      <c r="M24" s="74" t="n">
        <f aca="false">'Score Entry'!S27</f>
        <v>52.5</v>
      </c>
      <c r="N24" s="111" t="str">
        <f aca="false">'Score Entry'!U27</f>
        <v>B</v>
      </c>
      <c r="O24" s="76" t="str">
        <f aca="false">'Score Entry'!V27</f>
        <v>Satisfactory</v>
      </c>
      <c r="P24" s="77" t="n">
        <f aca="false">'Score Entry'!W27</f>
        <v>0.525</v>
      </c>
      <c r="Q24" s="78" t="str">
        <f aca="false">'Score Entry'!V27</f>
        <v>Satisfactory</v>
      </c>
    </row>
    <row r="25" customFormat="false" ht="19.5" hidden="false" customHeight="true" outlineLevel="0" collapsed="false">
      <c r="A25" s="65" t="n">
        <v>19</v>
      </c>
      <c r="B25" s="65" t="str">
        <f aca="false">'Score Entry'!B28</f>
        <v>RS019</v>
      </c>
      <c r="C25" s="65" t="str">
        <f aca="false">'Score Entry'!C28</f>
        <v>Manish Yadav</v>
      </c>
      <c r="D25" s="67" t="str">
        <f aca="false">'Score Entry'!D28</f>
        <v>Ph.D — XAI &amp; Trustworthy AI</v>
      </c>
      <c r="E25" s="110" t="n">
        <f aca="false">'Score Entry'!E28</f>
        <v>2</v>
      </c>
      <c r="F25" s="110" t="n">
        <f aca="false">'Score Entry'!G28</f>
        <v>2</v>
      </c>
      <c r="G25" s="110" t="n">
        <f aca="false">'Score Entry'!I28</f>
        <v>4</v>
      </c>
      <c r="H25" s="110" t="n">
        <f aca="false">'Score Entry'!K28</f>
        <v>2</v>
      </c>
      <c r="I25" s="110" t="n">
        <f aca="false">'Score Entry'!M28</f>
        <v>1</v>
      </c>
      <c r="J25" s="110" t="n">
        <f aca="false">'Score Entry'!O28</f>
        <v>1</v>
      </c>
      <c r="K25" s="110" t="n">
        <f aca="false">'Score Entry'!Q28</f>
        <v>2</v>
      </c>
      <c r="L25" s="73" t="n">
        <f aca="false">'Score Entry'!S28</f>
        <v>53.75</v>
      </c>
      <c r="M25" s="74" t="n">
        <f aca="false">'Score Entry'!S28</f>
        <v>53.75</v>
      </c>
      <c r="N25" s="111" t="str">
        <f aca="false">'Score Entry'!U28</f>
        <v>B</v>
      </c>
      <c r="O25" s="76" t="str">
        <f aca="false">'Score Entry'!V28</f>
        <v>Satisfactory</v>
      </c>
      <c r="P25" s="77" t="n">
        <f aca="false">'Score Entry'!W28</f>
        <v>0.5375</v>
      </c>
      <c r="Q25" s="78" t="str">
        <f aca="false">'Score Entry'!V28</f>
        <v>Satisfactory</v>
      </c>
    </row>
    <row r="26" customFormat="false" ht="19.5" hidden="false" customHeight="true" outlineLevel="0" collapsed="false">
      <c r="A26" s="79" t="n">
        <v>20</v>
      </c>
      <c r="B26" s="79" t="str">
        <f aca="false">'Score Entry'!B29</f>
        <v>RS020</v>
      </c>
      <c r="C26" s="79" t="str">
        <f aca="false">'Score Entry'!C29</f>
        <v>Deepa Nambiar</v>
      </c>
      <c r="D26" s="81" t="str">
        <f aca="false">'Score Entry'!D29</f>
        <v>M.Tech — Smart Grid Systems</v>
      </c>
      <c r="E26" s="110" t="n">
        <f aca="false">'Score Entry'!E29</f>
        <v>3</v>
      </c>
      <c r="F26" s="110" t="n">
        <f aca="false">'Score Entry'!G29</f>
        <v>3</v>
      </c>
      <c r="G26" s="110" t="n">
        <f aca="false">'Score Entry'!I29</f>
        <v>1</v>
      </c>
      <c r="H26" s="110" t="n">
        <f aca="false">'Score Entry'!K29</f>
        <v>1</v>
      </c>
      <c r="I26" s="110" t="n">
        <f aca="false">'Score Entry'!M29</f>
        <v>1</v>
      </c>
      <c r="J26" s="110" t="n">
        <f aca="false">'Score Entry'!O29</f>
        <v>3</v>
      </c>
      <c r="K26" s="110" t="n">
        <f aca="false">'Score Entry'!Q29</f>
        <v>3</v>
      </c>
      <c r="L26" s="73" t="n">
        <f aca="false">'Score Entry'!S29</f>
        <v>47.5</v>
      </c>
      <c r="M26" s="74" t="n">
        <f aca="false">'Score Entry'!S29</f>
        <v>47.5</v>
      </c>
      <c r="N26" s="111" t="str">
        <f aca="false">'Score Entry'!U29</f>
        <v>F</v>
      </c>
      <c r="O26" s="76" t="str">
        <f aca="false">'Score Entry'!V29</f>
        <v>Inadequate</v>
      </c>
      <c r="P26" s="77" t="n">
        <f aca="false">'Score Entry'!W29</f>
        <v>0.475</v>
      </c>
      <c r="Q26" s="78" t="str">
        <f aca="false">'Score Entry'!V29</f>
        <v>Inadequate</v>
      </c>
    </row>
    <row r="27" customFormat="false" ht="19.5" hidden="false" customHeight="true" outlineLevel="0" collapsed="false">
      <c r="A27" s="65" t="n">
        <v>21</v>
      </c>
      <c r="B27" s="65" t="str">
        <f aca="false">'Score Entry'!B30</f>
        <v>RS021</v>
      </c>
      <c r="C27" s="65" t="str">
        <f aca="false">'Score Entry'!C30</f>
        <v>Siddharth Roy</v>
      </c>
      <c r="D27" s="67" t="str">
        <f aca="false">'Score Entry'!D30</f>
        <v>M.Tech — AR/VR Technologies</v>
      </c>
      <c r="E27" s="110" t="n">
        <f aca="false">'Score Entry'!E30</f>
        <v>2</v>
      </c>
      <c r="F27" s="110" t="n">
        <f aca="false">'Score Entry'!G30</f>
        <v>3</v>
      </c>
      <c r="G27" s="110" t="n">
        <f aca="false">'Score Entry'!I30</f>
        <v>3</v>
      </c>
      <c r="H27" s="110" t="n">
        <f aca="false">'Score Entry'!K30</f>
        <v>2</v>
      </c>
      <c r="I27" s="110" t="n">
        <f aca="false">'Score Entry'!M30</f>
        <v>1</v>
      </c>
      <c r="J27" s="110" t="n">
        <f aca="false">'Score Entry'!O30</f>
        <v>4</v>
      </c>
      <c r="K27" s="110" t="n">
        <f aca="false">'Score Entry'!Q30</f>
        <v>4</v>
      </c>
      <c r="L27" s="73" t="n">
        <f aca="false">'Score Entry'!S30</f>
        <v>65</v>
      </c>
      <c r="M27" s="74" t="n">
        <f aca="false">'Score Entry'!S30</f>
        <v>65</v>
      </c>
      <c r="N27" s="111" t="str">
        <f aca="false">'Score Entry'!U30</f>
        <v>B+</v>
      </c>
      <c r="O27" s="76" t="str">
        <f aca="false">'Score Entry'!V30</f>
        <v>Good</v>
      </c>
      <c r="P27" s="77" t="n">
        <f aca="false">'Score Entry'!W30</f>
        <v>0.65</v>
      </c>
      <c r="Q27" s="78" t="str">
        <f aca="false">'Score Entry'!V30</f>
        <v>Good</v>
      </c>
    </row>
    <row r="28" customFormat="false" ht="19.5" hidden="false" customHeight="true" outlineLevel="0" collapsed="false">
      <c r="A28" s="79" t="n">
        <v>22</v>
      </c>
      <c r="B28" s="79" t="str">
        <f aca="false">'Score Entry'!B31</f>
        <v>RS022</v>
      </c>
      <c r="C28" s="79" t="str">
        <f aca="false">'Score Entry'!C31</f>
        <v>Revathi Kumar</v>
      </c>
      <c r="D28" s="81" t="str">
        <f aca="false">'Score Entry'!D31</f>
        <v>Ph.D — Social Network Analysis</v>
      </c>
      <c r="E28" s="110" t="n">
        <f aca="false">'Score Entry'!E31</f>
        <v>3</v>
      </c>
      <c r="F28" s="110" t="n">
        <f aca="false">'Score Entry'!G31</f>
        <v>3</v>
      </c>
      <c r="G28" s="110" t="n">
        <f aca="false">'Score Entry'!I31</f>
        <v>3</v>
      </c>
      <c r="H28" s="110" t="n">
        <f aca="false">'Score Entry'!K31</f>
        <v>2</v>
      </c>
      <c r="I28" s="110" t="n">
        <f aca="false">'Score Entry'!M31</f>
        <v>3</v>
      </c>
      <c r="J28" s="110" t="n">
        <f aca="false">'Score Entry'!O31</f>
        <v>4</v>
      </c>
      <c r="K28" s="110" t="n">
        <f aca="false">'Score Entry'!Q31</f>
        <v>1</v>
      </c>
      <c r="L28" s="73" t="n">
        <f aca="false">'Score Entry'!S31</f>
        <v>67.5</v>
      </c>
      <c r="M28" s="74" t="n">
        <f aca="false">'Score Entry'!S31</f>
        <v>67.5</v>
      </c>
      <c r="N28" s="111" t="str">
        <f aca="false">'Score Entry'!U31</f>
        <v>B+</v>
      </c>
      <c r="O28" s="76" t="str">
        <f aca="false">'Score Entry'!V31</f>
        <v>Good</v>
      </c>
      <c r="P28" s="77" t="n">
        <f aca="false">'Score Entry'!W31</f>
        <v>0.675</v>
      </c>
      <c r="Q28" s="78" t="str">
        <f aca="false">'Score Entry'!V31</f>
        <v>Good</v>
      </c>
    </row>
    <row r="29" customFormat="false" ht="19.5" hidden="false" customHeight="true" outlineLevel="0" collapsed="false">
      <c r="A29" s="65" t="n">
        <v>23</v>
      </c>
      <c r="B29" s="65" t="str">
        <f aca="false">'Score Entry'!B32</f>
        <v>RS023</v>
      </c>
      <c r="C29" s="65" t="str">
        <f aca="false">'Score Entry'!C32</f>
        <v>Aakash Jain</v>
      </c>
      <c r="D29" s="67" t="str">
        <f aca="false">'Score Entry'!D32</f>
        <v>M.Tech — SDG &amp; Sustainable AI</v>
      </c>
      <c r="E29" s="110" t="n">
        <f aca="false">'Score Entry'!E32</f>
        <v>3</v>
      </c>
      <c r="F29" s="110" t="n">
        <f aca="false">'Score Entry'!G32</f>
        <v>1</v>
      </c>
      <c r="G29" s="110" t="n">
        <f aca="false">'Score Entry'!I32</f>
        <v>4</v>
      </c>
      <c r="H29" s="110" t="n">
        <f aca="false">'Score Entry'!K32</f>
        <v>2</v>
      </c>
      <c r="I29" s="110" t="n">
        <f aca="false">'Score Entry'!M32</f>
        <v>1</v>
      </c>
      <c r="J29" s="110" t="n">
        <f aca="false">'Score Entry'!O32</f>
        <v>4</v>
      </c>
      <c r="K29" s="110" t="n">
        <f aca="false">'Score Entry'!Q32</f>
        <v>4</v>
      </c>
      <c r="L29" s="73" t="n">
        <f aca="false">'Score Entry'!S32</f>
        <v>65</v>
      </c>
      <c r="M29" s="74" t="n">
        <f aca="false">'Score Entry'!S32</f>
        <v>65</v>
      </c>
      <c r="N29" s="111" t="str">
        <f aca="false">'Score Entry'!U32</f>
        <v>B+</v>
      </c>
      <c r="O29" s="76" t="str">
        <f aca="false">'Score Entry'!V32</f>
        <v>Good</v>
      </c>
      <c r="P29" s="77" t="n">
        <f aca="false">'Score Entry'!W32</f>
        <v>0.65</v>
      </c>
      <c r="Q29" s="78" t="str">
        <f aca="false">'Score Entry'!V32</f>
        <v>Good</v>
      </c>
    </row>
    <row r="30" customFormat="false" ht="19.5" hidden="false" customHeight="true" outlineLevel="0" collapsed="false">
      <c r="A30" s="79" t="n">
        <v>24</v>
      </c>
      <c r="B30" s="79" t="str">
        <f aca="false">'Score Entry'!B33</f>
        <v>RS024</v>
      </c>
      <c r="C30" s="79" t="str">
        <f aca="false">'Score Entry'!C33</f>
        <v>Bhavana Singh</v>
      </c>
      <c r="D30" s="81" t="str">
        <f aca="false">'Score Entry'!D33</f>
        <v>Ph.D — Quantum ML</v>
      </c>
      <c r="E30" s="110" t="n">
        <f aca="false">'Score Entry'!E33</f>
        <v>3</v>
      </c>
      <c r="F30" s="110" t="n">
        <f aca="false">'Score Entry'!G33</f>
        <v>4</v>
      </c>
      <c r="G30" s="110" t="n">
        <f aca="false">'Score Entry'!I33</f>
        <v>1</v>
      </c>
      <c r="H30" s="110" t="n">
        <f aca="false">'Score Entry'!K33</f>
        <v>1</v>
      </c>
      <c r="I30" s="110" t="n">
        <f aca="false">'Score Entry'!M33</f>
        <v>3</v>
      </c>
      <c r="J30" s="110" t="n">
        <f aca="false">'Score Entry'!O33</f>
        <v>1</v>
      </c>
      <c r="K30" s="110" t="n">
        <f aca="false">'Score Entry'!Q33</f>
        <v>1</v>
      </c>
      <c r="L30" s="73" t="n">
        <f aca="false">'Score Entry'!S33</f>
        <v>48.75</v>
      </c>
      <c r="M30" s="74" t="n">
        <f aca="false">'Score Entry'!S33</f>
        <v>48.75</v>
      </c>
      <c r="N30" s="111" t="str">
        <f aca="false">'Score Entry'!U33</f>
        <v>F</v>
      </c>
      <c r="O30" s="76" t="str">
        <f aca="false">'Score Entry'!V33</f>
        <v>Inadequate</v>
      </c>
      <c r="P30" s="77" t="n">
        <f aca="false">'Score Entry'!W33</f>
        <v>0.4875</v>
      </c>
      <c r="Q30" s="78" t="str">
        <f aca="false">'Score Entry'!V33</f>
        <v>Inadequate</v>
      </c>
    </row>
    <row r="31" customFormat="false" ht="19.5" hidden="false" customHeight="true" outlineLevel="0" collapsed="false">
      <c r="A31" s="65" t="n">
        <v>25</v>
      </c>
      <c r="B31" s="65" t="str">
        <f aca="false">'Score Entry'!B34</f>
        <v>RS025</v>
      </c>
      <c r="C31" s="65" t="str">
        <f aca="false">'Score Entry'!C34</f>
        <v>Chetan Rao</v>
      </c>
      <c r="D31" s="67" t="str">
        <f aca="false">'Score Entry'!D34</f>
        <v>M.Tech — Neuromorphic Computing</v>
      </c>
      <c r="E31" s="110" t="n">
        <f aca="false">'Score Entry'!E34</f>
        <v>4</v>
      </c>
      <c r="F31" s="110" t="n">
        <f aca="false">'Score Entry'!G34</f>
        <v>4</v>
      </c>
      <c r="G31" s="110" t="n">
        <f aca="false">'Score Entry'!I34</f>
        <v>3</v>
      </c>
      <c r="H31" s="110" t="n">
        <f aca="false">'Score Entry'!K34</f>
        <v>1</v>
      </c>
      <c r="I31" s="110" t="n">
        <f aca="false">'Score Entry'!M34</f>
        <v>3</v>
      </c>
      <c r="J31" s="110" t="n">
        <f aca="false">'Score Entry'!O34</f>
        <v>1</v>
      </c>
      <c r="K31" s="110" t="n">
        <f aca="false">'Score Entry'!Q34</f>
        <v>3</v>
      </c>
      <c r="L31" s="73" t="n">
        <f aca="false">'Score Entry'!S34</f>
        <v>66.25</v>
      </c>
      <c r="M31" s="74" t="n">
        <f aca="false">'Score Entry'!S34</f>
        <v>66.25</v>
      </c>
      <c r="N31" s="111" t="str">
        <f aca="false">'Score Entry'!U34</f>
        <v>B+</v>
      </c>
      <c r="O31" s="76" t="str">
        <f aca="false">'Score Entry'!V34</f>
        <v>Good</v>
      </c>
      <c r="P31" s="77" t="n">
        <f aca="false">'Score Entry'!W34</f>
        <v>0.6625</v>
      </c>
      <c r="Q31" s="78" t="str">
        <f aca="false">'Score Entry'!V34</f>
        <v>Good</v>
      </c>
    </row>
    <row r="33" customFormat="false" ht="21.75" hidden="false" customHeight="true" outlineLevel="0" collapsed="false">
      <c r="A33" s="83" t="s">
        <v>218</v>
      </c>
      <c r="B33" s="83"/>
      <c r="C33" s="83"/>
      <c r="D33" s="83"/>
      <c r="E33" s="84" t="n">
        <f aca="false">AVERAGE(E7:E31)</f>
        <v>2.4</v>
      </c>
      <c r="F33" s="84" t="n">
        <f aca="false">AVERAGE(F7:F31)</f>
        <v>2.4</v>
      </c>
      <c r="G33" s="84" t="n">
        <f aca="false">AVERAGE(G7:G31)</f>
        <v>2.8</v>
      </c>
      <c r="H33" s="84" t="n">
        <f aca="false">AVERAGE(H7:H31)</f>
        <v>2</v>
      </c>
      <c r="I33" s="84" t="n">
        <f aca="false">AVERAGE(I7:I31)</f>
        <v>2.52</v>
      </c>
      <c r="J33" s="84" t="n">
        <f aca="false">AVERAGE(J7:J31)</f>
        <v>2.52</v>
      </c>
      <c r="K33" s="84" t="n">
        <f aca="false">AVERAGE(K7:K31)</f>
        <v>2.32</v>
      </c>
      <c r="L33" s="85" t="n">
        <f aca="false">AVERAGE(L7:L31)</f>
        <v>60.55</v>
      </c>
      <c r="M33" s="31"/>
      <c r="N33" s="31"/>
      <c r="O33" s="31"/>
      <c r="P33" s="31"/>
      <c r="Q33" s="31"/>
    </row>
  </sheetData>
  <mergeCells count="5">
    <mergeCell ref="A1:P1"/>
    <mergeCell ref="A2:P2"/>
    <mergeCell ref="A4:B4"/>
    <mergeCell ref="I4:P4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  <col collapsed="false" customWidth="true" hidden="false" outlineLevel="0" max="10" min="9" style="0" width="12"/>
  </cols>
  <sheetData>
    <row r="1" customFormat="false" ht="42" hidden="false" customHeight="true" outlineLevel="0" collapsed="false">
      <c r="A1" s="112" t="s">
        <v>252</v>
      </c>
      <c r="B1" s="112"/>
      <c r="C1" s="112"/>
      <c r="D1" s="112"/>
      <c r="E1" s="112"/>
      <c r="F1" s="112"/>
      <c r="G1" s="112"/>
      <c r="H1" s="112"/>
      <c r="I1" s="112"/>
      <c r="J1" s="112"/>
    </row>
    <row r="2" customFormat="false" ht="13.5" hidden="false" customHeight="true" outlineLevel="0" collapsed="false">
      <c r="A2" s="46" t="s">
        <v>253</v>
      </c>
      <c r="B2" s="46"/>
      <c r="C2" s="46"/>
      <c r="D2" s="46"/>
      <c r="E2" s="46"/>
      <c r="F2" s="46"/>
      <c r="G2" s="46"/>
      <c r="H2" s="46"/>
      <c r="I2" s="46"/>
      <c r="J2" s="46"/>
    </row>
    <row r="3" customFormat="false" ht="7.5" hidden="false" customHeight="true" outlineLevel="0" collapsed="false"/>
    <row r="4" customFormat="false" ht="24" hidden="false" customHeight="true" outlineLevel="0" collapsed="false">
      <c r="A4" s="113" t="s">
        <v>254</v>
      </c>
      <c r="B4" s="114" t="s">
        <v>120</v>
      </c>
      <c r="C4" s="114" t="s">
        <v>121</v>
      </c>
      <c r="D4" s="114" t="s">
        <v>122</v>
      </c>
      <c r="E4" s="114" t="s">
        <v>123</v>
      </c>
      <c r="F4" s="114" t="s">
        <v>124</v>
      </c>
      <c r="G4" s="114" t="s">
        <v>125</v>
      </c>
      <c r="H4" s="114" t="s">
        <v>126</v>
      </c>
      <c r="I4" s="11" t="s">
        <v>255</v>
      </c>
      <c r="J4" s="10" t="s">
        <v>256</v>
      </c>
    </row>
    <row r="5" customFormat="false" ht="19.5" hidden="false" customHeight="true" outlineLevel="0" collapsed="false">
      <c r="A5" s="113"/>
      <c r="B5" s="114"/>
      <c r="C5" s="114"/>
      <c r="D5" s="114"/>
      <c r="E5" s="114"/>
      <c r="F5" s="114"/>
      <c r="G5" s="114"/>
      <c r="H5" s="114"/>
      <c r="I5" s="114"/>
      <c r="J5" s="114"/>
    </row>
    <row r="6" customFormat="false" ht="19.5" hidden="false" customHeight="true" outlineLevel="0" collapsed="false">
      <c r="A6" s="115" t="s">
        <v>257</v>
      </c>
      <c r="B6" s="116" t="n">
        <f aca="false">AVERAGE('Score Entry'!E10:E34)</f>
        <v>2.4</v>
      </c>
      <c r="C6" s="116" t="n">
        <f aca="false">AVERAGE('Score Entry'!G10:G34)</f>
        <v>2.4</v>
      </c>
      <c r="D6" s="116" t="n">
        <f aca="false">AVERAGE('Score Entry'!I10:I34)</f>
        <v>2.8</v>
      </c>
      <c r="E6" s="116" t="n">
        <f aca="false">AVERAGE('Score Entry'!K10:K34)</f>
        <v>2</v>
      </c>
      <c r="F6" s="116" t="n">
        <f aca="false">AVERAGE('Score Entry'!M10:M34)</f>
        <v>2.52</v>
      </c>
      <c r="G6" s="116" t="n">
        <f aca="false">AVERAGE('Score Entry'!O10:O34)</f>
        <v>2.52</v>
      </c>
      <c r="H6" s="116" t="n">
        <f aca="false">AVERAGE('Score Entry'!Q10:Q34)</f>
        <v>2.32</v>
      </c>
      <c r="I6" s="117" t="n">
        <f aca="false">IFERROR(AVERAGE(B6,C6,D6,E6,F6,G6,H6),0)</f>
        <v>2.42285714285714</v>
      </c>
      <c r="J6" s="31"/>
    </row>
    <row r="7" customFormat="false" ht="19.5" hidden="false" customHeight="true" outlineLevel="0" collapsed="false">
      <c r="A7" s="118" t="s">
        <v>258</v>
      </c>
      <c r="B7" s="119" t="n">
        <f aca="false">AVERAGE('Score Entry'!F10:F34)</f>
        <v>6</v>
      </c>
      <c r="C7" s="119" t="n">
        <f aca="false">AVERAGE('Score Entry'!H10:H34)</f>
        <v>9</v>
      </c>
      <c r="D7" s="119" t="n">
        <f aca="false">AVERAGE('Score Entry'!J10:J34)</f>
        <v>14</v>
      </c>
      <c r="E7" s="119" t="n">
        <f aca="false">AVERAGE('Score Entry'!L10:L34)</f>
        <v>10</v>
      </c>
      <c r="F7" s="119" t="n">
        <f aca="false">AVERAGE('Score Entry'!N10:N34)</f>
        <v>9.45</v>
      </c>
      <c r="G7" s="119" t="n">
        <f aca="false">AVERAGE('Score Entry'!P10:P34)</f>
        <v>6.3</v>
      </c>
      <c r="H7" s="119" t="n">
        <f aca="false">AVERAGE('Score Entry'!R10:R34)</f>
        <v>5.8</v>
      </c>
      <c r="I7" s="117" t="n">
        <f aca="false">IFERROR(AVERAGE(B7,C7,D7,E7,F7,G7,H7),0)</f>
        <v>8.65</v>
      </c>
      <c r="J7" s="31"/>
    </row>
    <row r="8" customFormat="false" ht="19.5" hidden="false" customHeight="true" outlineLevel="0" collapsed="false">
      <c r="A8" s="120" t="s">
        <v>259</v>
      </c>
      <c r="B8" s="121" t="n">
        <f aca="false">MAX('Score Entry'!E10:E34)</f>
        <v>4</v>
      </c>
      <c r="C8" s="121" t="n">
        <f aca="false">MAX('Score Entry'!G10:G34)</f>
        <v>4</v>
      </c>
      <c r="D8" s="121" t="n">
        <f aca="false">MAX('Score Entry'!I10:I34)</f>
        <v>4</v>
      </c>
      <c r="E8" s="121" t="n">
        <f aca="false">MAX('Score Entry'!K10:K34)</f>
        <v>4</v>
      </c>
      <c r="F8" s="121" t="n">
        <f aca="false">MAX('Score Entry'!M10:M34)</f>
        <v>4</v>
      </c>
      <c r="G8" s="121" t="n">
        <f aca="false">MAX('Score Entry'!O10:O34)</f>
        <v>4</v>
      </c>
      <c r="H8" s="121" t="n">
        <f aca="false">MAX('Score Entry'!Q10:Q34)</f>
        <v>4</v>
      </c>
      <c r="I8" s="122" t="n">
        <f aca="false">IFERROR(AVERAGE(B8,C8,D8,E8,F8,G8,H8),0)</f>
        <v>4</v>
      </c>
      <c r="J8" s="31"/>
    </row>
    <row r="9" customFormat="false" ht="19.5" hidden="false" customHeight="true" outlineLevel="0" collapsed="false">
      <c r="A9" s="123" t="s">
        <v>260</v>
      </c>
      <c r="B9" s="124" t="n">
        <f aca="false">MIN('Score Entry'!E10:E34)</f>
        <v>1</v>
      </c>
      <c r="C9" s="124" t="n">
        <f aca="false">MIN('Score Entry'!G10:G34)</f>
        <v>1</v>
      </c>
      <c r="D9" s="124" t="n">
        <f aca="false">MIN('Score Entry'!I10:I34)</f>
        <v>1</v>
      </c>
      <c r="E9" s="124" t="n">
        <f aca="false">MIN('Score Entry'!K10:K34)</f>
        <v>1</v>
      </c>
      <c r="F9" s="124" t="n">
        <f aca="false">MIN('Score Entry'!M10:M34)</f>
        <v>1</v>
      </c>
      <c r="G9" s="124" t="n">
        <f aca="false">MIN('Score Entry'!O10:O34)</f>
        <v>1</v>
      </c>
      <c r="H9" s="124" t="n">
        <f aca="false">MIN('Score Entry'!Q10:Q34)</f>
        <v>1</v>
      </c>
      <c r="I9" s="122" t="n">
        <f aca="false">IFERROR(AVERAGE(B9,C9,D9,E9,F9,G9,H9),0)</f>
        <v>1</v>
      </c>
      <c r="J9" s="31"/>
    </row>
    <row r="10" customFormat="false" ht="19.5" hidden="false" customHeight="true" outlineLevel="0" collapsed="false">
      <c r="A10" s="118" t="s">
        <v>12</v>
      </c>
      <c r="B10" s="125" t="n">
        <f aca="false">COUNTIF('Score Entry'!E10:E34,4)</f>
        <v>3</v>
      </c>
      <c r="C10" s="125" t="n">
        <f aca="false">COUNTIF('Score Entry'!G10:G34,4)</f>
        <v>5</v>
      </c>
      <c r="D10" s="125" t="n">
        <f aca="false">COUNTIF('Score Entry'!I10:I34,4)</f>
        <v>7</v>
      </c>
      <c r="E10" s="125" t="n">
        <f aca="false">COUNTIF('Score Entry'!K10:K34,4)</f>
        <v>4</v>
      </c>
      <c r="F10" s="125" t="n">
        <f aca="false">COUNTIF('Score Entry'!M10:M34,4)</f>
        <v>6</v>
      </c>
      <c r="G10" s="125" t="n">
        <f aca="false">COUNTIF('Score Entry'!O10:O34,4)</f>
        <v>7</v>
      </c>
      <c r="H10" s="125" t="n">
        <f aca="false">COUNTIF('Score Entry'!Q10:Q34,4)</f>
        <v>3</v>
      </c>
      <c r="I10" s="122" t="n">
        <f aca="false">IFERROR(AVERAGE(B10,C10,D10,E10,F10,G10,H10),0)</f>
        <v>5</v>
      </c>
      <c r="J10" s="31"/>
    </row>
    <row r="11" customFormat="false" ht="19.5" hidden="false" customHeight="true" outlineLevel="0" collapsed="false">
      <c r="A11" s="126" t="s">
        <v>13</v>
      </c>
      <c r="B11" s="127" t="n">
        <f aca="false">COUNTIF('Score Entry'!E10:E34,3)</f>
        <v>9</v>
      </c>
      <c r="C11" s="127" t="n">
        <f aca="false">COUNTIF('Score Entry'!G10:G34,3)</f>
        <v>7</v>
      </c>
      <c r="D11" s="127" t="n">
        <f aca="false">COUNTIF('Score Entry'!I10:I34,3)</f>
        <v>9</v>
      </c>
      <c r="E11" s="127" t="n">
        <f aca="false">COUNTIF('Score Entry'!K10:K34,3)</f>
        <v>1</v>
      </c>
      <c r="F11" s="127" t="n">
        <f aca="false">COUNTIF('Score Entry'!M10:M34,3)</f>
        <v>8</v>
      </c>
      <c r="G11" s="127" t="n">
        <f aca="false">COUNTIF('Score Entry'!O10:O34,3)</f>
        <v>7</v>
      </c>
      <c r="H11" s="127" t="n">
        <f aca="false">COUNTIF('Score Entry'!Q10:Q34,3)</f>
        <v>8</v>
      </c>
      <c r="I11" s="122" t="n">
        <f aca="false">IFERROR(AVERAGE(B11,C11,D11,E11,F11,G11,H11),0)</f>
        <v>7</v>
      </c>
      <c r="J11" s="31"/>
    </row>
    <row r="12" customFormat="false" ht="19.5" hidden="false" customHeight="true" outlineLevel="0" collapsed="false">
      <c r="A12" s="128" t="s">
        <v>14</v>
      </c>
      <c r="B12" s="129" t="n">
        <f aca="false">COUNTIF('Score Entry'!E10:E34,2)</f>
        <v>8</v>
      </c>
      <c r="C12" s="129" t="n">
        <f aca="false">COUNTIF('Score Entry'!G10:G34,2)</f>
        <v>6</v>
      </c>
      <c r="D12" s="129" t="n">
        <f aca="false">COUNTIF('Score Entry'!I10:I34,2)</f>
        <v>6</v>
      </c>
      <c r="E12" s="129" t="n">
        <f aca="false">COUNTIF('Score Entry'!K10:K34,2)</f>
        <v>11</v>
      </c>
      <c r="F12" s="129" t="n">
        <f aca="false">COUNTIF('Score Entry'!M10:M34,2)</f>
        <v>4</v>
      </c>
      <c r="G12" s="129" t="n">
        <f aca="false">COUNTIF('Score Entry'!O10:O34,2)</f>
        <v>3</v>
      </c>
      <c r="H12" s="129" t="n">
        <f aca="false">COUNTIF('Score Entry'!Q10:Q34,2)</f>
        <v>8</v>
      </c>
      <c r="I12" s="122" t="n">
        <f aca="false">IFERROR(AVERAGE(B12,C12,D12,E12,F12,G12,H12),0)</f>
        <v>6.57142857142857</v>
      </c>
      <c r="J12" s="31"/>
    </row>
    <row r="13" customFormat="false" ht="19.5" hidden="false" customHeight="true" outlineLevel="0" collapsed="false">
      <c r="A13" s="123" t="s">
        <v>15</v>
      </c>
      <c r="B13" s="124" t="n">
        <f aca="false">COUNTIF('Score Entry'!E10:E34,1)</f>
        <v>5</v>
      </c>
      <c r="C13" s="124" t="n">
        <f aca="false">COUNTIF('Score Entry'!G10:G34,1)</f>
        <v>7</v>
      </c>
      <c r="D13" s="124" t="n">
        <f aca="false">COUNTIF('Score Entry'!I10:I34,1)</f>
        <v>3</v>
      </c>
      <c r="E13" s="124" t="n">
        <f aca="false">COUNTIF('Score Entry'!K10:K34,1)</f>
        <v>9</v>
      </c>
      <c r="F13" s="124" t="n">
        <f aca="false">COUNTIF('Score Entry'!M10:M34,1)</f>
        <v>7</v>
      </c>
      <c r="G13" s="124" t="n">
        <f aca="false">COUNTIF('Score Entry'!O10:O34,1)</f>
        <v>8</v>
      </c>
      <c r="H13" s="124" t="n">
        <f aca="false">COUNTIF('Score Entry'!Q10:Q34,1)</f>
        <v>6</v>
      </c>
      <c r="I13" s="122" t="n">
        <f aca="false">IFERROR(AVERAGE(B13,C13,D13,E13,F13,G13,H13),0)</f>
        <v>6.42857142857143</v>
      </c>
      <c r="J13" s="31"/>
    </row>
    <row r="14" customFormat="false" ht="19.5" hidden="false" customHeight="true" outlineLevel="0" collapsed="false">
      <c r="A14" s="130" t="s">
        <v>261</v>
      </c>
      <c r="B14" s="131" t="n">
        <f aca="false">IFERROR(AVERAGE('Score Entry'!E10:E34)/4*100,0)</f>
        <v>60</v>
      </c>
      <c r="C14" s="131" t="n">
        <f aca="false">IFERROR(AVERAGE('Score Entry'!G10:G34)/4*100,0)</f>
        <v>60</v>
      </c>
      <c r="D14" s="131" t="n">
        <f aca="false">IFERROR(AVERAGE('Score Entry'!I10:I34)/4*100,0)</f>
        <v>70</v>
      </c>
      <c r="E14" s="131" t="n">
        <f aca="false">IFERROR(AVERAGE('Score Entry'!K10:K34)/4*100,0)</f>
        <v>50</v>
      </c>
      <c r="F14" s="131" t="n">
        <f aca="false">IFERROR(AVERAGE('Score Entry'!M10:M34)/4*100,0)</f>
        <v>63</v>
      </c>
      <c r="G14" s="131" t="n">
        <f aca="false">IFERROR(AVERAGE('Score Entry'!O10:O34)/4*100,0)</f>
        <v>63</v>
      </c>
      <c r="H14" s="131" t="n">
        <f aca="false">IFERROR(AVERAGE('Score Entry'!Q10:Q34)/4*100,0)</f>
        <v>58</v>
      </c>
      <c r="I14" s="84" t="n">
        <f aca="false">IFERROR(AVERAGE(B14,C14,D14,E14,F14,G14,H14),0)</f>
        <v>60.5714285714286</v>
      </c>
      <c r="J14" s="84" t="n">
        <f aca="false">I14</f>
        <v>60.5714285714286</v>
      </c>
    </row>
    <row r="15" customFormat="false" ht="19.5" hidden="false" customHeight="true" outlineLevel="0" collapsed="false">
      <c r="A15" s="132" t="s">
        <v>262</v>
      </c>
      <c r="B15" s="133" t="str">
        <f aca="false">IF(B14&gt;=75,"Excellent",IF(B14&gt;=60,"Good",IF(B14&gt;=50,"Satisfactory","Inadequate")))</f>
        <v>Good</v>
      </c>
      <c r="C15" s="133" t="str">
        <f aca="false">IF(C14&gt;=75,"Excellent",IF(C14&gt;=60,"Good",IF(C14&gt;=50,"Satisfactory","Inadequate")))</f>
        <v>Good</v>
      </c>
      <c r="D15" s="133" t="str">
        <f aca="false">IF(D14&gt;=75,"Excellent",IF(D14&gt;=60,"Good",IF(D14&gt;=50,"Satisfactory","Inadequate")))</f>
        <v>Good</v>
      </c>
      <c r="E15" s="133" t="str">
        <f aca="false">IF(E14&gt;=75,"Excellent",IF(E14&gt;=60,"Good",IF(E14&gt;=50,"Satisfactory","Inadequate")))</f>
        <v>Satisfactory</v>
      </c>
      <c r="F15" s="133" t="str">
        <f aca="false">IF(F14&gt;=75,"Excellent",IF(F14&gt;=60,"Good",IF(F14&gt;=50,"Satisfactory","Inadequate")))</f>
        <v>Good</v>
      </c>
      <c r="G15" s="133" t="str">
        <f aca="false">IF(G14&gt;=75,"Excellent",IF(G14&gt;=60,"Good",IF(G14&gt;=50,"Satisfactory","Inadequate")))</f>
        <v>Good</v>
      </c>
      <c r="H15" s="133" t="str">
        <f aca="false">IF(H14&gt;=75,"Excellent",IF(H14&gt;=60,"Good",IF(H14&gt;=50,"Satisfactory","Inadequate")))</f>
        <v>Satisfactory</v>
      </c>
      <c r="I15" s="134"/>
      <c r="J15" s="134"/>
    </row>
  </sheetData>
  <mergeCells count="12">
    <mergeCell ref="A1:J1"/>
    <mergeCell ref="A2:J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11" min="5" style="0" width="11"/>
    <col collapsed="false" customWidth="true" hidden="false" outlineLevel="0" max="15" min="12" style="0" width="14"/>
  </cols>
  <sheetData>
    <row r="1" customFormat="false" ht="42" hidden="false" customHeight="true" outlineLevel="0" collapsed="false">
      <c r="A1" s="112" t="s">
        <v>263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customFormat="false" ht="15.75" hidden="false" customHeight="true" outlineLevel="0" collapsed="false">
      <c r="A2" s="46" t="s">
        <v>264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customFormat="false" ht="7.5" hidden="false" customHeight="true" outlineLevel="0" collapsed="false"/>
    <row r="4" customFormat="false" ht="27.75" hidden="false" customHeight="true" outlineLevel="0" collapsed="false">
      <c r="A4" s="135" t="s">
        <v>8</v>
      </c>
      <c r="B4" s="135" t="s">
        <v>265</v>
      </c>
      <c r="C4" s="135" t="s">
        <v>266</v>
      </c>
      <c r="D4" s="135" t="s">
        <v>267</v>
      </c>
      <c r="E4" s="136" t="s">
        <v>268</v>
      </c>
      <c r="F4" s="136"/>
      <c r="G4" s="136"/>
      <c r="H4" s="136"/>
      <c r="I4" s="136"/>
      <c r="J4" s="136"/>
      <c r="K4" s="136"/>
      <c r="L4" s="57" t="s">
        <v>269</v>
      </c>
      <c r="M4" s="56" t="s">
        <v>270</v>
      </c>
      <c r="N4" s="59" t="s">
        <v>271</v>
      </c>
      <c r="O4" s="58" t="s">
        <v>130</v>
      </c>
    </row>
    <row r="5" customFormat="false" ht="19.5" hidden="false" customHeight="true" outlineLevel="0" collapsed="false">
      <c r="A5" s="135"/>
      <c r="B5" s="135"/>
      <c r="C5" s="135"/>
      <c r="D5" s="135"/>
      <c r="E5" s="137" t="s">
        <v>244</v>
      </c>
      <c r="F5" s="137" t="s">
        <v>245</v>
      </c>
      <c r="G5" s="137" t="s">
        <v>246</v>
      </c>
      <c r="H5" s="137" t="s">
        <v>247</v>
      </c>
      <c r="I5" s="137" t="s">
        <v>248</v>
      </c>
      <c r="J5" s="137" t="s">
        <v>249</v>
      </c>
      <c r="K5" s="137" t="s">
        <v>250</v>
      </c>
      <c r="L5" s="57"/>
      <c r="M5" s="57"/>
      <c r="N5" s="57"/>
      <c r="O5" s="57"/>
    </row>
    <row r="6" customFormat="false" ht="21.75" hidden="false" customHeight="true" outlineLevel="0" collapsed="false">
      <c r="A6" s="65" t="n">
        <v>1</v>
      </c>
      <c r="B6" s="16" t="s">
        <v>272</v>
      </c>
      <c r="C6" s="138" t="s">
        <v>273</v>
      </c>
      <c r="D6" s="139" t="s">
        <v>274</v>
      </c>
      <c r="E6" s="140" t="n">
        <f aca="false">'Criterion Analysis'!B14</f>
        <v>60</v>
      </c>
      <c r="F6" s="140" t="n">
        <f aca="false">'Criterion Analysis'!C14</f>
        <v>60</v>
      </c>
      <c r="G6" s="141" t="s">
        <v>275</v>
      </c>
      <c r="H6" s="141" t="s">
        <v>275</v>
      </c>
      <c r="I6" s="141" t="s">
        <v>275</v>
      </c>
      <c r="J6" s="141" t="s">
        <v>275</v>
      </c>
      <c r="K6" s="141" t="s">
        <v>275</v>
      </c>
      <c r="L6" s="142" t="n">
        <f aca="false">IFERROR(AVERAGE('Criterion Analysis'!B14,'Criterion Analysis'!C14),0)</f>
        <v>60</v>
      </c>
      <c r="M6" s="143" t="n">
        <v>60</v>
      </c>
      <c r="N6" s="144" t="n">
        <f aca="false">L6-M6</f>
        <v>0</v>
      </c>
      <c r="O6" s="133" t="str">
        <f aca="false">IF(L6&gt;=90,"Outstanding",IF(L6&gt;=75,"Excellent",IF(L6&gt;=60,"Good",IF(L6&gt;=50,"Satisfactory","Inadequate"))))</f>
        <v>Good</v>
      </c>
    </row>
    <row r="7" customFormat="false" ht="21.75" hidden="false" customHeight="true" outlineLevel="0" collapsed="false">
      <c r="A7" s="79" t="n">
        <v>2</v>
      </c>
      <c r="B7" s="16" t="s">
        <v>276</v>
      </c>
      <c r="C7" s="145" t="s">
        <v>277</v>
      </c>
      <c r="D7" s="146" t="s">
        <v>274</v>
      </c>
      <c r="E7" s="147" t="n">
        <f aca="false">'Criterion Analysis'!B14</f>
        <v>60</v>
      </c>
      <c r="F7" s="147" t="n">
        <f aca="false">'Criterion Analysis'!C14</f>
        <v>60</v>
      </c>
      <c r="G7" s="148" t="s">
        <v>275</v>
      </c>
      <c r="H7" s="148" t="s">
        <v>275</v>
      </c>
      <c r="I7" s="148" t="s">
        <v>275</v>
      </c>
      <c r="J7" s="148" t="s">
        <v>275</v>
      </c>
      <c r="K7" s="148" t="s">
        <v>275</v>
      </c>
      <c r="L7" s="142" t="n">
        <f aca="false">IFERROR(AVERAGE('Criterion Analysis'!B14,'Criterion Analysis'!C14),0)</f>
        <v>60</v>
      </c>
      <c r="M7" s="143" t="n">
        <v>60</v>
      </c>
      <c r="N7" s="144" t="n">
        <f aca="false">L7-M7</f>
        <v>0</v>
      </c>
      <c r="O7" s="133" t="str">
        <f aca="false">IF(L7&gt;=90,"Outstanding",IF(L7&gt;=75,"Excellent",IF(L7&gt;=60,"Good",IF(L7&gt;=50,"Satisfactory","Inadequate"))))</f>
        <v>Good</v>
      </c>
    </row>
    <row r="8" customFormat="false" ht="21.75" hidden="false" customHeight="true" outlineLevel="0" collapsed="false">
      <c r="A8" s="65" t="n">
        <v>3</v>
      </c>
      <c r="B8" s="16" t="s">
        <v>278</v>
      </c>
      <c r="C8" s="138" t="s">
        <v>279</v>
      </c>
      <c r="D8" s="139" t="s">
        <v>280</v>
      </c>
      <c r="E8" s="141" t="s">
        <v>275</v>
      </c>
      <c r="F8" s="141" t="s">
        <v>275</v>
      </c>
      <c r="G8" s="140" t="n">
        <f aca="false">'Criterion Analysis'!D14</f>
        <v>70</v>
      </c>
      <c r="H8" s="141" t="s">
        <v>275</v>
      </c>
      <c r="I8" s="140" t="n">
        <f aca="false">'Criterion Analysis'!F14</f>
        <v>63</v>
      </c>
      <c r="J8" s="141" t="s">
        <v>275</v>
      </c>
      <c r="K8" s="141" t="s">
        <v>275</v>
      </c>
      <c r="L8" s="142" t="n">
        <f aca="false">IFERROR(AVERAGE('Criterion Analysis'!D14,'Criterion Analysis'!F14),0)</f>
        <v>66.5</v>
      </c>
      <c r="M8" s="143" t="n">
        <v>60</v>
      </c>
      <c r="N8" s="144" t="n">
        <f aca="false">L8-M8</f>
        <v>6.5</v>
      </c>
      <c r="O8" s="133" t="str">
        <f aca="false">IF(L8&gt;=90,"Outstanding",IF(L8&gt;=75,"Excellent",IF(L8&gt;=60,"Good",IF(L8&gt;=50,"Satisfactory","Inadequate"))))</f>
        <v>Good</v>
      </c>
    </row>
    <row r="9" customFormat="false" ht="21.75" hidden="false" customHeight="true" outlineLevel="0" collapsed="false">
      <c r="A9" s="79" t="n">
        <v>4</v>
      </c>
      <c r="B9" s="16" t="s">
        <v>281</v>
      </c>
      <c r="C9" s="145" t="s">
        <v>282</v>
      </c>
      <c r="D9" s="146" t="s">
        <v>283</v>
      </c>
      <c r="E9" s="148" t="s">
        <v>275</v>
      </c>
      <c r="F9" s="148" t="s">
        <v>275</v>
      </c>
      <c r="G9" s="147" t="n">
        <f aca="false">'Criterion Analysis'!D14</f>
        <v>70</v>
      </c>
      <c r="H9" s="147" t="n">
        <f aca="false">'Criterion Analysis'!E14</f>
        <v>50</v>
      </c>
      <c r="I9" s="148" t="s">
        <v>275</v>
      </c>
      <c r="J9" s="148" t="s">
        <v>275</v>
      </c>
      <c r="K9" s="148" t="s">
        <v>275</v>
      </c>
      <c r="L9" s="142" t="n">
        <f aca="false">IFERROR(AVERAGE('Criterion Analysis'!D14,'Criterion Analysis'!E14),0)</f>
        <v>60</v>
      </c>
      <c r="M9" s="143" t="n">
        <v>60</v>
      </c>
      <c r="N9" s="144" t="n">
        <f aca="false">L9-M9</f>
        <v>0</v>
      </c>
      <c r="O9" s="133" t="str">
        <f aca="false">IF(L9&gt;=90,"Outstanding",IF(L9&gt;=75,"Excellent",IF(L9&gt;=60,"Good",IF(L9&gt;=50,"Satisfactory","Inadequate"))))</f>
        <v>Good</v>
      </c>
    </row>
    <row r="10" customFormat="false" ht="21.75" hidden="false" customHeight="true" outlineLevel="0" collapsed="false">
      <c r="A10" s="65" t="n">
        <v>5</v>
      </c>
      <c r="B10" s="16" t="s">
        <v>284</v>
      </c>
      <c r="C10" s="138" t="s">
        <v>285</v>
      </c>
      <c r="D10" s="139" t="s">
        <v>247</v>
      </c>
      <c r="E10" s="141" t="s">
        <v>275</v>
      </c>
      <c r="F10" s="141" t="s">
        <v>275</v>
      </c>
      <c r="G10" s="141" t="s">
        <v>275</v>
      </c>
      <c r="H10" s="140" t="n">
        <f aca="false">'Criterion Analysis'!E14</f>
        <v>50</v>
      </c>
      <c r="I10" s="141" t="s">
        <v>275</v>
      </c>
      <c r="J10" s="141" t="s">
        <v>275</v>
      </c>
      <c r="K10" s="141" t="s">
        <v>275</v>
      </c>
      <c r="L10" s="142" t="n">
        <f aca="false">IFERROR(AVERAGE('Criterion Analysis'!E14),0)</f>
        <v>50</v>
      </c>
      <c r="M10" s="143" t="n">
        <v>60</v>
      </c>
      <c r="N10" s="144" t="n">
        <f aca="false">L10-M10</f>
        <v>-10</v>
      </c>
      <c r="O10" s="133" t="str">
        <f aca="false">IF(L10&gt;=90,"Outstanding",IF(L10&gt;=75,"Excellent",IF(L10&gt;=60,"Good",IF(L10&gt;=50,"Satisfactory","Inadequate"))))</f>
        <v>Satisfactory</v>
      </c>
    </row>
    <row r="11" customFormat="false" ht="21.75" hidden="false" customHeight="true" outlineLevel="0" collapsed="false">
      <c r="A11" s="79" t="n">
        <v>6</v>
      </c>
      <c r="B11" s="16" t="s">
        <v>286</v>
      </c>
      <c r="C11" s="145" t="s">
        <v>287</v>
      </c>
      <c r="D11" s="146" t="s">
        <v>275</v>
      </c>
      <c r="E11" s="148" t="s">
        <v>275</v>
      </c>
      <c r="F11" s="148" t="s">
        <v>275</v>
      </c>
      <c r="G11" s="148" t="s">
        <v>275</v>
      </c>
      <c r="H11" s="148" t="s">
        <v>275</v>
      </c>
      <c r="I11" s="148" t="s">
        <v>275</v>
      </c>
      <c r="J11" s="148" t="s">
        <v>275</v>
      </c>
      <c r="K11" s="148" t="s">
        <v>275</v>
      </c>
      <c r="L11" s="149" t="s">
        <v>275</v>
      </c>
      <c r="M11" s="143" t="n">
        <v>60</v>
      </c>
      <c r="N11" s="150" t="s">
        <v>275</v>
      </c>
      <c r="O11" s="150" t="s">
        <v>275</v>
      </c>
    </row>
    <row r="12" customFormat="false" ht="21.75" hidden="false" customHeight="true" outlineLevel="0" collapsed="false">
      <c r="A12" s="65" t="n">
        <v>7</v>
      </c>
      <c r="B12" s="16" t="s">
        <v>288</v>
      </c>
      <c r="C12" s="138" t="s">
        <v>289</v>
      </c>
      <c r="D12" s="139" t="s">
        <v>275</v>
      </c>
      <c r="E12" s="141" t="s">
        <v>275</v>
      </c>
      <c r="F12" s="141" t="s">
        <v>275</v>
      </c>
      <c r="G12" s="141" t="s">
        <v>275</v>
      </c>
      <c r="H12" s="141" t="s">
        <v>275</v>
      </c>
      <c r="I12" s="141" t="s">
        <v>275</v>
      </c>
      <c r="J12" s="141" t="s">
        <v>275</v>
      </c>
      <c r="K12" s="141" t="s">
        <v>275</v>
      </c>
      <c r="L12" s="149" t="s">
        <v>275</v>
      </c>
      <c r="M12" s="143" t="n">
        <v>60</v>
      </c>
      <c r="N12" s="150" t="s">
        <v>275</v>
      </c>
      <c r="O12" s="150" t="s">
        <v>275</v>
      </c>
    </row>
    <row r="13" customFormat="false" ht="21.75" hidden="false" customHeight="true" outlineLevel="0" collapsed="false">
      <c r="A13" s="79" t="n">
        <v>8</v>
      </c>
      <c r="B13" s="16" t="s">
        <v>290</v>
      </c>
      <c r="C13" s="145" t="s">
        <v>291</v>
      </c>
      <c r="D13" s="146" t="s">
        <v>275</v>
      </c>
      <c r="E13" s="148" t="s">
        <v>275</v>
      </c>
      <c r="F13" s="148" t="s">
        <v>275</v>
      </c>
      <c r="G13" s="148" t="s">
        <v>275</v>
      </c>
      <c r="H13" s="148" t="s">
        <v>275</v>
      </c>
      <c r="I13" s="148" t="s">
        <v>275</v>
      </c>
      <c r="J13" s="148" t="s">
        <v>275</v>
      </c>
      <c r="K13" s="148" t="s">
        <v>275</v>
      </c>
      <c r="L13" s="149" t="s">
        <v>275</v>
      </c>
      <c r="M13" s="143" t="n">
        <v>60</v>
      </c>
      <c r="N13" s="150" t="s">
        <v>275</v>
      </c>
      <c r="O13" s="150" t="s">
        <v>275</v>
      </c>
    </row>
    <row r="14" customFormat="false" ht="21.75" hidden="false" customHeight="true" outlineLevel="0" collapsed="false">
      <c r="A14" s="65" t="n">
        <v>9</v>
      </c>
      <c r="B14" s="16" t="s">
        <v>292</v>
      </c>
      <c r="C14" s="138" t="s">
        <v>293</v>
      </c>
      <c r="D14" s="139" t="s">
        <v>250</v>
      </c>
      <c r="E14" s="141" t="s">
        <v>275</v>
      </c>
      <c r="F14" s="141" t="s">
        <v>275</v>
      </c>
      <c r="G14" s="141" t="s">
        <v>275</v>
      </c>
      <c r="H14" s="141" t="s">
        <v>275</v>
      </c>
      <c r="I14" s="141" t="s">
        <v>275</v>
      </c>
      <c r="J14" s="141" t="s">
        <v>275</v>
      </c>
      <c r="K14" s="140" t="n">
        <f aca="false">'Criterion Analysis'!H14</f>
        <v>58</v>
      </c>
      <c r="L14" s="142" t="n">
        <f aca="false">IFERROR(AVERAGE('Criterion Analysis'!H14),0)</f>
        <v>58</v>
      </c>
      <c r="M14" s="143" t="n">
        <v>60</v>
      </c>
      <c r="N14" s="144" t="n">
        <f aca="false">L14-M14</f>
        <v>-2.00000000000001</v>
      </c>
      <c r="O14" s="133" t="str">
        <f aca="false">IF(L14&gt;=90,"Outstanding",IF(L14&gt;=75,"Excellent",IF(L14&gt;=60,"Good",IF(L14&gt;=50,"Satisfactory","Inadequate"))))</f>
        <v>Satisfactory</v>
      </c>
    </row>
    <row r="15" customFormat="false" ht="21.75" hidden="false" customHeight="true" outlineLevel="0" collapsed="false">
      <c r="A15" s="79" t="n">
        <v>10</v>
      </c>
      <c r="B15" s="16" t="s">
        <v>62</v>
      </c>
      <c r="C15" s="145" t="s">
        <v>294</v>
      </c>
      <c r="D15" s="146" t="s">
        <v>295</v>
      </c>
      <c r="E15" s="148" t="s">
        <v>275</v>
      </c>
      <c r="F15" s="148" t="s">
        <v>275</v>
      </c>
      <c r="G15" s="148" t="s">
        <v>275</v>
      </c>
      <c r="H15" s="148" t="s">
        <v>275</v>
      </c>
      <c r="I15" s="148" t="s">
        <v>275</v>
      </c>
      <c r="J15" s="147" t="n">
        <f aca="false">'Criterion Analysis'!G14</f>
        <v>63</v>
      </c>
      <c r="K15" s="147" t="n">
        <f aca="false">'Criterion Analysis'!H14</f>
        <v>58</v>
      </c>
      <c r="L15" s="142" t="n">
        <f aca="false">IFERROR(AVERAGE('Criterion Analysis'!G14,'Criterion Analysis'!H14),0)</f>
        <v>60.5</v>
      </c>
      <c r="M15" s="143" t="n">
        <v>60</v>
      </c>
      <c r="N15" s="144" t="n">
        <f aca="false">L15-M15</f>
        <v>0.5</v>
      </c>
      <c r="O15" s="133" t="str">
        <f aca="false">IF(L15&gt;=90,"Outstanding",IF(L15&gt;=75,"Excellent",IF(L15&gt;=60,"Good",IF(L15&gt;=50,"Satisfactory","Inadequate"))))</f>
        <v>Good</v>
      </c>
    </row>
    <row r="16" customFormat="false" ht="21.75" hidden="false" customHeight="true" outlineLevel="0" collapsed="false">
      <c r="A16" s="65" t="n">
        <v>11</v>
      </c>
      <c r="B16" s="16" t="s">
        <v>296</v>
      </c>
      <c r="C16" s="138" t="s">
        <v>297</v>
      </c>
      <c r="D16" s="139" t="s">
        <v>275</v>
      </c>
      <c r="E16" s="141" t="s">
        <v>275</v>
      </c>
      <c r="F16" s="141" t="s">
        <v>275</v>
      </c>
      <c r="G16" s="141" t="s">
        <v>275</v>
      </c>
      <c r="H16" s="141" t="s">
        <v>275</v>
      </c>
      <c r="I16" s="141" t="s">
        <v>275</v>
      </c>
      <c r="J16" s="141" t="s">
        <v>275</v>
      </c>
      <c r="K16" s="141" t="s">
        <v>275</v>
      </c>
      <c r="L16" s="149" t="s">
        <v>275</v>
      </c>
      <c r="M16" s="143" t="n">
        <v>60</v>
      </c>
      <c r="N16" s="150" t="s">
        <v>275</v>
      </c>
      <c r="O16" s="150" t="s">
        <v>275</v>
      </c>
    </row>
    <row r="17" customFormat="false" ht="21.75" hidden="false" customHeight="true" outlineLevel="0" collapsed="false">
      <c r="A17" s="79" t="n">
        <v>12</v>
      </c>
      <c r="B17" s="16" t="s">
        <v>298</v>
      </c>
      <c r="C17" s="145" t="s">
        <v>299</v>
      </c>
      <c r="D17" s="146" t="s">
        <v>300</v>
      </c>
      <c r="E17" s="148" t="s">
        <v>275</v>
      </c>
      <c r="F17" s="147" t="n">
        <f aca="false">'Criterion Analysis'!C14</f>
        <v>60</v>
      </c>
      <c r="G17" s="148" t="s">
        <v>275</v>
      </c>
      <c r="H17" s="148" t="s">
        <v>275</v>
      </c>
      <c r="I17" s="147" t="n">
        <f aca="false">'Criterion Analysis'!F14</f>
        <v>63</v>
      </c>
      <c r="J17" s="148" t="s">
        <v>275</v>
      </c>
      <c r="K17" s="148" t="s">
        <v>275</v>
      </c>
      <c r="L17" s="142" t="n">
        <f aca="false">IFERROR(AVERAGE('Criterion Analysis'!C14,'Criterion Analysis'!F14),0)</f>
        <v>61.5</v>
      </c>
      <c r="M17" s="143" t="n">
        <v>60</v>
      </c>
      <c r="N17" s="144" t="n">
        <f aca="false">L17-M17</f>
        <v>1.5</v>
      </c>
      <c r="O17" s="133" t="str">
        <f aca="false">IF(L17&gt;=90,"Outstanding",IF(L17&gt;=75,"Excellent",IF(L17&gt;=60,"Good",IF(L17&gt;=50,"Satisfactory","Inadequate"))))</f>
        <v>Good</v>
      </c>
    </row>
  </sheetData>
  <mergeCells count="11">
    <mergeCell ref="A1:O1"/>
    <mergeCell ref="A2:O2"/>
    <mergeCell ref="A4:A5"/>
    <mergeCell ref="B4:B5"/>
    <mergeCell ref="C4:C5"/>
    <mergeCell ref="D4:D5"/>
    <mergeCell ref="E4:K4"/>
    <mergeCell ref="L4:L5"/>
    <mergeCell ref="M4:M5"/>
    <mergeCell ref="N4:N5"/>
    <mergeCell ref="O4:O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11" min="5" style="0" width="12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50"/>
  </cols>
  <sheetData>
    <row r="1" customFormat="false" ht="45.75" hidden="false" customHeight="true" outlineLevel="0" collapsed="false">
      <c r="A1" s="45" t="s">
        <v>301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customFormat="false" ht="15.75" hidden="false" customHeight="true" outlineLevel="0" collapsed="false">
      <c r="A2" s="46" t="s">
        <v>302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customFormat="false" ht="7.5" hidden="false" customHeight="true" outlineLevel="0" collapsed="false"/>
    <row r="4" customFormat="false" ht="27.75" hidden="false" customHeight="true" outlineLevel="0" collapsed="false">
      <c r="A4" s="9" t="s">
        <v>8</v>
      </c>
      <c r="B4" s="9" t="s">
        <v>241</v>
      </c>
      <c r="C4" s="9" t="s">
        <v>242</v>
      </c>
      <c r="D4" s="9" t="s">
        <v>243</v>
      </c>
      <c r="E4" s="61" t="s">
        <v>244</v>
      </c>
      <c r="F4" s="61" t="s">
        <v>245</v>
      </c>
      <c r="G4" s="61" t="s">
        <v>246</v>
      </c>
      <c r="H4" s="61" t="s">
        <v>247</v>
      </c>
      <c r="I4" s="61" t="s">
        <v>248</v>
      </c>
      <c r="J4" s="61" t="s">
        <v>249</v>
      </c>
      <c r="K4" s="61" t="s">
        <v>250</v>
      </c>
      <c r="L4" s="108" t="s">
        <v>303</v>
      </c>
      <c r="M4" s="11" t="s">
        <v>129</v>
      </c>
      <c r="N4" s="10" t="s">
        <v>304</v>
      </c>
    </row>
    <row r="5" customFormat="false" ht="21.75" hidden="false" customHeight="true" outlineLevel="0" collapsed="false">
      <c r="A5" s="65" t="n">
        <v>1</v>
      </c>
      <c r="B5" s="65" t="str">
        <f aca="false">'Score Entry'!B10</f>
        <v>RS001</v>
      </c>
      <c r="C5" s="65" t="str">
        <f aca="false">'Score Entry'!C10</f>
        <v>Aarav Sharma</v>
      </c>
      <c r="D5" s="151" t="str">
        <f aca="false">'Score Entry'!D10</f>
        <v>M.Tech — Machine Learning</v>
      </c>
      <c r="E5" s="152" t="str">
        <f aca="false">IF('Score Entry'!E10=4,"Excellent",IF('Score Entry'!E10=3,"Good",IF('Score Entry'!E10=2,"Fair","Poor")))</f>
        <v>Poor</v>
      </c>
      <c r="F5" s="152" t="str">
        <f aca="false">IF('Score Entry'!G10=4,"Excellent",IF('Score Entry'!G10=3,"Good",IF('Score Entry'!G10=2,"Fair","Poor")))</f>
        <v>Excellent</v>
      </c>
      <c r="G5" s="152" t="str">
        <f aca="false">IF('Score Entry'!I10=4,"Excellent",IF('Score Entry'!I10=3,"Good",IF('Score Entry'!I10=2,"Fair","Poor")))</f>
        <v>Fair</v>
      </c>
      <c r="H5" s="152" t="str">
        <f aca="false">IF('Score Entry'!K10=4,"Excellent",IF('Score Entry'!K10=3,"Good",IF('Score Entry'!K10=2,"Fair","Poor")))</f>
        <v>Poor</v>
      </c>
      <c r="I5" s="152" t="str">
        <f aca="false">IF('Score Entry'!M10=4,"Excellent",IF('Score Entry'!M10=3,"Good",IF('Score Entry'!M10=2,"Fair","Poor")))</f>
        <v>Good</v>
      </c>
      <c r="J5" s="152" t="str">
        <f aca="false">IF('Score Entry'!O10=4,"Excellent",IF('Score Entry'!O10=3,"Good",IF('Score Entry'!O10=2,"Fair","Poor")))</f>
        <v>Excellent</v>
      </c>
      <c r="K5" s="152" t="str">
        <f aca="false">IF('Score Entry'!Q10=4,"Excellent",IF('Score Entry'!Q10=3,"Good",IF('Score Entry'!Q10=2,"Fair","Poor")))</f>
        <v>Fair</v>
      </c>
      <c r="L5" s="73" t="n">
        <f aca="false">'Score Entry'!S10</f>
        <v>58.75</v>
      </c>
      <c r="M5" s="111" t="str">
        <f aca="false">'Score Entry'!U10</f>
        <v>B</v>
      </c>
      <c r="N5" s="153" t="str">
        <f aca="false">IF('Score Entry'!S10&gt;=90,"Outstanding research — publication-ready contribution; all evaluation criteria met with distinction",IF('Score Entry'!S10&gt;=75,"Excellent research — strong methodology and originality; minor refinements recommended",IF('Score Entry'!S10&gt;=60,"Good research — meets academic standards; strengthen data analysis and contribution sections",IF('Score Entry'!S10&gt;=50,"Satisfactory — research shows potential; significant improvements needed in methodology and writing","Inadequate — thesis requires major revision; research methodology and analysis need complete rework"))))</f>
        <v>Satisfactory — research shows potential; significant improvements needed in methodology and writing</v>
      </c>
    </row>
    <row r="6" customFormat="false" ht="21.75" hidden="false" customHeight="true" outlineLevel="0" collapsed="false">
      <c r="A6" s="79" t="n">
        <v>2</v>
      </c>
      <c r="B6" s="79" t="str">
        <f aca="false">'Score Entry'!B11</f>
        <v>RS002</v>
      </c>
      <c r="C6" s="79" t="str">
        <f aca="false">'Score Entry'!C11</f>
        <v>Priya Patel</v>
      </c>
      <c r="D6" s="154" t="str">
        <f aca="false">'Score Entry'!D11</f>
        <v>M.Tech — Data Science</v>
      </c>
      <c r="E6" s="152" t="str">
        <f aca="false">IF('Score Entry'!E11=4,"Excellent",IF('Score Entry'!E11=3,"Good",IF('Score Entry'!E11=2,"Fair","Poor")))</f>
        <v>Poor</v>
      </c>
      <c r="F6" s="152" t="str">
        <f aca="false">IF('Score Entry'!G11=4,"Excellent",IF('Score Entry'!G11=3,"Good",IF('Score Entry'!G11=2,"Fair","Poor")))</f>
        <v>Excellent</v>
      </c>
      <c r="G6" s="152" t="str">
        <f aca="false">IF('Score Entry'!I11=4,"Excellent",IF('Score Entry'!I11=3,"Good",IF('Score Entry'!I11=2,"Fair","Poor")))</f>
        <v>Excellent</v>
      </c>
      <c r="H6" s="152" t="str">
        <f aca="false">IF('Score Entry'!K11=4,"Excellent",IF('Score Entry'!K11=3,"Good",IF('Score Entry'!K11=2,"Fair","Poor")))</f>
        <v>Poor</v>
      </c>
      <c r="I6" s="152" t="str">
        <f aca="false">IF('Score Entry'!M11=4,"Excellent",IF('Score Entry'!M11=3,"Good",IF('Score Entry'!M11=2,"Fair","Poor")))</f>
        <v>Poor</v>
      </c>
      <c r="J6" s="152" t="str">
        <f aca="false">IF('Score Entry'!O11=4,"Excellent",IF('Score Entry'!O11=3,"Good",IF('Score Entry'!O11=2,"Fair","Poor")))</f>
        <v>Poor</v>
      </c>
      <c r="K6" s="152" t="str">
        <f aca="false">IF('Score Entry'!Q11=4,"Excellent",IF('Score Entry'!Q11=3,"Good",IF('Score Entry'!Q11=2,"Fair","Poor")))</f>
        <v>Fair</v>
      </c>
      <c r="L6" s="73" t="n">
        <f aca="false">'Score Entry'!S11</f>
        <v>53.75</v>
      </c>
      <c r="M6" s="111" t="str">
        <f aca="false">'Score Entry'!U11</f>
        <v>B</v>
      </c>
      <c r="N6" s="155" t="str">
        <f aca="false">IF('Score Entry'!S11&gt;=90,"Outstanding research — publication-ready contribution; all evaluation criteria met with distinction",IF('Score Entry'!S11&gt;=75,"Excellent research — strong methodology and originality; minor refinements recommended",IF('Score Entry'!S11&gt;=60,"Good research — meets academic standards; strengthen data analysis and contribution sections",IF('Score Entry'!S11&gt;=50,"Satisfactory — research shows potential; significant improvements needed in methodology and writing","Inadequate — thesis requires major revision; research methodology and analysis need complete rework"))))</f>
        <v>Satisfactory — research shows potential; significant improvements needed in methodology and writing</v>
      </c>
    </row>
    <row r="7" customFormat="false" ht="21.75" hidden="false" customHeight="true" outlineLevel="0" collapsed="false">
      <c r="A7" s="65" t="n">
        <v>3</v>
      </c>
      <c r="B7" s="65" t="str">
        <f aca="false">'Score Entry'!B12</f>
        <v>RS003</v>
      </c>
      <c r="C7" s="65" t="str">
        <f aca="false">'Score Entry'!C12</f>
        <v>Rohan Mehta</v>
      </c>
      <c r="D7" s="151" t="str">
        <f aca="false">'Score Entry'!D12</f>
        <v>M.Tech — Computer Networks</v>
      </c>
      <c r="E7" s="152" t="str">
        <f aca="false">IF('Score Entry'!E12=4,"Excellent",IF('Score Entry'!E12=3,"Good",IF('Score Entry'!E12=2,"Fair","Poor")))</f>
        <v>Excellent</v>
      </c>
      <c r="F7" s="152" t="str">
        <f aca="false">IF('Score Entry'!G12=4,"Excellent",IF('Score Entry'!G12=3,"Good",IF('Score Entry'!G12=2,"Fair","Poor")))</f>
        <v>Poor</v>
      </c>
      <c r="G7" s="152" t="str">
        <f aca="false">IF('Score Entry'!I12=4,"Excellent",IF('Score Entry'!I12=3,"Good",IF('Score Entry'!I12=2,"Fair","Poor")))</f>
        <v>Excellent</v>
      </c>
      <c r="H7" s="152" t="str">
        <f aca="false">IF('Score Entry'!K12=4,"Excellent",IF('Score Entry'!K12=3,"Good",IF('Score Entry'!K12=2,"Fair","Poor")))</f>
        <v>Poor</v>
      </c>
      <c r="I7" s="152" t="str">
        <f aca="false">IF('Score Entry'!M12=4,"Excellent",IF('Score Entry'!M12=3,"Good",IF('Score Entry'!M12=2,"Fair","Poor")))</f>
        <v>Poor</v>
      </c>
      <c r="J7" s="152" t="str">
        <f aca="false">IF('Score Entry'!O12=4,"Excellent",IF('Score Entry'!O12=3,"Good",IF('Score Entry'!O12=2,"Fair","Poor")))</f>
        <v>Poor</v>
      </c>
      <c r="K7" s="152" t="str">
        <f aca="false">IF('Score Entry'!Q12=4,"Excellent",IF('Score Entry'!Q12=3,"Good",IF('Score Entry'!Q12=2,"Fair","Poor")))</f>
        <v>Fair</v>
      </c>
      <c r="L7" s="73" t="n">
        <f aca="false">'Score Entry'!S12</f>
        <v>50</v>
      </c>
      <c r="M7" s="111" t="str">
        <f aca="false">'Score Entry'!U12</f>
        <v>B</v>
      </c>
      <c r="N7" s="153" t="str">
        <f aca="false">IF('Score Entry'!S12&gt;=90,"Outstanding research — publication-ready contribution; all evaluation criteria met with distinction",IF('Score Entry'!S12&gt;=75,"Excellent research — strong methodology and originality; minor refinements recommended",IF('Score Entry'!S12&gt;=60,"Good research — meets academic standards; strengthen data analysis and contribution sections",IF('Score Entry'!S12&gt;=50,"Satisfactory — research shows potential; significant improvements needed in methodology and writing","Inadequate — thesis requires major revision; research methodology and analysis need complete rework"))))</f>
        <v>Satisfactory — research shows potential; significant improvements needed in methodology and writing</v>
      </c>
    </row>
    <row r="8" customFormat="false" ht="21.75" hidden="false" customHeight="true" outlineLevel="0" collapsed="false">
      <c r="A8" s="79" t="n">
        <v>4</v>
      </c>
      <c r="B8" s="79" t="str">
        <f aca="false">'Score Entry'!B13</f>
        <v>RS004</v>
      </c>
      <c r="C8" s="79" t="str">
        <f aca="false">'Score Entry'!C13</f>
        <v>Sneha Reddy</v>
      </c>
      <c r="D8" s="154" t="str">
        <f aca="false">'Score Entry'!D13</f>
        <v>M.Tech — Cybersecurity</v>
      </c>
      <c r="E8" s="152" t="str">
        <f aca="false">IF('Score Entry'!E13=4,"Excellent",IF('Score Entry'!E13=3,"Good",IF('Score Entry'!E13=2,"Fair","Poor")))</f>
        <v>Fair</v>
      </c>
      <c r="F8" s="152" t="str">
        <f aca="false">IF('Score Entry'!G13=4,"Excellent",IF('Score Entry'!G13=3,"Good",IF('Score Entry'!G13=2,"Fair","Poor")))</f>
        <v>Poor</v>
      </c>
      <c r="G8" s="152" t="str">
        <f aca="false">IF('Score Entry'!I13=4,"Excellent",IF('Score Entry'!I13=3,"Good",IF('Score Entry'!I13=2,"Fair","Poor")))</f>
        <v>Fair</v>
      </c>
      <c r="H8" s="152" t="str">
        <f aca="false">IF('Score Entry'!K13=4,"Excellent",IF('Score Entry'!K13=3,"Good",IF('Score Entry'!K13=2,"Fair","Poor")))</f>
        <v>Excellent</v>
      </c>
      <c r="I8" s="152" t="str">
        <f aca="false">IF('Score Entry'!M13=4,"Excellent",IF('Score Entry'!M13=3,"Good",IF('Score Entry'!M13=2,"Fair","Poor")))</f>
        <v>Excellent</v>
      </c>
      <c r="J8" s="152" t="str">
        <f aca="false">IF('Score Entry'!O13=4,"Excellent",IF('Score Entry'!O13=3,"Good",IF('Score Entry'!O13=2,"Fair","Poor")))</f>
        <v>Good</v>
      </c>
      <c r="K8" s="152" t="str">
        <f aca="false">IF('Score Entry'!Q13=4,"Excellent",IF('Score Entry'!Q13=3,"Good",IF('Score Entry'!Q13=2,"Fair","Poor")))</f>
        <v>Poor</v>
      </c>
      <c r="L8" s="73" t="n">
        <f aca="false">'Score Entry'!S13</f>
        <v>63.75</v>
      </c>
      <c r="M8" s="111" t="str">
        <f aca="false">'Score Entry'!U13</f>
        <v>B+</v>
      </c>
      <c r="N8" s="155" t="str">
        <f aca="false">IF('Score Entry'!S13&gt;=90,"Outstanding research — publication-ready contribution; all evaluation criteria met with distinction",IF('Score Entry'!S13&gt;=75,"Excellent research — strong methodology and originality; minor refinements recommended",IF('Score Entry'!S13&gt;=60,"Good research — meets academic standards; strengthen data analysis and contribution sections",IF('Score Entry'!S13&gt;=50,"Satisfactory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9" customFormat="false" ht="21.75" hidden="false" customHeight="true" outlineLevel="0" collapsed="false">
      <c r="A9" s="65" t="n">
        <v>5</v>
      </c>
      <c r="B9" s="65" t="str">
        <f aca="false">'Score Entry'!B14</f>
        <v>RS005</v>
      </c>
      <c r="C9" s="65" t="str">
        <f aca="false">'Score Entry'!C14</f>
        <v>Vikram Singh</v>
      </c>
      <c r="D9" s="151" t="str">
        <f aca="false">'Score Entry'!D14</f>
        <v>M.Tech — Cloud Computing</v>
      </c>
      <c r="E9" s="152" t="str">
        <f aca="false">IF('Score Entry'!E14=4,"Excellent",IF('Score Entry'!E14=3,"Good",IF('Score Entry'!E14=2,"Fair","Poor")))</f>
        <v>Poor</v>
      </c>
      <c r="F9" s="152" t="str">
        <f aca="false">IF('Score Entry'!G14=4,"Excellent",IF('Score Entry'!G14=3,"Good",IF('Score Entry'!G14=2,"Fair","Poor")))</f>
        <v>Fair</v>
      </c>
      <c r="G9" s="152" t="str">
        <f aca="false">IF('Score Entry'!I14=4,"Excellent",IF('Score Entry'!I14=3,"Good",IF('Score Entry'!I14=2,"Fair","Poor")))</f>
        <v>Fair</v>
      </c>
      <c r="H9" s="152" t="str">
        <f aca="false">IF('Score Entry'!K14=4,"Excellent",IF('Score Entry'!K14=3,"Good",IF('Score Entry'!K14=2,"Fair","Poor")))</f>
        <v>Poor</v>
      </c>
      <c r="I9" s="152" t="str">
        <f aca="false">IF('Score Entry'!M14=4,"Excellent",IF('Score Entry'!M14=3,"Good",IF('Score Entry'!M14=2,"Fair","Poor")))</f>
        <v>Fair</v>
      </c>
      <c r="J9" s="152" t="str">
        <f aca="false">IF('Score Entry'!O14=4,"Excellent",IF('Score Entry'!O14=3,"Good",IF('Score Entry'!O14=2,"Fair","Poor")))</f>
        <v>Poor</v>
      </c>
      <c r="K9" s="152" t="str">
        <f aca="false">IF('Score Entry'!Q14=4,"Excellent",IF('Score Entry'!Q14=3,"Good",IF('Score Entry'!Q14=2,"Fair","Poor")))</f>
        <v>Poor</v>
      </c>
      <c r="L9" s="73" t="n">
        <f aca="false">'Score Entry'!S14</f>
        <v>37.5</v>
      </c>
      <c r="M9" s="111" t="str">
        <f aca="false">'Score Entry'!U14</f>
        <v>F</v>
      </c>
      <c r="N9" s="153" t="str">
        <f aca="false">IF('Score Entry'!S14&gt;=90,"Outstanding research — publication-ready contribution; all evaluation criteria met with distinction",IF('Score Entry'!S14&gt;=75,"Excellent research — strong methodology and originality; minor refinements recommended",IF('Score Entry'!S14&gt;=60,"Good research — meets academic standards; strengthen data analysis and contribution sections",IF('Score Entry'!S14&gt;=50,"Satisfactory — research shows potential; significant improvements needed in methodology and writing","Inadequate — thesis requires major revision; research methodology and analysis need complete rework"))))</f>
        <v>Inadequate — thesis requires major revision; research methodology and analysis need complete rework</v>
      </c>
    </row>
    <row r="10" customFormat="false" ht="21.75" hidden="false" customHeight="true" outlineLevel="0" collapsed="false">
      <c r="A10" s="79" t="n">
        <v>6</v>
      </c>
      <c r="B10" s="79" t="str">
        <f aca="false">'Score Entry'!B15</f>
        <v>RS006</v>
      </c>
      <c r="C10" s="79" t="str">
        <f aca="false">'Score Entry'!C15</f>
        <v>Anjali Nair</v>
      </c>
      <c r="D10" s="154" t="str">
        <f aca="false">'Score Entry'!D15</f>
        <v>M.Tech — IoT Systems</v>
      </c>
      <c r="E10" s="152" t="str">
        <f aca="false">IF('Score Entry'!E15=4,"Excellent",IF('Score Entry'!E15=3,"Good",IF('Score Entry'!E15=2,"Fair","Poor")))</f>
        <v>Fair</v>
      </c>
      <c r="F10" s="152" t="str">
        <f aca="false">IF('Score Entry'!G15=4,"Excellent",IF('Score Entry'!G15=3,"Good",IF('Score Entry'!G15=2,"Fair","Poor")))</f>
        <v>Good</v>
      </c>
      <c r="G10" s="152" t="str">
        <f aca="false">IF('Score Entry'!I15=4,"Excellent",IF('Score Entry'!I15=3,"Good",IF('Score Entry'!I15=2,"Fair","Poor")))</f>
        <v>Poor</v>
      </c>
      <c r="H10" s="152" t="str">
        <f aca="false">IF('Score Entry'!K15=4,"Excellent",IF('Score Entry'!K15=3,"Good",IF('Score Entry'!K15=2,"Fair","Poor")))</f>
        <v>Excellent</v>
      </c>
      <c r="I10" s="152" t="str">
        <f aca="false">IF('Score Entry'!M15=4,"Excellent",IF('Score Entry'!M15=3,"Good",IF('Score Entry'!M15=2,"Fair","Poor")))</f>
        <v>Good</v>
      </c>
      <c r="J10" s="152" t="str">
        <f aca="false">IF('Score Entry'!O15=4,"Excellent",IF('Score Entry'!O15=3,"Good",IF('Score Entry'!O15=2,"Fair","Poor")))</f>
        <v>Excellent</v>
      </c>
      <c r="K10" s="152" t="str">
        <f aca="false">IF('Score Entry'!Q15=4,"Excellent",IF('Score Entry'!Q15=3,"Good",IF('Score Entry'!Q15=2,"Fair","Poor")))</f>
        <v>Fair</v>
      </c>
      <c r="L10" s="73" t="n">
        <f aca="false">'Score Entry'!S15</f>
        <v>67.5</v>
      </c>
      <c r="M10" s="111" t="str">
        <f aca="false">'Score Entry'!U15</f>
        <v>B+</v>
      </c>
      <c r="N10" s="155" t="str">
        <f aca="false">IF('Score Entry'!S15&gt;=90,"Outstanding research — publication-ready contribution; all evaluation criteria met with distinction",IF('Score Entry'!S15&gt;=75,"Excellent research — strong methodology and originality; minor refinements recommended",IF('Score Entry'!S15&gt;=60,"Good research — meets academic standards; strengthen data analysis and contribution sections",IF('Score Entry'!S15&gt;=50,"Satisfactory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11" customFormat="false" ht="21.75" hidden="false" customHeight="true" outlineLevel="0" collapsed="false">
      <c r="A11" s="65" t="n">
        <v>7</v>
      </c>
      <c r="B11" s="65" t="str">
        <f aca="false">'Score Entry'!B16</f>
        <v>RS007</v>
      </c>
      <c r="C11" s="65" t="str">
        <f aca="false">'Score Entry'!C16</f>
        <v>Kiran Kumar</v>
      </c>
      <c r="D11" s="151" t="str">
        <f aca="false">'Score Entry'!D16</f>
        <v>M.Tech — Embedded AI</v>
      </c>
      <c r="E11" s="152" t="str">
        <f aca="false">IF('Score Entry'!E16=4,"Excellent",IF('Score Entry'!E16=3,"Good",IF('Score Entry'!E16=2,"Fair","Poor")))</f>
        <v>Good</v>
      </c>
      <c r="F11" s="152" t="str">
        <f aca="false">IF('Score Entry'!G16=4,"Excellent",IF('Score Entry'!G16=3,"Good",IF('Score Entry'!G16=2,"Fair","Poor")))</f>
        <v>Excellent</v>
      </c>
      <c r="G11" s="152" t="str">
        <f aca="false">IF('Score Entry'!I16=4,"Excellent",IF('Score Entry'!I16=3,"Good",IF('Score Entry'!I16=2,"Fair","Poor")))</f>
        <v>Excellent</v>
      </c>
      <c r="H11" s="152" t="str">
        <f aca="false">IF('Score Entry'!K16=4,"Excellent",IF('Score Entry'!K16=3,"Good",IF('Score Entry'!K16=2,"Fair","Poor")))</f>
        <v>Excellent</v>
      </c>
      <c r="I11" s="152" t="str">
        <f aca="false">IF('Score Entry'!M16=4,"Excellent",IF('Score Entry'!M16=3,"Good",IF('Score Entry'!M16=2,"Fair","Poor")))</f>
        <v>Poor</v>
      </c>
      <c r="J11" s="152" t="str">
        <f aca="false">IF('Score Entry'!O16=4,"Excellent",IF('Score Entry'!O16=3,"Good",IF('Score Entry'!O16=2,"Fair","Poor")))</f>
        <v>Excellent</v>
      </c>
      <c r="K11" s="152" t="str">
        <f aca="false">IF('Score Entry'!Q16=4,"Excellent",IF('Score Entry'!Q16=3,"Good",IF('Score Entry'!Q16=2,"Fair","Poor")))</f>
        <v>Poor</v>
      </c>
      <c r="L11" s="73" t="n">
        <f aca="false">'Score Entry'!S16</f>
        <v>78.75</v>
      </c>
      <c r="M11" s="111" t="str">
        <f aca="false">'Score Entry'!U16</f>
        <v>A</v>
      </c>
      <c r="N11" s="153" t="str">
        <f aca="false">IF('Score Entry'!S16&gt;=90,"Outstanding research — publication-ready contribution; all evaluation criteria met with distinction",IF('Score Entry'!S16&gt;=75,"Excellent research — strong methodology and originality; minor refinements recommended",IF('Score Entry'!S16&gt;=60,"Good research — meets academic standards; strengthen data analysis and contribution sections",IF('Score Entry'!S16&gt;=50,"Satisfactory — research shows potential; significant improvements needed in methodology and writing","Inadequate — thesis requires major revision; research methodology and analysis need complete rework"))))</f>
        <v>Excellent research — strong methodology and originality; minor refinements recommended</v>
      </c>
    </row>
    <row r="12" customFormat="false" ht="21.75" hidden="false" customHeight="true" outlineLevel="0" collapsed="false">
      <c r="A12" s="79" t="n">
        <v>8</v>
      </c>
      <c r="B12" s="79" t="str">
        <f aca="false">'Score Entry'!B17</f>
        <v>RS008</v>
      </c>
      <c r="C12" s="79" t="str">
        <f aca="false">'Score Entry'!C17</f>
        <v>Divya Rao</v>
      </c>
      <c r="D12" s="154" t="str">
        <f aca="false">'Score Entry'!D17</f>
        <v>Ph.D — Natural Language Processing</v>
      </c>
      <c r="E12" s="152" t="str">
        <f aca="false">IF('Score Entry'!E17=4,"Excellent",IF('Score Entry'!E17=3,"Good",IF('Score Entry'!E17=2,"Fair","Poor")))</f>
        <v>Good</v>
      </c>
      <c r="F12" s="152" t="str">
        <f aca="false">IF('Score Entry'!G17=4,"Excellent",IF('Score Entry'!G17=3,"Good",IF('Score Entry'!G17=2,"Fair","Poor")))</f>
        <v>Fair</v>
      </c>
      <c r="G12" s="152" t="str">
        <f aca="false">IF('Score Entry'!I17=4,"Excellent",IF('Score Entry'!I17=3,"Good",IF('Score Entry'!I17=2,"Fair","Poor")))</f>
        <v>Good</v>
      </c>
      <c r="H12" s="152" t="str">
        <f aca="false">IF('Score Entry'!K17=4,"Excellent",IF('Score Entry'!K17=3,"Good",IF('Score Entry'!K17=2,"Fair","Poor")))</f>
        <v>Fair</v>
      </c>
      <c r="I12" s="152" t="str">
        <f aca="false">IF('Score Entry'!M17=4,"Excellent",IF('Score Entry'!M17=3,"Good",IF('Score Entry'!M17=2,"Fair","Poor")))</f>
        <v>Good</v>
      </c>
      <c r="J12" s="152" t="str">
        <f aca="false">IF('Score Entry'!O17=4,"Excellent",IF('Score Entry'!O17=3,"Good",IF('Score Entry'!O17=2,"Fair","Poor")))</f>
        <v>Fair</v>
      </c>
      <c r="K12" s="152" t="str">
        <f aca="false">IF('Score Entry'!Q17=4,"Excellent",IF('Score Entry'!Q17=3,"Good",IF('Score Entry'!Q17=2,"Fair","Poor")))</f>
        <v>Good</v>
      </c>
      <c r="L12" s="73" t="n">
        <f aca="false">'Score Entry'!S17</f>
        <v>63.75</v>
      </c>
      <c r="M12" s="111" t="str">
        <f aca="false">'Score Entry'!U17</f>
        <v>B+</v>
      </c>
      <c r="N12" s="155" t="str">
        <f aca="false">IF('Score Entry'!S17&gt;=90,"Outstanding research — publication-ready contribution; all evaluation criteria met with distinction",IF('Score Entry'!S17&gt;=75,"Excellent research — strong methodology and originality; minor refinements recommended",IF('Score Entry'!S17&gt;=60,"Good research — meets academic standards; strengthen data analysis and contribution sections",IF('Score Entry'!S17&gt;=50,"Satisfactory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13" customFormat="false" ht="21.75" hidden="false" customHeight="true" outlineLevel="0" collapsed="false">
      <c r="A13" s="65" t="n">
        <v>9</v>
      </c>
      <c r="B13" s="65" t="str">
        <f aca="false">'Score Entry'!B18</f>
        <v>RS009</v>
      </c>
      <c r="C13" s="65" t="str">
        <f aca="false">'Score Entry'!C18</f>
        <v>Arjun Gupta</v>
      </c>
      <c r="D13" s="151" t="str">
        <f aca="false">'Score Entry'!D18</f>
        <v>Ph.D — Deep Learning</v>
      </c>
      <c r="E13" s="152" t="str">
        <f aca="false">IF('Score Entry'!E18=4,"Excellent",IF('Score Entry'!E18=3,"Good",IF('Score Entry'!E18=2,"Fair","Poor")))</f>
        <v>Good</v>
      </c>
      <c r="F13" s="152" t="str">
        <f aca="false">IF('Score Entry'!G18=4,"Excellent",IF('Score Entry'!G18=3,"Good",IF('Score Entry'!G18=2,"Fair","Poor")))</f>
        <v>Good</v>
      </c>
      <c r="G13" s="152" t="str">
        <f aca="false">IF('Score Entry'!I18=4,"Excellent",IF('Score Entry'!I18=3,"Good",IF('Score Entry'!I18=2,"Fair","Poor")))</f>
        <v>Good</v>
      </c>
      <c r="H13" s="152" t="str">
        <f aca="false">IF('Score Entry'!K18=4,"Excellent",IF('Score Entry'!K18=3,"Good",IF('Score Entry'!K18=2,"Fair","Poor")))</f>
        <v>Poor</v>
      </c>
      <c r="I13" s="152" t="str">
        <f aca="false">IF('Score Entry'!M18=4,"Excellent",IF('Score Entry'!M18=3,"Good",IF('Score Entry'!M18=2,"Fair","Poor")))</f>
        <v>Fair</v>
      </c>
      <c r="J13" s="152" t="str">
        <f aca="false">IF('Score Entry'!O18=4,"Excellent",IF('Score Entry'!O18=3,"Good",IF('Score Entry'!O18=2,"Fair","Poor")))</f>
        <v>Good</v>
      </c>
      <c r="K13" s="152" t="str">
        <f aca="false">IF('Score Entry'!Q18=4,"Excellent",IF('Score Entry'!Q18=3,"Good",IF('Score Entry'!Q18=2,"Fair","Poor")))</f>
        <v>Good</v>
      </c>
      <c r="L13" s="73" t="n">
        <f aca="false">'Score Entry'!S18</f>
        <v>61.25</v>
      </c>
      <c r="M13" s="111" t="str">
        <f aca="false">'Score Entry'!U18</f>
        <v>B+</v>
      </c>
      <c r="N13" s="153" t="str">
        <f aca="false">IF('Score Entry'!S18&gt;=90,"Outstanding research — publication-ready contribution; all evaluation criteria met with distinction",IF('Score Entry'!S18&gt;=75,"Excellent research — strong methodology and originality; minor refinements recommended",IF('Score Entry'!S18&gt;=60,"Good research — meets academic standards; strengthen data analysis and contribution sections",IF('Score Entry'!S18&gt;=50,"Satisfactory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14" customFormat="false" ht="21.75" hidden="false" customHeight="true" outlineLevel="0" collapsed="false">
      <c r="A14" s="79" t="n">
        <v>10</v>
      </c>
      <c r="B14" s="79" t="str">
        <f aca="false">'Score Entry'!B19</f>
        <v>RS010</v>
      </c>
      <c r="C14" s="79" t="str">
        <f aca="false">'Score Entry'!C19</f>
        <v>Pooja Iyer</v>
      </c>
      <c r="D14" s="154" t="str">
        <f aca="false">'Score Entry'!D19</f>
        <v>M.Tech — Bioinformatics</v>
      </c>
      <c r="E14" s="152" t="str">
        <f aca="false">IF('Score Entry'!E19=4,"Excellent",IF('Score Entry'!E19=3,"Good",IF('Score Entry'!E19=2,"Fair","Poor")))</f>
        <v>Fair</v>
      </c>
      <c r="F14" s="152" t="str">
        <f aca="false">IF('Score Entry'!G19=4,"Excellent",IF('Score Entry'!G19=3,"Good",IF('Score Entry'!G19=2,"Fair","Poor")))</f>
        <v>Poor</v>
      </c>
      <c r="G14" s="152" t="str">
        <f aca="false">IF('Score Entry'!I19=4,"Excellent",IF('Score Entry'!I19=3,"Good",IF('Score Entry'!I19=2,"Fair","Poor")))</f>
        <v>Good</v>
      </c>
      <c r="H14" s="152" t="str">
        <f aca="false">IF('Score Entry'!K19=4,"Excellent",IF('Score Entry'!K19=3,"Good",IF('Score Entry'!K19=2,"Fair","Poor")))</f>
        <v>Fair</v>
      </c>
      <c r="I14" s="152" t="str">
        <f aca="false">IF('Score Entry'!M19=4,"Excellent",IF('Score Entry'!M19=3,"Good",IF('Score Entry'!M19=2,"Fair","Poor")))</f>
        <v>Excellent</v>
      </c>
      <c r="J14" s="152" t="str">
        <f aca="false">IF('Score Entry'!O19=4,"Excellent",IF('Score Entry'!O19=3,"Good",IF('Score Entry'!O19=2,"Fair","Poor")))</f>
        <v>Good</v>
      </c>
      <c r="K14" s="152" t="str">
        <f aca="false">IF('Score Entry'!Q19=4,"Excellent",IF('Score Entry'!Q19=3,"Good",IF('Score Entry'!Q19=2,"Fair","Poor")))</f>
        <v>Fair</v>
      </c>
      <c r="L14" s="73" t="n">
        <f aca="false">'Score Entry'!S19</f>
        <v>61.25</v>
      </c>
      <c r="M14" s="111" t="str">
        <f aca="false">'Score Entry'!U19</f>
        <v>B+</v>
      </c>
      <c r="N14" s="155" t="str">
        <f aca="false">IF('Score Entry'!S19&gt;=90,"Outstanding research — publication-ready contribution; all evaluation criteria met with distinction",IF('Score Entry'!S19&gt;=75,"Excellent research — strong methodology and originality; minor refinements recommended",IF('Score Entry'!S19&gt;=60,"Good research — meets academic standards; strengthen data analysis and contribution sections",IF('Score Entry'!S19&gt;=50,"Satisfactory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15" customFormat="false" ht="21.75" hidden="false" customHeight="true" outlineLevel="0" collapsed="false">
      <c r="A15" s="65" t="n">
        <v>11</v>
      </c>
      <c r="B15" s="65" t="str">
        <f aca="false">'Score Entry'!B20</f>
        <v>RS011</v>
      </c>
      <c r="C15" s="65" t="str">
        <f aca="false">'Score Entry'!C20</f>
        <v>Rahul Verma</v>
      </c>
      <c r="D15" s="151" t="str">
        <f aca="false">'Score Entry'!D20</f>
        <v>Ph.D — Computer Vision</v>
      </c>
      <c r="E15" s="152" t="str">
        <f aca="false">IF('Score Entry'!E20=4,"Excellent",IF('Score Entry'!E20=3,"Good",IF('Score Entry'!E20=2,"Fair","Poor")))</f>
        <v>Good</v>
      </c>
      <c r="F15" s="152" t="str">
        <f aca="false">IF('Score Entry'!G20=4,"Excellent",IF('Score Entry'!G20=3,"Good",IF('Score Entry'!G20=2,"Fair","Poor")))</f>
        <v>Poor</v>
      </c>
      <c r="G15" s="152" t="str">
        <f aca="false">IF('Score Entry'!I20=4,"Excellent",IF('Score Entry'!I20=3,"Good",IF('Score Entry'!I20=2,"Fair","Poor")))</f>
        <v>Excellent</v>
      </c>
      <c r="H15" s="152" t="str">
        <f aca="false">IF('Score Entry'!K20=4,"Excellent",IF('Score Entry'!K20=3,"Good",IF('Score Entry'!K20=2,"Fair","Poor")))</f>
        <v>Poor</v>
      </c>
      <c r="I15" s="152" t="str">
        <f aca="false">IF('Score Entry'!M20=4,"Excellent",IF('Score Entry'!M20=3,"Good",IF('Score Entry'!M20=2,"Fair","Poor")))</f>
        <v>Fair</v>
      </c>
      <c r="J15" s="152" t="str">
        <f aca="false">IF('Score Entry'!O20=4,"Excellent",IF('Score Entry'!O20=3,"Good",IF('Score Entry'!O20=2,"Fair","Poor")))</f>
        <v>Fair</v>
      </c>
      <c r="K15" s="152" t="str">
        <f aca="false">IF('Score Entry'!Q20=4,"Excellent",IF('Score Entry'!Q20=3,"Good",IF('Score Entry'!Q20=2,"Fair","Poor")))</f>
        <v>Fair</v>
      </c>
      <c r="L15" s="73" t="n">
        <f aca="false">'Score Entry'!S20</f>
        <v>53.75</v>
      </c>
      <c r="M15" s="111" t="str">
        <f aca="false">'Score Entry'!U20</f>
        <v>B</v>
      </c>
      <c r="N15" s="153" t="str">
        <f aca="false">IF('Score Entry'!S20&gt;=90,"Outstanding research — publication-ready contribution; all evaluation criteria met with distinction",IF('Score Entry'!S20&gt;=75,"Excellent research — strong methodology and originality; minor refinements recommended",IF('Score Entry'!S20&gt;=60,"Good research — meets academic standards; strengthen data analysis and contribution sections",IF('Score Entry'!S20&gt;=50,"Satisfactory — research shows potential; significant improvements needed in methodology and writing","Inadequate — thesis requires major revision; research methodology and analysis need complete rework"))))</f>
        <v>Satisfactory — research shows potential; significant improvements needed in methodology and writing</v>
      </c>
    </row>
    <row r="16" customFormat="false" ht="21.75" hidden="false" customHeight="true" outlineLevel="0" collapsed="false">
      <c r="A16" s="79" t="n">
        <v>12</v>
      </c>
      <c r="B16" s="79" t="str">
        <f aca="false">'Score Entry'!B21</f>
        <v>RS012</v>
      </c>
      <c r="C16" s="79" t="str">
        <f aca="false">'Score Entry'!C21</f>
        <v>Meera Joshi</v>
      </c>
      <c r="D16" s="154" t="str">
        <f aca="false">'Score Entry'!D21</f>
        <v>M.Tech — Quantum Computing</v>
      </c>
      <c r="E16" s="152" t="str">
        <f aca="false">IF('Score Entry'!E21=4,"Excellent",IF('Score Entry'!E21=3,"Good",IF('Score Entry'!E21=2,"Fair","Poor")))</f>
        <v>Fair</v>
      </c>
      <c r="F16" s="152" t="str">
        <f aca="false">IF('Score Entry'!G21=4,"Excellent",IF('Score Entry'!G21=3,"Good",IF('Score Entry'!G21=2,"Fair","Poor")))</f>
        <v>Fair</v>
      </c>
      <c r="G16" s="152" t="str">
        <f aca="false">IF('Score Entry'!I21=4,"Excellent",IF('Score Entry'!I21=3,"Good",IF('Score Entry'!I21=2,"Fair","Poor")))</f>
        <v>Excellent</v>
      </c>
      <c r="H16" s="152" t="str">
        <f aca="false">IF('Score Entry'!K21=4,"Excellent",IF('Score Entry'!K21=3,"Good",IF('Score Entry'!K21=2,"Fair","Poor")))</f>
        <v>Fair</v>
      </c>
      <c r="I16" s="152" t="str">
        <f aca="false">IF('Score Entry'!M21=4,"Excellent",IF('Score Entry'!M21=3,"Good",IF('Score Entry'!M21=2,"Fair","Poor")))</f>
        <v>Good</v>
      </c>
      <c r="J16" s="152" t="str">
        <f aca="false">IF('Score Entry'!O21=4,"Excellent",IF('Score Entry'!O21=3,"Good",IF('Score Entry'!O21=2,"Fair","Poor")))</f>
        <v>Poor</v>
      </c>
      <c r="K16" s="152" t="str">
        <f aca="false">IF('Score Entry'!Q21=4,"Excellent",IF('Score Entry'!Q21=3,"Good",IF('Score Entry'!Q21=2,"Fair","Poor")))</f>
        <v>Poor</v>
      </c>
      <c r="L16" s="73" t="n">
        <f aca="false">'Score Entry'!S21</f>
        <v>58.75</v>
      </c>
      <c r="M16" s="111" t="str">
        <f aca="false">'Score Entry'!U21</f>
        <v>B</v>
      </c>
      <c r="N16" s="155" t="str">
        <f aca="false">IF('Score Entry'!S21&gt;=90,"Outstanding research — publication-ready contribution; all evaluation criteria met with distinction",IF('Score Entry'!S21&gt;=75,"Excellent research — strong methodology and originality; minor refinements recommended",IF('Score Entry'!S21&gt;=60,"Good research — meets academic standards; strengthen data analysis and contribution sections",IF('Score Entry'!S21&gt;=50,"Satisfactory — research shows potential; significant improvements needed in methodology and writing","Inadequate — thesis requires major revision; research methodology and analysis need complete rework"))))</f>
        <v>Satisfactory — research shows potential; significant improvements needed in methodology and writing</v>
      </c>
    </row>
    <row r="17" customFormat="false" ht="21.75" hidden="false" customHeight="true" outlineLevel="0" collapsed="false">
      <c r="A17" s="65" t="n">
        <v>13</v>
      </c>
      <c r="B17" s="65" t="str">
        <f aca="false">'Score Entry'!B22</f>
        <v>RS013</v>
      </c>
      <c r="C17" s="65" t="str">
        <f aca="false">'Score Entry'!C22</f>
        <v>Suresh Pillai</v>
      </c>
      <c r="D17" s="151" t="str">
        <f aca="false">'Score Entry'!D22</f>
        <v>M.Tech — Blockchain</v>
      </c>
      <c r="E17" s="152" t="str">
        <f aca="false">IF('Score Entry'!E22=4,"Excellent",IF('Score Entry'!E22=3,"Good",IF('Score Entry'!E22=2,"Fair","Poor")))</f>
        <v>Excellent</v>
      </c>
      <c r="F17" s="152" t="str">
        <f aca="false">IF('Score Entry'!G22=4,"Excellent",IF('Score Entry'!G22=3,"Good",IF('Score Entry'!G22=2,"Fair","Poor")))</f>
        <v>Fair</v>
      </c>
      <c r="G17" s="152" t="str">
        <f aca="false">IF('Score Entry'!I22=4,"Excellent",IF('Score Entry'!I22=3,"Good",IF('Score Entry'!I22=2,"Fair","Poor")))</f>
        <v>Fair</v>
      </c>
      <c r="H17" s="152" t="str">
        <f aca="false">IF('Score Entry'!K22=4,"Excellent",IF('Score Entry'!K22=3,"Good",IF('Score Entry'!K22=2,"Fair","Poor")))</f>
        <v>Fair</v>
      </c>
      <c r="I17" s="152" t="str">
        <f aca="false">IF('Score Entry'!M22=4,"Excellent",IF('Score Entry'!M22=3,"Good",IF('Score Entry'!M22=2,"Fair","Poor")))</f>
        <v>Fair</v>
      </c>
      <c r="J17" s="152" t="str">
        <f aca="false">IF('Score Entry'!O22=4,"Excellent",IF('Score Entry'!O22=3,"Good",IF('Score Entry'!O22=2,"Fair","Poor")))</f>
        <v>Good</v>
      </c>
      <c r="K17" s="152" t="str">
        <f aca="false">IF('Score Entry'!Q22=4,"Excellent",IF('Score Entry'!Q22=3,"Good",IF('Score Entry'!Q22=2,"Fair","Poor")))</f>
        <v>Good</v>
      </c>
      <c r="L17" s="73" t="n">
        <f aca="false">'Score Entry'!S22</f>
        <v>60</v>
      </c>
      <c r="M17" s="111" t="str">
        <f aca="false">'Score Entry'!U22</f>
        <v>B+</v>
      </c>
      <c r="N17" s="153" t="str">
        <f aca="false">IF('Score Entry'!S22&gt;=90,"Outstanding research — publication-ready contribution; all evaluation criteria met with distinction",IF('Score Entry'!S22&gt;=75,"Excellent research — strong methodology and originality; minor refinements recommended",IF('Score Entry'!S22&gt;=60,"Good research — meets academic standards; strengthen data analysis and contribution sections",IF('Score Entry'!S22&gt;=50,"Satisfactory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18" customFormat="false" ht="21.75" hidden="false" customHeight="true" outlineLevel="0" collapsed="false">
      <c r="A18" s="79" t="n">
        <v>14</v>
      </c>
      <c r="B18" s="79" t="str">
        <f aca="false">'Score Entry'!B23</f>
        <v>RS014</v>
      </c>
      <c r="C18" s="79" t="str">
        <f aca="false">'Score Entry'!C23</f>
        <v>Kavya Menon</v>
      </c>
      <c r="D18" s="154" t="str">
        <f aca="false">'Score Entry'!D23</f>
        <v>Ph.D — Edge Intelligence</v>
      </c>
      <c r="E18" s="152" t="str">
        <f aca="false">IF('Score Entry'!E23=4,"Excellent",IF('Score Entry'!E23=3,"Good",IF('Score Entry'!E23=2,"Fair","Poor")))</f>
        <v>Fair</v>
      </c>
      <c r="F18" s="152" t="str">
        <f aca="false">IF('Score Entry'!G23=4,"Excellent",IF('Score Entry'!G23=3,"Good",IF('Score Entry'!G23=2,"Fair","Poor")))</f>
        <v>Good</v>
      </c>
      <c r="G18" s="152" t="str">
        <f aca="false">IF('Score Entry'!I23=4,"Excellent",IF('Score Entry'!I23=3,"Good",IF('Score Entry'!I23=2,"Fair","Poor")))</f>
        <v>Good</v>
      </c>
      <c r="H18" s="152" t="str">
        <f aca="false">IF('Score Entry'!K23=4,"Excellent",IF('Score Entry'!K23=3,"Good",IF('Score Entry'!K23=2,"Fair","Poor")))</f>
        <v>Fair</v>
      </c>
      <c r="I18" s="152" t="str">
        <f aca="false">IF('Score Entry'!M23=4,"Excellent",IF('Score Entry'!M23=3,"Good",IF('Score Entry'!M23=2,"Fair","Poor")))</f>
        <v>Excellent</v>
      </c>
      <c r="J18" s="152" t="str">
        <f aca="false">IF('Score Entry'!O23=4,"Excellent",IF('Score Entry'!O23=3,"Good",IF('Score Entry'!O23=2,"Fair","Poor")))</f>
        <v>Fair</v>
      </c>
      <c r="K18" s="152" t="str">
        <f aca="false">IF('Score Entry'!Q23=4,"Excellent",IF('Score Entry'!Q23=3,"Good",IF('Score Entry'!Q23=2,"Fair","Poor")))</f>
        <v>Excellent</v>
      </c>
      <c r="L18" s="73" t="n">
        <f aca="false">'Score Entry'!S23</f>
        <v>71.25</v>
      </c>
      <c r="M18" s="111" t="str">
        <f aca="false">'Score Entry'!U23</f>
        <v>A</v>
      </c>
      <c r="N18" s="155" t="str">
        <f aca="false">IF('Score Entry'!S23&gt;=90,"Outstanding research — publication-ready contribution; all evaluation criteria met with distinction",IF('Score Entry'!S23&gt;=75,"Excellent research — strong methodology and originality; minor refinements recommended",IF('Score Entry'!S23&gt;=60,"Good research — meets academic standards; strengthen data analysis and contribution sections",IF('Score Entry'!S23&gt;=50,"Satisfactory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19" customFormat="false" ht="21.75" hidden="false" customHeight="true" outlineLevel="0" collapsed="false">
      <c r="A19" s="65" t="n">
        <v>15</v>
      </c>
      <c r="B19" s="65" t="str">
        <f aca="false">'Score Entry'!B24</f>
        <v>RS015</v>
      </c>
      <c r="C19" s="65" t="str">
        <f aca="false">'Score Entry'!C24</f>
        <v>Aditya Bhat</v>
      </c>
      <c r="D19" s="151" t="str">
        <f aca="false">'Score Entry'!D24</f>
        <v>M.Tech — Digital Forensics</v>
      </c>
      <c r="E19" s="152" t="str">
        <f aca="false">IF('Score Entry'!E24=4,"Excellent",IF('Score Entry'!E24=3,"Good",IF('Score Entry'!E24=2,"Fair","Poor")))</f>
        <v>Fair</v>
      </c>
      <c r="F19" s="152" t="str">
        <f aca="false">IF('Score Entry'!G24=4,"Excellent",IF('Score Entry'!G24=3,"Good",IF('Score Entry'!G24=2,"Fair","Poor")))</f>
        <v>Poor</v>
      </c>
      <c r="G19" s="152" t="str">
        <f aca="false">IF('Score Entry'!I24=4,"Excellent",IF('Score Entry'!I24=3,"Good",IF('Score Entry'!I24=2,"Fair","Poor")))</f>
        <v>Fair</v>
      </c>
      <c r="H19" s="152" t="str">
        <f aca="false">IF('Score Entry'!K24=4,"Excellent",IF('Score Entry'!K24=3,"Good",IF('Score Entry'!K24=2,"Fair","Poor")))</f>
        <v>Fair</v>
      </c>
      <c r="I19" s="152" t="str">
        <f aca="false">IF('Score Entry'!M24=4,"Excellent",IF('Score Entry'!M24=3,"Good",IF('Score Entry'!M24=2,"Fair","Poor")))</f>
        <v>Excellent</v>
      </c>
      <c r="J19" s="152" t="str">
        <f aca="false">IF('Score Entry'!O24=4,"Excellent",IF('Score Entry'!O24=3,"Good",IF('Score Entry'!O24=2,"Fair","Poor")))</f>
        <v>Good</v>
      </c>
      <c r="K19" s="152" t="str">
        <f aca="false">IF('Score Entry'!Q24=4,"Excellent",IF('Score Entry'!Q24=3,"Good",IF('Score Entry'!Q24=2,"Fair","Poor")))</f>
        <v>Fair</v>
      </c>
      <c r="L19" s="73" t="n">
        <f aca="false">'Score Entry'!S24</f>
        <v>56.25</v>
      </c>
      <c r="M19" s="111" t="str">
        <f aca="false">'Score Entry'!U24</f>
        <v>B</v>
      </c>
      <c r="N19" s="153" t="str">
        <f aca="false">IF('Score Entry'!S24&gt;=90,"Outstanding research — publication-ready contribution; all evaluation criteria met with distinction",IF('Score Entry'!S24&gt;=75,"Excellent research — strong methodology and originality; minor refinements recommended",IF('Score Entry'!S24&gt;=60,"Good research — meets academic standards; strengthen data analysis and contribution sections",IF('Score Entry'!S24&gt;=50,"Satisfactory — research shows potential; significant improvements needed in methodology and writing","Inadequate — thesis requires major revision; research methodology and analysis need complete rework"))))</f>
        <v>Satisfactory — research shows potential; significant improvements needed in methodology and writing</v>
      </c>
    </row>
    <row r="20" customFormat="false" ht="21.75" hidden="false" customHeight="true" outlineLevel="0" collapsed="false">
      <c r="A20" s="79" t="n">
        <v>16</v>
      </c>
      <c r="B20" s="79" t="str">
        <f aca="false">'Score Entry'!B25</f>
        <v>RS016</v>
      </c>
      <c r="C20" s="79" t="str">
        <f aca="false">'Score Entry'!C25</f>
        <v>Lakshmi Das</v>
      </c>
      <c r="D20" s="154" t="str">
        <f aca="false">'Score Entry'!D25</f>
        <v>M.Tech — Federated Learning</v>
      </c>
      <c r="E20" s="152" t="str">
        <f aca="false">IF('Score Entry'!E25=4,"Excellent",IF('Score Entry'!E25=3,"Good",IF('Score Entry'!E25=2,"Fair","Poor")))</f>
        <v>Poor</v>
      </c>
      <c r="F20" s="152" t="str">
        <f aca="false">IF('Score Entry'!G25=4,"Excellent",IF('Score Entry'!G25=3,"Good",IF('Score Entry'!G25=2,"Fair","Poor")))</f>
        <v>Good</v>
      </c>
      <c r="G20" s="152" t="str">
        <f aca="false">IF('Score Entry'!I25=4,"Excellent",IF('Score Entry'!I25=3,"Good",IF('Score Entry'!I25=2,"Fair","Poor")))</f>
        <v>Good</v>
      </c>
      <c r="H20" s="152" t="str">
        <f aca="false">IF('Score Entry'!K25=4,"Excellent",IF('Score Entry'!K25=3,"Good",IF('Score Entry'!K25=2,"Fair","Poor")))</f>
        <v>Good</v>
      </c>
      <c r="I20" s="152" t="str">
        <f aca="false">IF('Score Entry'!M25=4,"Excellent",IF('Score Entry'!M25=3,"Good",IF('Score Entry'!M25=2,"Fair","Poor")))</f>
        <v>Excellent</v>
      </c>
      <c r="J20" s="152" t="str">
        <f aca="false">IF('Score Entry'!O25=4,"Excellent",IF('Score Entry'!O25=3,"Good",IF('Score Entry'!O25=2,"Fair","Poor")))</f>
        <v>Good</v>
      </c>
      <c r="K20" s="152" t="str">
        <f aca="false">IF('Score Entry'!Q25=4,"Excellent",IF('Score Entry'!Q25=3,"Good",IF('Score Entry'!Q25=2,"Fair","Poor")))</f>
        <v>Good</v>
      </c>
      <c r="L20" s="73" t="n">
        <f aca="false">'Score Entry'!S25</f>
        <v>73.75</v>
      </c>
      <c r="M20" s="111" t="str">
        <f aca="false">'Score Entry'!U25</f>
        <v>A</v>
      </c>
      <c r="N20" s="155" t="str">
        <f aca="false">IF('Score Entry'!S25&gt;=90,"Outstanding research — publication-ready contribution; all evaluation criteria met with distinction",IF('Score Entry'!S25&gt;=75,"Excellent research — strong methodology and originality; minor refinements recommended",IF('Score Entry'!S25&gt;=60,"Good research — meets academic standards; strengthen data analysis and contribution sections",IF('Score Entry'!S25&gt;=50,"Satisfactory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21" customFormat="false" ht="21.75" hidden="false" customHeight="true" outlineLevel="0" collapsed="false">
      <c r="A21" s="65" t="n">
        <v>17</v>
      </c>
      <c r="B21" s="65" t="str">
        <f aca="false">'Score Entry'!B26</f>
        <v>RS017</v>
      </c>
      <c r="C21" s="65" t="str">
        <f aca="false">'Score Entry'!C26</f>
        <v>Nikhil Tiwari</v>
      </c>
      <c r="D21" s="151" t="str">
        <f aca="false">'Score Entry'!D26</f>
        <v>Ph.D — Autonomous Systems</v>
      </c>
      <c r="E21" s="152" t="str">
        <f aca="false">IF('Score Entry'!E26=4,"Excellent",IF('Score Entry'!E26=3,"Good",IF('Score Entry'!E26=2,"Fair","Poor")))</f>
        <v>Poor</v>
      </c>
      <c r="F21" s="152" t="str">
        <f aca="false">IF('Score Entry'!G26=4,"Excellent",IF('Score Entry'!G26=3,"Good",IF('Score Entry'!G26=2,"Fair","Poor")))</f>
        <v>Fair</v>
      </c>
      <c r="G21" s="152" t="str">
        <f aca="false">IF('Score Entry'!I26=4,"Excellent",IF('Score Entry'!I26=3,"Good",IF('Score Entry'!I26=2,"Fair","Poor")))</f>
        <v>Good</v>
      </c>
      <c r="H21" s="152" t="str">
        <f aca="false">IF('Score Entry'!K26=4,"Excellent",IF('Score Entry'!K26=3,"Good",IF('Score Entry'!K26=2,"Fair","Poor")))</f>
        <v>Excellent</v>
      </c>
      <c r="I21" s="152" t="str">
        <f aca="false">IF('Score Entry'!M26=4,"Excellent",IF('Score Entry'!M26=3,"Good",IF('Score Entry'!M26=2,"Fair","Poor")))</f>
        <v>Excellent</v>
      </c>
      <c r="J21" s="152" t="str">
        <f aca="false">IF('Score Entry'!O26=4,"Excellent",IF('Score Entry'!O26=3,"Good",IF('Score Entry'!O26=2,"Fair","Poor")))</f>
        <v>Excellent</v>
      </c>
      <c r="K21" s="152" t="str">
        <f aca="false">IF('Score Entry'!Q26=4,"Excellent",IF('Score Entry'!Q26=3,"Good",IF('Score Entry'!Q26=2,"Fair","Poor")))</f>
        <v>Good</v>
      </c>
      <c r="L21" s="73" t="n">
        <f aca="false">'Score Entry'!S26</f>
        <v>77.5</v>
      </c>
      <c r="M21" s="111" t="str">
        <f aca="false">'Score Entry'!U26</f>
        <v>A</v>
      </c>
      <c r="N21" s="153" t="str">
        <f aca="false">IF('Score Entry'!S26&gt;=90,"Outstanding research — publication-ready contribution; all evaluation criteria met with distinction",IF('Score Entry'!S26&gt;=75,"Excellent research — strong methodology and originality; minor refinements recommended",IF('Score Entry'!S26&gt;=60,"Good research — meets academic standards; strengthen data analysis and contribution sections",IF('Score Entry'!S26&gt;=50,"Satisfactory — research shows potential; significant improvements needed in methodology and writing","Inadequate — thesis requires major revision; research methodology and analysis need complete rework"))))</f>
        <v>Excellent research — strong methodology and originality; minor refinements recommended</v>
      </c>
    </row>
    <row r="22" customFormat="false" ht="21.75" hidden="false" customHeight="true" outlineLevel="0" collapsed="false">
      <c r="A22" s="79" t="n">
        <v>18</v>
      </c>
      <c r="B22" s="79" t="str">
        <f aca="false">'Score Entry'!B27</f>
        <v>RS018</v>
      </c>
      <c r="C22" s="79" t="str">
        <f aca="false">'Score Entry'!C27</f>
        <v>Riya Shah</v>
      </c>
      <c r="D22" s="154" t="str">
        <f aca="false">'Score Entry'!D27</f>
        <v>M.Tech — HealthTech AI</v>
      </c>
      <c r="E22" s="152" t="str">
        <f aca="false">IF('Score Entry'!E27=4,"Excellent",IF('Score Entry'!E27=3,"Good",IF('Score Entry'!E27=2,"Fair","Poor")))</f>
        <v>Good</v>
      </c>
      <c r="F22" s="152" t="str">
        <f aca="false">IF('Score Entry'!G27=4,"Excellent",IF('Score Entry'!G27=3,"Good",IF('Score Entry'!G27=2,"Fair","Poor")))</f>
        <v>Poor</v>
      </c>
      <c r="G22" s="152" t="str">
        <f aca="false">IF('Score Entry'!I27=4,"Excellent",IF('Score Entry'!I27=3,"Good",IF('Score Entry'!I27=2,"Fair","Poor")))</f>
        <v>Fair</v>
      </c>
      <c r="H22" s="152" t="str">
        <f aca="false">IF('Score Entry'!K27=4,"Excellent",IF('Score Entry'!K27=3,"Good",IF('Score Entry'!K27=2,"Fair","Poor")))</f>
        <v>Fair</v>
      </c>
      <c r="I22" s="152" t="str">
        <f aca="false">IF('Score Entry'!M27=4,"Excellent",IF('Score Entry'!M27=3,"Good",IF('Score Entry'!M27=2,"Fair","Poor")))</f>
        <v>Good</v>
      </c>
      <c r="J22" s="152" t="str">
        <f aca="false">IF('Score Entry'!O27=4,"Excellent",IF('Score Entry'!O27=3,"Good",IF('Score Entry'!O27=2,"Fair","Poor")))</f>
        <v>Poor</v>
      </c>
      <c r="K22" s="152" t="str">
        <f aca="false">IF('Score Entry'!Q27=4,"Excellent",IF('Score Entry'!Q27=3,"Good",IF('Score Entry'!Q27=2,"Fair","Poor")))</f>
        <v>Good</v>
      </c>
      <c r="L22" s="73" t="n">
        <f aca="false">'Score Entry'!S27</f>
        <v>52.5</v>
      </c>
      <c r="M22" s="111" t="str">
        <f aca="false">'Score Entry'!U27</f>
        <v>B</v>
      </c>
      <c r="N22" s="155" t="str">
        <f aca="false">IF('Score Entry'!S27&gt;=90,"Outstanding research — publication-ready contribution; all evaluation criteria met with distinction",IF('Score Entry'!S27&gt;=75,"Excellent research — strong methodology and originality; minor refinements recommended",IF('Score Entry'!S27&gt;=60,"Good research — meets academic standards; strengthen data analysis and contribution sections",IF('Score Entry'!S27&gt;=50,"Satisfactory — research shows potential; significant improvements needed in methodology and writing","Inadequate — thesis requires major revision; research methodology and analysis need complete rework"))))</f>
        <v>Satisfactory — research shows potential; significant improvements needed in methodology and writing</v>
      </c>
    </row>
    <row r="23" customFormat="false" ht="21.75" hidden="false" customHeight="true" outlineLevel="0" collapsed="false">
      <c r="A23" s="65" t="n">
        <v>19</v>
      </c>
      <c r="B23" s="65" t="str">
        <f aca="false">'Score Entry'!B28</f>
        <v>RS019</v>
      </c>
      <c r="C23" s="65" t="str">
        <f aca="false">'Score Entry'!C28</f>
        <v>Manish Yadav</v>
      </c>
      <c r="D23" s="151" t="str">
        <f aca="false">'Score Entry'!D28</f>
        <v>Ph.D — XAI &amp; Trustworthy AI</v>
      </c>
      <c r="E23" s="152" t="str">
        <f aca="false">IF('Score Entry'!E28=4,"Excellent",IF('Score Entry'!E28=3,"Good",IF('Score Entry'!E28=2,"Fair","Poor")))</f>
        <v>Fair</v>
      </c>
      <c r="F23" s="152" t="str">
        <f aca="false">IF('Score Entry'!G28=4,"Excellent",IF('Score Entry'!G28=3,"Good",IF('Score Entry'!G28=2,"Fair","Poor")))</f>
        <v>Fair</v>
      </c>
      <c r="G23" s="152" t="str">
        <f aca="false">IF('Score Entry'!I28=4,"Excellent",IF('Score Entry'!I28=3,"Good",IF('Score Entry'!I28=2,"Fair","Poor")))</f>
        <v>Excellent</v>
      </c>
      <c r="H23" s="152" t="str">
        <f aca="false">IF('Score Entry'!K28=4,"Excellent",IF('Score Entry'!K28=3,"Good",IF('Score Entry'!K28=2,"Fair","Poor")))</f>
        <v>Fair</v>
      </c>
      <c r="I23" s="152" t="str">
        <f aca="false">IF('Score Entry'!M28=4,"Excellent",IF('Score Entry'!M28=3,"Good",IF('Score Entry'!M28=2,"Fair","Poor")))</f>
        <v>Poor</v>
      </c>
      <c r="J23" s="152" t="str">
        <f aca="false">IF('Score Entry'!O28=4,"Excellent",IF('Score Entry'!O28=3,"Good",IF('Score Entry'!O28=2,"Fair","Poor")))</f>
        <v>Poor</v>
      </c>
      <c r="K23" s="152" t="str">
        <f aca="false">IF('Score Entry'!Q28=4,"Excellent",IF('Score Entry'!Q28=3,"Good",IF('Score Entry'!Q28=2,"Fair","Poor")))</f>
        <v>Fair</v>
      </c>
      <c r="L23" s="73" t="n">
        <f aca="false">'Score Entry'!S28</f>
        <v>53.75</v>
      </c>
      <c r="M23" s="111" t="str">
        <f aca="false">'Score Entry'!U28</f>
        <v>B</v>
      </c>
      <c r="N23" s="153" t="str">
        <f aca="false">IF('Score Entry'!S28&gt;=90,"Outstanding research — publication-ready contribution; all evaluation criteria met with distinction",IF('Score Entry'!S28&gt;=75,"Excellent research — strong methodology and originality; minor refinements recommended",IF('Score Entry'!S28&gt;=60,"Good research — meets academic standards; strengthen data analysis and contribution sections",IF('Score Entry'!S28&gt;=50,"Satisfactory — research shows potential; significant improvements needed in methodology and writing","Inadequate — thesis requires major revision; research methodology and analysis need complete rework"))))</f>
        <v>Satisfactory — research shows potential; significant improvements needed in methodology and writing</v>
      </c>
    </row>
    <row r="24" customFormat="false" ht="21.75" hidden="false" customHeight="true" outlineLevel="0" collapsed="false">
      <c r="A24" s="79" t="n">
        <v>20</v>
      </c>
      <c r="B24" s="79" t="str">
        <f aca="false">'Score Entry'!B29</f>
        <v>RS020</v>
      </c>
      <c r="C24" s="79" t="str">
        <f aca="false">'Score Entry'!C29</f>
        <v>Deepa Nambiar</v>
      </c>
      <c r="D24" s="154" t="str">
        <f aca="false">'Score Entry'!D29</f>
        <v>M.Tech — Smart Grid Systems</v>
      </c>
      <c r="E24" s="152" t="str">
        <f aca="false">IF('Score Entry'!E29=4,"Excellent",IF('Score Entry'!E29=3,"Good",IF('Score Entry'!E29=2,"Fair","Poor")))</f>
        <v>Good</v>
      </c>
      <c r="F24" s="152" t="str">
        <f aca="false">IF('Score Entry'!G29=4,"Excellent",IF('Score Entry'!G29=3,"Good",IF('Score Entry'!G29=2,"Fair","Poor")))</f>
        <v>Good</v>
      </c>
      <c r="G24" s="152" t="str">
        <f aca="false">IF('Score Entry'!I29=4,"Excellent",IF('Score Entry'!I29=3,"Good",IF('Score Entry'!I29=2,"Fair","Poor")))</f>
        <v>Poor</v>
      </c>
      <c r="H24" s="152" t="str">
        <f aca="false">IF('Score Entry'!K29=4,"Excellent",IF('Score Entry'!K29=3,"Good",IF('Score Entry'!K29=2,"Fair","Poor")))</f>
        <v>Poor</v>
      </c>
      <c r="I24" s="152" t="str">
        <f aca="false">IF('Score Entry'!M29=4,"Excellent",IF('Score Entry'!M29=3,"Good",IF('Score Entry'!M29=2,"Fair","Poor")))</f>
        <v>Poor</v>
      </c>
      <c r="J24" s="152" t="str">
        <f aca="false">IF('Score Entry'!O29=4,"Excellent",IF('Score Entry'!O29=3,"Good",IF('Score Entry'!O29=2,"Fair","Poor")))</f>
        <v>Good</v>
      </c>
      <c r="K24" s="152" t="str">
        <f aca="false">IF('Score Entry'!Q29=4,"Excellent",IF('Score Entry'!Q29=3,"Good",IF('Score Entry'!Q29=2,"Fair","Poor")))</f>
        <v>Good</v>
      </c>
      <c r="L24" s="73" t="n">
        <f aca="false">'Score Entry'!S29</f>
        <v>47.5</v>
      </c>
      <c r="M24" s="111" t="str">
        <f aca="false">'Score Entry'!U29</f>
        <v>F</v>
      </c>
      <c r="N24" s="155" t="str">
        <f aca="false">IF('Score Entry'!S29&gt;=90,"Outstanding research — publication-ready contribution; all evaluation criteria met with distinction",IF('Score Entry'!S29&gt;=75,"Excellent research — strong methodology and originality; minor refinements recommended",IF('Score Entry'!S29&gt;=60,"Good research — meets academic standards; strengthen data analysis and contribution sections",IF('Score Entry'!S29&gt;=50,"Satisfactory — research shows potential; significant improvements needed in methodology and writing","Inadequate — thesis requires major revision; research methodology and analysis need complete rework"))))</f>
        <v>Inadequate — thesis requires major revision; research methodology and analysis need complete rework</v>
      </c>
    </row>
    <row r="25" customFormat="false" ht="21.75" hidden="false" customHeight="true" outlineLevel="0" collapsed="false">
      <c r="A25" s="65" t="n">
        <v>21</v>
      </c>
      <c r="B25" s="65" t="str">
        <f aca="false">'Score Entry'!B30</f>
        <v>RS021</v>
      </c>
      <c r="C25" s="65" t="str">
        <f aca="false">'Score Entry'!C30</f>
        <v>Siddharth Roy</v>
      </c>
      <c r="D25" s="151" t="str">
        <f aca="false">'Score Entry'!D30</f>
        <v>M.Tech — AR/VR Technologies</v>
      </c>
      <c r="E25" s="152" t="str">
        <f aca="false">IF('Score Entry'!E30=4,"Excellent",IF('Score Entry'!E30=3,"Good",IF('Score Entry'!E30=2,"Fair","Poor")))</f>
        <v>Fair</v>
      </c>
      <c r="F25" s="152" t="str">
        <f aca="false">IF('Score Entry'!G30=4,"Excellent",IF('Score Entry'!G30=3,"Good",IF('Score Entry'!G30=2,"Fair","Poor")))</f>
        <v>Good</v>
      </c>
      <c r="G25" s="152" t="str">
        <f aca="false">IF('Score Entry'!I30=4,"Excellent",IF('Score Entry'!I30=3,"Good",IF('Score Entry'!I30=2,"Fair","Poor")))</f>
        <v>Good</v>
      </c>
      <c r="H25" s="152" t="str">
        <f aca="false">IF('Score Entry'!K30=4,"Excellent",IF('Score Entry'!K30=3,"Good",IF('Score Entry'!K30=2,"Fair","Poor")))</f>
        <v>Fair</v>
      </c>
      <c r="I25" s="152" t="str">
        <f aca="false">IF('Score Entry'!M30=4,"Excellent",IF('Score Entry'!M30=3,"Good",IF('Score Entry'!M30=2,"Fair","Poor")))</f>
        <v>Poor</v>
      </c>
      <c r="J25" s="152" t="str">
        <f aca="false">IF('Score Entry'!O30=4,"Excellent",IF('Score Entry'!O30=3,"Good",IF('Score Entry'!O30=2,"Fair","Poor")))</f>
        <v>Excellent</v>
      </c>
      <c r="K25" s="152" t="str">
        <f aca="false">IF('Score Entry'!Q30=4,"Excellent",IF('Score Entry'!Q30=3,"Good",IF('Score Entry'!Q30=2,"Fair","Poor")))</f>
        <v>Excellent</v>
      </c>
      <c r="L25" s="73" t="n">
        <f aca="false">'Score Entry'!S30</f>
        <v>65</v>
      </c>
      <c r="M25" s="111" t="str">
        <f aca="false">'Score Entry'!U30</f>
        <v>B+</v>
      </c>
      <c r="N25" s="153" t="str">
        <f aca="false">IF('Score Entry'!S30&gt;=90,"Outstanding research — publication-ready contribution; all evaluation criteria met with distinction",IF('Score Entry'!S30&gt;=75,"Excellent research — strong methodology and originality; minor refinements recommended",IF('Score Entry'!S30&gt;=60,"Good research — meets academic standards; strengthen data analysis and contribution sections",IF('Score Entry'!S30&gt;=50,"Satisfactory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26" customFormat="false" ht="21.75" hidden="false" customHeight="true" outlineLevel="0" collapsed="false">
      <c r="A26" s="79" t="n">
        <v>22</v>
      </c>
      <c r="B26" s="79" t="str">
        <f aca="false">'Score Entry'!B31</f>
        <v>RS022</v>
      </c>
      <c r="C26" s="79" t="str">
        <f aca="false">'Score Entry'!C31</f>
        <v>Revathi Kumar</v>
      </c>
      <c r="D26" s="154" t="str">
        <f aca="false">'Score Entry'!D31</f>
        <v>Ph.D — Social Network Analysis</v>
      </c>
      <c r="E26" s="152" t="str">
        <f aca="false">IF('Score Entry'!E31=4,"Excellent",IF('Score Entry'!E31=3,"Good",IF('Score Entry'!E31=2,"Fair","Poor")))</f>
        <v>Good</v>
      </c>
      <c r="F26" s="152" t="str">
        <f aca="false">IF('Score Entry'!G31=4,"Excellent",IF('Score Entry'!G31=3,"Good",IF('Score Entry'!G31=2,"Fair","Poor")))</f>
        <v>Good</v>
      </c>
      <c r="G26" s="152" t="str">
        <f aca="false">IF('Score Entry'!I31=4,"Excellent",IF('Score Entry'!I31=3,"Good",IF('Score Entry'!I31=2,"Fair","Poor")))</f>
        <v>Good</v>
      </c>
      <c r="H26" s="152" t="str">
        <f aca="false">IF('Score Entry'!K31=4,"Excellent",IF('Score Entry'!K31=3,"Good",IF('Score Entry'!K31=2,"Fair","Poor")))</f>
        <v>Fair</v>
      </c>
      <c r="I26" s="152" t="str">
        <f aca="false">IF('Score Entry'!M31=4,"Excellent",IF('Score Entry'!M31=3,"Good",IF('Score Entry'!M31=2,"Fair","Poor")))</f>
        <v>Good</v>
      </c>
      <c r="J26" s="152" t="str">
        <f aca="false">IF('Score Entry'!O31=4,"Excellent",IF('Score Entry'!O31=3,"Good",IF('Score Entry'!O31=2,"Fair","Poor")))</f>
        <v>Excellent</v>
      </c>
      <c r="K26" s="152" t="str">
        <f aca="false">IF('Score Entry'!Q31=4,"Excellent",IF('Score Entry'!Q31=3,"Good",IF('Score Entry'!Q31=2,"Fair","Poor")))</f>
        <v>Poor</v>
      </c>
      <c r="L26" s="73" t="n">
        <f aca="false">'Score Entry'!S31</f>
        <v>67.5</v>
      </c>
      <c r="M26" s="111" t="str">
        <f aca="false">'Score Entry'!U31</f>
        <v>B+</v>
      </c>
      <c r="N26" s="155" t="str">
        <f aca="false">IF('Score Entry'!S31&gt;=90,"Outstanding research — publication-ready contribution; all evaluation criteria met with distinction",IF('Score Entry'!S31&gt;=75,"Excellent research — strong methodology and originality; minor refinements recommended",IF('Score Entry'!S31&gt;=60,"Good research — meets academic standards; strengthen data analysis and contribution sections",IF('Score Entry'!S31&gt;=50,"Satisfactory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27" customFormat="false" ht="21.75" hidden="false" customHeight="true" outlineLevel="0" collapsed="false">
      <c r="A27" s="65" t="n">
        <v>23</v>
      </c>
      <c r="B27" s="65" t="str">
        <f aca="false">'Score Entry'!B32</f>
        <v>RS023</v>
      </c>
      <c r="C27" s="65" t="str">
        <f aca="false">'Score Entry'!C32</f>
        <v>Aakash Jain</v>
      </c>
      <c r="D27" s="151" t="str">
        <f aca="false">'Score Entry'!D32</f>
        <v>M.Tech — SDG &amp; Sustainable AI</v>
      </c>
      <c r="E27" s="152" t="str">
        <f aca="false">IF('Score Entry'!E32=4,"Excellent",IF('Score Entry'!E32=3,"Good",IF('Score Entry'!E32=2,"Fair","Poor")))</f>
        <v>Good</v>
      </c>
      <c r="F27" s="152" t="str">
        <f aca="false">IF('Score Entry'!G32=4,"Excellent",IF('Score Entry'!G32=3,"Good",IF('Score Entry'!G32=2,"Fair","Poor")))</f>
        <v>Poor</v>
      </c>
      <c r="G27" s="152" t="str">
        <f aca="false">IF('Score Entry'!I32=4,"Excellent",IF('Score Entry'!I32=3,"Good",IF('Score Entry'!I32=2,"Fair","Poor")))</f>
        <v>Excellent</v>
      </c>
      <c r="H27" s="152" t="str">
        <f aca="false">IF('Score Entry'!K32=4,"Excellent",IF('Score Entry'!K32=3,"Good",IF('Score Entry'!K32=2,"Fair","Poor")))</f>
        <v>Fair</v>
      </c>
      <c r="I27" s="152" t="str">
        <f aca="false">IF('Score Entry'!M32=4,"Excellent",IF('Score Entry'!M32=3,"Good",IF('Score Entry'!M32=2,"Fair","Poor")))</f>
        <v>Poor</v>
      </c>
      <c r="J27" s="152" t="str">
        <f aca="false">IF('Score Entry'!O32=4,"Excellent",IF('Score Entry'!O32=3,"Good",IF('Score Entry'!O32=2,"Fair","Poor")))</f>
        <v>Excellent</v>
      </c>
      <c r="K27" s="152" t="str">
        <f aca="false">IF('Score Entry'!Q32=4,"Excellent",IF('Score Entry'!Q32=3,"Good",IF('Score Entry'!Q32=2,"Fair","Poor")))</f>
        <v>Excellent</v>
      </c>
      <c r="L27" s="73" t="n">
        <f aca="false">'Score Entry'!S32</f>
        <v>65</v>
      </c>
      <c r="M27" s="111" t="str">
        <f aca="false">'Score Entry'!U32</f>
        <v>B+</v>
      </c>
      <c r="N27" s="153" t="str">
        <f aca="false">IF('Score Entry'!S32&gt;=90,"Outstanding research — publication-ready contribution; all evaluation criteria met with distinction",IF('Score Entry'!S32&gt;=75,"Excellent research — strong methodology and originality; minor refinements recommended",IF('Score Entry'!S32&gt;=60,"Good research — meets academic standards; strengthen data analysis and contribution sections",IF('Score Entry'!S32&gt;=50,"Satisfactory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  <row r="28" customFormat="false" ht="21.75" hidden="false" customHeight="true" outlineLevel="0" collapsed="false">
      <c r="A28" s="79" t="n">
        <v>24</v>
      </c>
      <c r="B28" s="79" t="str">
        <f aca="false">'Score Entry'!B33</f>
        <v>RS024</v>
      </c>
      <c r="C28" s="79" t="str">
        <f aca="false">'Score Entry'!C33</f>
        <v>Bhavana Singh</v>
      </c>
      <c r="D28" s="154" t="str">
        <f aca="false">'Score Entry'!D33</f>
        <v>Ph.D — Quantum ML</v>
      </c>
      <c r="E28" s="152" t="str">
        <f aca="false">IF('Score Entry'!E33=4,"Excellent",IF('Score Entry'!E33=3,"Good",IF('Score Entry'!E33=2,"Fair","Poor")))</f>
        <v>Good</v>
      </c>
      <c r="F28" s="152" t="str">
        <f aca="false">IF('Score Entry'!G33=4,"Excellent",IF('Score Entry'!G33=3,"Good",IF('Score Entry'!G33=2,"Fair","Poor")))</f>
        <v>Excellent</v>
      </c>
      <c r="G28" s="152" t="str">
        <f aca="false">IF('Score Entry'!I33=4,"Excellent",IF('Score Entry'!I33=3,"Good",IF('Score Entry'!I33=2,"Fair","Poor")))</f>
        <v>Poor</v>
      </c>
      <c r="H28" s="152" t="str">
        <f aca="false">IF('Score Entry'!K33=4,"Excellent",IF('Score Entry'!K33=3,"Good",IF('Score Entry'!K33=2,"Fair","Poor")))</f>
        <v>Poor</v>
      </c>
      <c r="I28" s="152" t="str">
        <f aca="false">IF('Score Entry'!M33=4,"Excellent",IF('Score Entry'!M33=3,"Good",IF('Score Entry'!M33=2,"Fair","Poor")))</f>
        <v>Good</v>
      </c>
      <c r="J28" s="152" t="str">
        <f aca="false">IF('Score Entry'!O33=4,"Excellent",IF('Score Entry'!O33=3,"Good",IF('Score Entry'!O33=2,"Fair","Poor")))</f>
        <v>Poor</v>
      </c>
      <c r="K28" s="152" t="str">
        <f aca="false">IF('Score Entry'!Q33=4,"Excellent",IF('Score Entry'!Q33=3,"Good",IF('Score Entry'!Q33=2,"Fair","Poor")))</f>
        <v>Poor</v>
      </c>
      <c r="L28" s="73" t="n">
        <f aca="false">'Score Entry'!S33</f>
        <v>48.75</v>
      </c>
      <c r="M28" s="111" t="str">
        <f aca="false">'Score Entry'!U33</f>
        <v>F</v>
      </c>
      <c r="N28" s="155" t="str">
        <f aca="false">IF('Score Entry'!S33&gt;=90,"Outstanding research — publication-ready contribution; all evaluation criteria met with distinction",IF('Score Entry'!S33&gt;=75,"Excellent research — strong methodology and originality; minor refinements recommended",IF('Score Entry'!S33&gt;=60,"Good research — meets academic standards; strengthen data analysis and contribution sections",IF('Score Entry'!S33&gt;=50,"Satisfactory — research shows potential; significant improvements needed in methodology and writing","Inadequate — thesis requires major revision; research methodology and analysis need complete rework"))))</f>
        <v>Inadequate — thesis requires major revision; research methodology and analysis need complete rework</v>
      </c>
    </row>
    <row r="29" customFormat="false" ht="21.75" hidden="false" customHeight="true" outlineLevel="0" collapsed="false">
      <c r="A29" s="65" t="n">
        <v>25</v>
      </c>
      <c r="B29" s="65" t="str">
        <f aca="false">'Score Entry'!B34</f>
        <v>RS025</v>
      </c>
      <c r="C29" s="65" t="str">
        <f aca="false">'Score Entry'!C34</f>
        <v>Chetan Rao</v>
      </c>
      <c r="D29" s="151" t="str">
        <f aca="false">'Score Entry'!D34</f>
        <v>M.Tech — Neuromorphic Computing</v>
      </c>
      <c r="E29" s="152" t="str">
        <f aca="false">IF('Score Entry'!E34=4,"Excellent",IF('Score Entry'!E34=3,"Good",IF('Score Entry'!E34=2,"Fair","Poor")))</f>
        <v>Excellent</v>
      </c>
      <c r="F29" s="152" t="str">
        <f aca="false">IF('Score Entry'!G34=4,"Excellent",IF('Score Entry'!G34=3,"Good",IF('Score Entry'!G34=2,"Fair","Poor")))</f>
        <v>Excellent</v>
      </c>
      <c r="G29" s="152" t="str">
        <f aca="false">IF('Score Entry'!I34=4,"Excellent",IF('Score Entry'!I34=3,"Good",IF('Score Entry'!I34=2,"Fair","Poor")))</f>
        <v>Good</v>
      </c>
      <c r="H29" s="152" t="str">
        <f aca="false">IF('Score Entry'!K34=4,"Excellent",IF('Score Entry'!K34=3,"Good",IF('Score Entry'!K34=2,"Fair","Poor")))</f>
        <v>Poor</v>
      </c>
      <c r="I29" s="152" t="str">
        <f aca="false">IF('Score Entry'!M34=4,"Excellent",IF('Score Entry'!M34=3,"Good",IF('Score Entry'!M34=2,"Fair","Poor")))</f>
        <v>Good</v>
      </c>
      <c r="J29" s="152" t="str">
        <f aca="false">IF('Score Entry'!O34=4,"Excellent",IF('Score Entry'!O34=3,"Good",IF('Score Entry'!O34=2,"Fair","Poor")))</f>
        <v>Poor</v>
      </c>
      <c r="K29" s="152" t="str">
        <f aca="false">IF('Score Entry'!Q34=4,"Excellent",IF('Score Entry'!Q34=3,"Good",IF('Score Entry'!Q34=2,"Fair","Poor")))</f>
        <v>Good</v>
      </c>
      <c r="L29" s="73" t="n">
        <f aca="false">'Score Entry'!S34</f>
        <v>66.25</v>
      </c>
      <c r="M29" s="111" t="str">
        <f aca="false">'Score Entry'!U34</f>
        <v>B+</v>
      </c>
      <c r="N29" s="153" t="str">
        <f aca="false">IF('Score Entry'!S34&gt;=90,"Outstanding research — publication-ready contribution; all evaluation criteria met with distinction",IF('Score Entry'!S34&gt;=75,"Excellent research — strong methodology and originality; minor refinements recommended",IF('Score Entry'!S34&gt;=60,"Good research — meets academic standards; strengthen data analysis and contribution sections",IF('Score Entry'!S34&gt;=50,"Satisfactory — research shows potential; significant improvements needed in methodology and writing","Inadequate — thesis requires major revision; research methodology and analysis need complete rework"))))</f>
        <v>Good research — meets academic standards; strengthen data analysis and contribution sections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20" min="6" style="0" width="8"/>
  </cols>
  <sheetData>
    <row r="1" customFormat="false" ht="43.5" hidden="false" customHeight="true" outlineLevel="0" collapsed="false">
      <c r="A1" s="112" t="s">
        <v>305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</row>
    <row r="2" customFormat="false" ht="13.5" hidden="false" customHeight="true" outlineLevel="0" collapsed="false">
      <c r="A2" s="156" t="s">
        <v>306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</row>
    <row r="3" customFormat="false" ht="7.5" hidden="false" customHeight="true" outlineLevel="0" collapsed="false"/>
    <row r="4" customFormat="false" ht="27.75" hidden="false" customHeight="true" outlineLevel="0" collapsed="false">
      <c r="A4" s="135" t="s">
        <v>8</v>
      </c>
      <c r="B4" s="135" t="s">
        <v>9</v>
      </c>
      <c r="C4" s="135" t="s">
        <v>10</v>
      </c>
      <c r="D4" s="135" t="s">
        <v>307</v>
      </c>
      <c r="E4" s="135" t="s">
        <v>308</v>
      </c>
      <c r="F4" s="157" t="s">
        <v>309</v>
      </c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8" t="s">
        <v>310</v>
      </c>
      <c r="S4" s="158"/>
      <c r="T4" s="158"/>
    </row>
    <row r="5" customFormat="false" ht="19.5" hidden="false" customHeight="true" outlineLevel="0" collapsed="false">
      <c r="A5" s="135"/>
      <c r="B5" s="135"/>
      <c r="C5" s="135"/>
      <c r="D5" s="135"/>
      <c r="E5" s="135"/>
      <c r="F5" s="101" t="s">
        <v>272</v>
      </c>
      <c r="G5" s="101" t="s">
        <v>276</v>
      </c>
      <c r="H5" s="101" t="s">
        <v>278</v>
      </c>
      <c r="I5" s="101" t="s">
        <v>281</v>
      </c>
      <c r="J5" s="101" t="s">
        <v>284</v>
      </c>
      <c r="K5" s="101" t="s">
        <v>286</v>
      </c>
      <c r="L5" s="101" t="s">
        <v>288</v>
      </c>
      <c r="M5" s="101" t="s">
        <v>290</v>
      </c>
      <c r="N5" s="101" t="s">
        <v>292</v>
      </c>
      <c r="O5" s="101" t="s">
        <v>62</v>
      </c>
      <c r="P5" s="101" t="s">
        <v>296</v>
      </c>
      <c r="Q5" s="101" t="s">
        <v>298</v>
      </c>
      <c r="R5" s="76" t="s">
        <v>311</v>
      </c>
      <c r="S5" s="76" t="s">
        <v>312</v>
      </c>
      <c r="T5" s="76" t="s">
        <v>313</v>
      </c>
    </row>
    <row r="6" customFormat="false" ht="19.5" hidden="false" customHeight="true" outlineLevel="0" collapsed="false">
      <c r="A6" s="101" t="n">
        <v>1</v>
      </c>
      <c r="B6" s="159" t="s">
        <v>18</v>
      </c>
      <c r="C6" s="160" t="n">
        <v>0.1</v>
      </c>
      <c r="D6" s="76" t="n">
        <v>10</v>
      </c>
      <c r="E6" s="161" t="s">
        <v>23</v>
      </c>
      <c r="F6" s="4" t="s">
        <v>314</v>
      </c>
      <c r="G6" s="4" t="s">
        <v>314</v>
      </c>
      <c r="H6" s="162" t="s">
        <v>275</v>
      </c>
      <c r="I6" s="162" t="s">
        <v>275</v>
      </c>
      <c r="J6" s="162" t="s">
        <v>275</v>
      </c>
      <c r="K6" s="162" t="s">
        <v>275</v>
      </c>
      <c r="L6" s="162" t="s">
        <v>275</v>
      </c>
      <c r="M6" s="162" t="s">
        <v>275</v>
      </c>
      <c r="N6" s="162" t="s">
        <v>275</v>
      </c>
      <c r="O6" s="162" t="s">
        <v>275</v>
      </c>
      <c r="P6" s="162" t="s">
        <v>275</v>
      </c>
      <c r="Q6" s="162" t="s">
        <v>275</v>
      </c>
      <c r="R6" s="163" t="s">
        <v>314</v>
      </c>
      <c r="S6" s="162" t="s">
        <v>275</v>
      </c>
      <c r="T6" s="162" t="s">
        <v>275</v>
      </c>
    </row>
    <row r="7" customFormat="false" ht="19.5" hidden="false" customHeight="true" outlineLevel="0" collapsed="false">
      <c r="A7" s="101" t="n">
        <v>2</v>
      </c>
      <c r="B7" s="164" t="s">
        <v>26</v>
      </c>
      <c r="C7" s="160" t="n">
        <v>0.15</v>
      </c>
      <c r="D7" s="76" t="n">
        <v>15</v>
      </c>
      <c r="E7" s="161" t="s">
        <v>31</v>
      </c>
      <c r="F7" s="4" t="s">
        <v>314</v>
      </c>
      <c r="G7" s="4" t="s">
        <v>314</v>
      </c>
      <c r="H7" s="162" t="s">
        <v>275</v>
      </c>
      <c r="I7" s="162" t="s">
        <v>275</v>
      </c>
      <c r="J7" s="162" t="s">
        <v>275</v>
      </c>
      <c r="K7" s="162" t="s">
        <v>275</v>
      </c>
      <c r="L7" s="162" t="s">
        <v>275</v>
      </c>
      <c r="M7" s="162" t="s">
        <v>275</v>
      </c>
      <c r="N7" s="162" t="s">
        <v>275</v>
      </c>
      <c r="O7" s="162" t="s">
        <v>275</v>
      </c>
      <c r="P7" s="162" t="s">
        <v>275</v>
      </c>
      <c r="Q7" s="4" t="s">
        <v>314</v>
      </c>
      <c r="R7" s="163" t="s">
        <v>314</v>
      </c>
      <c r="S7" s="162" t="s">
        <v>275</v>
      </c>
      <c r="T7" s="162" t="s">
        <v>275</v>
      </c>
    </row>
    <row r="8" customFormat="false" ht="19.5" hidden="false" customHeight="true" outlineLevel="0" collapsed="false">
      <c r="A8" s="101" t="n">
        <v>3</v>
      </c>
      <c r="B8" s="159" t="s">
        <v>34</v>
      </c>
      <c r="C8" s="160" t="n">
        <v>0.2</v>
      </c>
      <c r="D8" s="76" t="n">
        <v>20</v>
      </c>
      <c r="E8" s="161" t="s">
        <v>31</v>
      </c>
      <c r="F8" s="162" t="s">
        <v>275</v>
      </c>
      <c r="G8" s="162" t="s">
        <v>275</v>
      </c>
      <c r="H8" s="4" t="s">
        <v>314</v>
      </c>
      <c r="I8" s="4" t="s">
        <v>314</v>
      </c>
      <c r="J8" s="162" t="s">
        <v>275</v>
      </c>
      <c r="K8" s="162" t="s">
        <v>275</v>
      </c>
      <c r="L8" s="162" t="s">
        <v>275</v>
      </c>
      <c r="M8" s="162" t="s">
        <v>275</v>
      </c>
      <c r="N8" s="162" t="s">
        <v>275</v>
      </c>
      <c r="O8" s="162" t="s">
        <v>275</v>
      </c>
      <c r="P8" s="162" t="s">
        <v>275</v>
      </c>
      <c r="Q8" s="162" t="s">
        <v>275</v>
      </c>
      <c r="R8" s="162" t="s">
        <v>275</v>
      </c>
      <c r="S8" s="163" t="s">
        <v>314</v>
      </c>
      <c r="T8" s="162" t="s">
        <v>275</v>
      </c>
    </row>
    <row r="9" customFormat="false" ht="19.5" hidden="false" customHeight="true" outlineLevel="0" collapsed="false">
      <c r="A9" s="101" t="n">
        <v>4</v>
      </c>
      <c r="B9" s="164" t="s">
        <v>41</v>
      </c>
      <c r="C9" s="160" t="n">
        <v>0.2</v>
      </c>
      <c r="D9" s="76" t="n">
        <v>20</v>
      </c>
      <c r="E9" s="161" t="s">
        <v>31</v>
      </c>
      <c r="F9" s="162" t="s">
        <v>275</v>
      </c>
      <c r="G9" s="162" t="s">
        <v>275</v>
      </c>
      <c r="H9" s="162" t="s">
        <v>275</v>
      </c>
      <c r="I9" s="4" t="s">
        <v>314</v>
      </c>
      <c r="J9" s="4" t="s">
        <v>314</v>
      </c>
      <c r="K9" s="162" t="s">
        <v>275</v>
      </c>
      <c r="L9" s="162" t="s">
        <v>275</v>
      </c>
      <c r="M9" s="162" t="s">
        <v>275</v>
      </c>
      <c r="N9" s="162" t="s">
        <v>275</v>
      </c>
      <c r="O9" s="162" t="s">
        <v>275</v>
      </c>
      <c r="P9" s="162" t="s">
        <v>275</v>
      </c>
      <c r="Q9" s="162" t="s">
        <v>275</v>
      </c>
      <c r="R9" s="162" t="s">
        <v>275</v>
      </c>
      <c r="S9" s="163" t="s">
        <v>314</v>
      </c>
      <c r="T9" s="162" t="s">
        <v>275</v>
      </c>
    </row>
    <row r="10" customFormat="false" ht="19.5" hidden="false" customHeight="true" outlineLevel="0" collapsed="false">
      <c r="A10" s="101" t="n">
        <v>5</v>
      </c>
      <c r="B10" s="159" t="s">
        <v>48</v>
      </c>
      <c r="C10" s="160" t="n">
        <v>0.15</v>
      </c>
      <c r="D10" s="76" t="n">
        <v>15</v>
      </c>
      <c r="E10" s="161" t="s">
        <v>53</v>
      </c>
      <c r="F10" s="162" t="s">
        <v>275</v>
      </c>
      <c r="G10" s="162" t="s">
        <v>275</v>
      </c>
      <c r="H10" s="4" t="s">
        <v>314</v>
      </c>
      <c r="I10" s="162" t="s">
        <v>275</v>
      </c>
      <c r="J10" s="162" t="s">
        <v>275</v>
      </c>
      <c r="K10" s="162" t="s">
        <v>275</v>
      </c>
      <c r="L10" s="162" t="s">
        <v>275</v>
      </c>
      <c r="M10" s="162" t="s">
        <v>275</v>
      </c>
      <c r="N10" s="162" t="s">
        <v>275</v>
      </c>
      <c r="O10" s="162" t="s">
        <v>275</v>
      </c>
      <c r="P10" s="162" t="s">
        <v>275</v>
      </c>
      <c r="Q10" s="4" t="s">
        <v>314</v>
      </c>
      <c r="R10" s="163" t="s">
        <v>314</v>
      </c>
      <c r="S10" s="162" t="s">
        <v>275</v>
      </c>
      <c r="T10" s="162" t="s">
        <v>275</v>
      </c>
    </row>
    <row r="11" customFormat="false" ht="19.5" hidden="false" customHeight="true" outlineLevel="0" collapsed="false">
      <c r="A11" s="101" t="n">
        <v>6</v>
      </c>
      <c r="B11" s="164" t="s">
        <v>56</v>
      </c>
      <c r="C11" s="160" t="n">
        <v>0.1</v>
      </c>
      <c r="D11" s="76" t="n">
        <v>10</v>
      </c>
      <c r="E11" s="161" t="s">
        <v>23</v>
      </c>
      <c r="F11" s="162" t="s">
        <v>275</v>
      </c>
      <c r="G11" s="162" t="s">
        <v>275</v>
      </c>
      <c r="H11" s="162" t="s">
        <v>275</v>
      </c>
      <c r="I11" s="162" t="s">
        <v>275</v>
      </c>
      <c r="J11" s="162" t="s">
        <v>275</v>
      </c>
      <c r="K11" s="162" t="s">
        <v>275</v>
      </c>
      <c r="L11" s="162" t="s">
        <v>275</v>
      </c>
      <c r="M11" s="162" t="s">
        <v>275</v>
      </c>
      <c r="N11" s="162" t="s">
        <v>275</v>
      </c>
      <c r="O11" s="4" t="s">
        <v>314</v>
      </c>
      <c r="P11" s="162" t="s">
        <v>275</v>
      </c>
      <c r="Q11" s="162" t="s">
        <v>275</v>
      </c>
      <c r="R11" s="162" t="s">
        <v>275</v>
      </c>
      <c r="S11" s="162" t="s">
        <v>275</v>
      </c>
      <c r="T11" s="163" t="s">
        <v>314</v>
      </c>
    </row>
    <row r="12" customFormat="false" ht="19.5" hidden="false" customHeight="true" outlineLevel="0" collapsed="false">
      <c r="A12" s="101" t="n">
        <v>7</v>
      </c>
      <c r="B12" s="159" t="s">
        <v>63</v>
      </c>
      <c r="C12" s="160" t="n">
        <v>0.1</v>
      </c>
      <c r="D12" s="76" t="n">
        <v>10</v>
      </c>
      <c r="E12" s="161" t="s">
        <v>31</v>
      </c>
      <c r="F12" s="162" t="s">
        <v>275</v>
      </c>
      <c r="G12" s="162" t="s">
        <v>275</v>
      </c>
      <c r="H12" s="162" t="s">
        <v>275</v>
      </c>
      <c r="I12" s="162" t="s">
        <v>275</v>
      </c>
      <c r="J12" s="162" t="s">
        <v>275</v>
      </c>
      <c r="K12" s="162" t="s">
        <v>275</v>
      </c>
      <c r="L12" s="162" t="s">
        <v>275</v>
      </c>
      <c r="M12" s="162" t="s">
        <v>275</v>
      </c>
      <c r="N12" s="4" t="s">
        <v>314</v>
      </c>
      <c r="O12" s="4" t="s">
        <v>314</v>
      </c>
      <c r="P12" s="162" t="s">
        <v>275</v>
      </c>
      <c r="Q12" s="162" t="s">
        <v>275</v>
      </c>
      <c r="R12" s="162" t="s">
        <v>275</v>
      </c>
      <c r="S12" s="162" t="s">
        <v>275</v>
      </c>
      <c r="T12" s="163" t="s">
        <v>314</v>
      </c>
    </row>
  </sheetData>
  <mergeCells count="9">
    <mergeCell ref="A1:T1"/>
    <mergeCell ref="A2:T2"/>
    <mergeCell ref="A4:A5"/>
    <mergeCell ref="B4:B5"/>
    <mergeCell ref="C4:C5"/>
    <mergeCell ref="D4:D5"/>
    <mergeCell ref="E4:E5"/>
    <mergeCell ref="F4:Q4"/>
    <mergeCell ref="R4:T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2026-05-14T05:08:00Z</dcterms:created>
  <dc:creator>openpyxl</dc:creator>
  <dc:description/>
  <dc:language>en-US</dc:language>
  <cp:lastModifiedBy/>
  <dcterms:modified xsi:type="dcterms:W3CDTF">2026-05-14T05:08:01Z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