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 Framework" sheetId="1" state="visible" r:id="rId3"/>
    <sheet name="Team Register" sheetId="2" state="visible" r:id="rId4"/>
    <sheet name="Score Entry" sheetId="3" state="visible" r:id="rId5"/>
    <sheet name="Team Dashboard" sheetId="4" state="visible" r:id="rId6"/>
    <sheet name="Criterion Analysis" sheetId="5" state="visible" r:id="rId7"/>
    <sheet name="CO Attainment" sheetId="6" state="visible" r:id="rId8"/>
    <sheet name="PO Attainment" sheetId="7" state="visible" r:id="rId9"/>
    <sheet name="CO-PO Mapping Matrix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<sst xmlns="http://schemas.openxmlformats.org/spreadsheetml/2006/main" count="623" uniqueCount="334">
  <si>
    <t xml:space="preserve">MINI-PROJECT RUBRIC  —  COMPLETE EVALUATION FRAMEWORK</t>
  </si>
  <si>
    <t xml:space="preserve">Department of Computer Science &amp; Engineering  |  Academic Year 2024-25  |  Reference: Rubrics Guidelines Document — Section 4: Mini-Project Rubrics</t>
  </si>
  <si>
    <t xml:space="preserve">INTRODUCTION  (From Document Section 4)</t>
  </si>
  <si>
    <t xml:space="preserve">  ✦  Mini projects are smaller academic projects designed to encourage → Independent learning, Practical application, Team collaboration, Problem-solving skills</t>
  </si>
  <si>
    <t xml:space="preserve">  ✦  Skills Assessed → Application skills, Innovation, Team coordination, Practical implementation</t>
  </si>
  <si>
    <t xml:space="preserve">  ✦  CO-PO Alignment → Each criterion is mapped to specific COs and POs for NBA OBE compliance</t>
  </si>
  <si>
    <t xml:space="preserve">SCORING SCALE</t>
  </si>
  <si>
    <t xml:space="preserve">4  —  Excellent</t>
  </si>
  <si>
    <t xml:space="preserve">3  —  Good</t>
  </si>
  <si>
    <t xml:space="preserve">2  —  Fair</t>
  </si>
  <si>
    <t xml:space="preserve">1  —  Poor</t>
  </si>
  <si>
    <t xml:space="preserve">Weighted Mark = Score / 4 × Criterion Max Marks  |  Total = Σ Weighted Marks  |  Max = 100  |  Document marks: Planning 5 + Technical 10 + Creativity 5 + Teamwork 5 + Implementation 10 + Presentation 5 = 40M → scaled to 100M</t>
  </si>
  <si>
    <t xml:space="preserve">#</t>
  </si>
  <si>
    <t xml:space="preserve">Criterion</t>
  </si>
  <si>
    <t xml:space="preserve">Doc
Mks</t>
  </si>
  <si>
    <t xml:space="preserve">Wt%</t>
  </si>
  <si>
    <t xml:space="preserve">Max
/100</t>
  </si>
  <si>
    <t xml:space="preserve">Bloom's</t>
  </si>
  <si>
    <t xml:space="preserve">Excellent (4)</t>
  </si>
  <si>
    <t xml:space="preserve">Good (3)</t>
  </si>
  <si>
    <t xml:space="preserve">Fair (2)</t>
  </si>
  <si>
    <t xml:space="preserve">Poor (1)</t>
  </si>
  <si>
    <t xml:space="preserve">Skill
Category</t>
  </si>
  <si>
    <t xml:space="preserve">CO</t>
  </si>
  <si>
    <t xml:space="preserve">PO Link</t>
  </si>
  <si>
    <t xml:space="preserve">Project Planning</t>
  </si>
  <si>
    <t xml:space="preserve">L2 – Understand / L3 – Apply</t>
  </si>
  <si>
    <t xml:space="preserve">Complete and detailed project plan with clear goals, milestones, timeline and resource allocation; all objectives precisely defined</t>
  </si>
  <si>
    <t xml:space="preserve">Good project plan with most milestones defined; minor gaps in scheduling or resource identification</t>
  </si>
  <si>
    <t xml:space="preserve">Partial planning; objectives vague; some milestones missing; limited scheduling detail</t>
  </si>
  <si>
    <t xml:space="preserve">No meaningful project plan; objectives absent or irrelevant; no task scheduling</t>
  </si>
  <si>
    <t xml:space="preserve">Planning &amp; Organisation</t>
  </si>
  <si>
    <t xml:space="preserve">CO4</t>
  </si>
  <si>
    <t xml:space="preserve">PO11 (Project Management), PO1 (Engineering Knowledge)</t>
  </si>
  <si>
    <t xml:space="preserve">Technical Knowledge</t>
  </si>
  <si>
    <t xml:space="preserve">L3 – Apply / L4 – Analyse</t>
  </si>
  <si>
    <t xml:space="preserve">Deep technical understanding of concepts; accurately applies theory; demonstrates strong domain knowledge throughout</t>
  </si>
  <si>
    <t xml:space="preserve">Good technical knowledge; applies theory correctly with minor gaps in advanced concepts</t>
  </si>
  <si>
    <t xml:space="preserve">Partial technical understanding; applies theory with noticeable gaps; some incorrect applications</t>
  </si>
  <si>
    <t xml:space="preserve">Weak technical knowledge; incorrect application of concepts; major domain knowledge gaps</t>
  </si>
  <si>
    <t xml:space="preserve">Technical / Cognitive</t>
  </si>
  <si>
    <t xml:space="preserve">CO1</t>
  </si>
  <si>
    <t xml:space="preserve">PO1 (Engineering Knowledge), PO2 (Problem Analysis)</t>
  </si>
  <si>
    <t xml:space="preserve">Creativity &amp; Innovation</t>
  </si>
  <si>
    <t xml:space="preserve">L5 – Evaluate / L6 – Create</t>
  </si>
  <si>
    <t xml:space="preserve">Highly innovative solution; unique problem-solving approach; significant original contribution or novel implementation</t>
  </si>
  <si>
    <t xml:space="preserve">Good creative effort; some innovative elements; mostly follows known approaches with personal adaptation</t>
  </si>
  <si>
    <t xml:space="preserve">Moderate creativity; standard approach with limited innovation; solution is conventional</t>
  </si>
  <si>
    <t xml:space="preserve">No creativity; solution is copied or completely standard with no original thought</t>
  </si>
  <si>
    <t xml:space="preserve">CO3</t>
  </si>
  <si>
    <t xml:space="preserve">PO3 (Design/Development), PO12 (Lifelong Learning)</t>
  </si>
  <si>
    <t xml:space="preserve">Teamwork &amp; Collaboration</t>
  </si>
  <si>
    <t xml:space="preserve">L3 – Apply</t>
  </si>
  <si>
    <t xml:space="preserve">Excellent team coordination; equal contribution; clearly defined roles; effective communication within team</t>
  </si>
  <si>
    <t xml:space="preserve">Good teamwork; mostly equal contributions; minor coordination issues</t>
  </si>
  <si>
    <t xml:space="preserve">Partial teamwork; some members contribute significantly less; coordination needs improvement</t>
  </si>
  <si>
    <t xml:space="preserve">Poor teamwork; one member dominates; unequal contributions; dysfunctional team dynamics</t>
  </si>
  <si>
    <t xml:space="preserve">Teamwork &amp; Leadership</t>
  </si>
  <si>
    <t xml:space="preserve">CO5</t>
  </si>
  <si>
    <t xml:space="preserve">PO9 (Individual &amp; Team Work)</t>
  </si>
  <si>
    <t xml:space="preserve">Working Model / Implementation</t>
  </si>
  <si>
    <t xml:space="preserve">Fully functional and reliable working model; correctly implements all project objectives; excellent system performance</t>
  </si>
  <si>
    <t xml:space="preserve">Functional model with minor issues; most objectives implemented; minor performance gaps</t>
  </si>
  <si>
    <t xml:space="preserve">Partially functional; several features missing or broken; significant implementation gaps</t>
  </si>
  <si>
    <t xml:space="preserve">Non-functional model; implementation largely incorrect or incomplete</t>
  </si>
  <si>
    <t xml:space="preserve">Technical / Practical Implementation</t>
  </si>
  <si>
    <t xml:space="preserve">CO2</t>
  </si>
  <si>
    <t xml:space="preserve">PO3 (Design), PO4 (Investigation), PO5 (Modern Tool Usage)</t>
  </si>
  <si>
    <t xml:space="preserve">Documentation &amp; Presentation</t>
  </si>
  <si>
    <t xml:space="preserve">L4 – Analyse / L5 – Evaluate</t>
  </si>
  <si>
    <t xml:space="preserve">Excellent report: well-structured, comprehensive, plagiarism-free; confident presentation with outstanding Q&amp;A handling</t>
  </si>
  <si>
    <t xml:space="preserve">Good report and presentation; minor structural or communication issues</t>
  </si>
  <si>
    <t xml:space="preserve">Adequate documentation; some incomplete sections; moderate presentation clarity</t>
  </si>
  <si>
    <t xml:space="preserve">Poor or missing documentation; disorganised presentation; unable to answer questions</t>
  </si>
  <si>
    <t xml:space="preserve">Communication &amp; Documentation</t>
  </si>
  <si>
    <t xml:space="preserve">CO6</t>
  </si>
  <si>
    <t xml:space="preserve">PO10 (Communication), PO4 (Investigation)</t>
  </si>
  <si>
    <t xml:space="preserve">TOTAL</t>
  </si>
  <si>
    <t xml:space="preserve">40</t>
  </si>
  <si>
    <t xml:space="preserve">100%</t>
  </si>
  <si>
    <t xml:space="preserve">100</t>
  </si>
  <si>
    <t xml:space="preserve">MINI-PROJECT COURSE OUTCOMES (COs) — CO–PO MAPPING</t>
  </si>
  <si>
    <t xml:space="preserve">Description</t>
  </si>
  <si>
    <t xml:space="preserve">Mapped POs</t>
  </si>
  <si>
    <t xml:space="preserve">Assessed By</t>
  </si>
  <si>
    <t xml:space="preserve">Demonstrate technical knowledge and apply engineering concepts to mini-project problems</t>
  </si>
  <si>
    <t xml:space="preserve">L3</t>
  </si>
  <si>
    <t xml:space="preserve">PO1, PO2</t>
  </si>
  <si>
    <t xml:space="preserve">Implement and validate a functional solution using appropriate tools and techniques</t>
  </si>
  <si>
    <t xml:space="preserve">L3-L4</t>
  </si>
  <si>
    <t xml:space="preserve">PO3, PO4, PO5</t>
  </si>
  <si>
    <t xml:space="preserve">Design an innovative and creative solution with originality and design thinking</t>
  </si>
  <si>
    <t xml:space="preserve">L5-L6</t>
  </si>
  <si>
    <t xml:space="preserve">PO3, PO12</t>
  </si>
  <si>
    <t xml:space="preserve">Plan, schedule and manage project activities with clear objectives and milestones</t>
  </si>
  <si>
    <t xml:space="preserve">L2-L3</t>
  </si>
  <si>
    <t xml:space="preserve">PO1, PO11</t>
  </si>
  <si>
    <t xml:space="preserve">Collaborate effectively as a team member with defined roles and equal contribution</t>
  </si>
  <si>
    <t xml:space="preserve">PO9</t>
  </si>
  <si>
    <t xml:space="preserve">Prepare quality documentation and communicate project findings professionally</t>
  </si>
  <si>
    <t xml:space="preserve">L4-L5</t>
  </si>
  <si>
    <t xml:space="preserve">PO10, PO4</t>
  </si>
  <si>
    <t xml:space="preserve">MINI-PROJECT — TEAM REGISTER &amp; GUIDE ALLOCATION</t>
  </si>
  <si>
    <t xml:space="preserve">B.Tech CSE  |  Academic Year 2024-25  |  20 Teams  |  3–4 Members per Team  |  Total = 100 Marks</t>
  </si>
  <si>
    <t xml:space="preserve">Team ID</t>
  </si>
  <si>
    <t xml:space="preserve">Project Title</t>
  </si>
  <si>
    <t xml:space="preserve">Domain</t>
  </si>
  <si>
    <t xml:space="preserve">Guide</t>
  </si>
  <si>
    <t xml:space="preserve">Members (IDs &amp; Names)</t>
  </si>
  <si>
    <t xml:space="preserve">T01</t>
  </si>
  <si>
    <t xml:space="preserve">Smart Attendance System using Face Recognition</t>
  </si>
  <si>
    <t xml:space="preserve">AI/CV</t>
  </si>
  <si>
    <t xml:space="preserve">Dr. A. Kumar</t>
  </si>
  <si>
    <t xml:space="preserve">S001: Aarav Sharma | S002: Priya Patel | S003: Rohan Mehta</t>
  </si>
  <si>
    <t xml:space="preserve">T02</t>
  </si>
  <si>
    <t xml:space="preserve">IoT-Based Smart Plant Watering System</t>
  </si>
  <si>
    <t xml:space="preserve">IoT</t>
  </si>
  <si>
    <t xml:space="preserve">Ms. R. Patel</t>
  </si>
  <si>
    <t xml:space="preserve">S004: Sneha Reddy | S005: Vikram Singh | S006: Anjali Nair | S007: Kiran Kumar</t>
  </si>
  <si>
    <t xml:space="preserve">T03</t>
  </si>
  <si>
    <t xml:space="preserve">Library Book Management System Using QR Codes</t>
  </si>
  <si>
    <t xml:space="preserve">Web/Mobile</t>
  </si>
  <si>
    <t xml:space="preserve">Mr. S. Rao</t>
  </si>
  <si>
    <t xml:space="preserve">S008: Divya Rao | S009: Arjun Gupta | S010: Pooja Iyer</t>
  </si>
  <si>
    <t xml:space="preserve">T04</t>
  </si>
  <si>
    <t xml:space="preserve">Automated Exam Timetable Generator</t>
  </si>
  <si>
    <t xml:space="preserve">Algorithms</t>
  </si>
  <si>
    <t xml:space="preserve">S011: Rahul Verma | S012: Meera Joshi | S013: Suresh Pillai | S014: Kavya Menon</t>
  </si>
  <si>
    <t xml:space="preserve">T05</t>
  </si>
  <si>
    <t xml:space="preserve">Student Grievance Portal with Chatbot</t>
  </si>
  <si>
    <t xml:space="preserve">NLP/Web</t>
  </si>
  <si>
    <t xml:space="preserve">S015: Aditya Bhat | S016: Lakshmi Das | S017: Nikhil Tiwari</t>
  </si>
  <si>
    <t xml:space="preserve">T06</t>
  </si>
  <si>
    <t xml:space="preserve">Smart Traffic Light Control Simulation</t>
  </si>
  <si>
    <t xml:space="preserve">Simulation</t>
  </si>
  <si>
    <t xml:space="preserve">S018: Riya Shah | S019: Manish Yadav | S020: Deepa Nambiar | S021: Siddharth Roy</t>
  </si>
  <si>
    <t xml:space="preserve">T07</t>
  </si>
  <si>
    <t xml:space="preserve">Expense Tracker App with Data Analytics</t>
  </si>
  <si>
    <t xml:space="preserve">Mobile/Analytics</t>
  </si>
  <si>
    <t xml:space="preserve">S022: Revathi Kumar | S023: Aakash Jain | S024: Bhavana Singh</t>
  </si>
  <si>
    <t xml:space="preserve">T08</t>
  </si>
  <si>
    <t xml:space="preserve">Online Voting System with OTP Verification</t>
  </si>
  <si>
    <t xml:space="preserve">Web Security</t>
  </si>
  <si>
    <t xml:space="preserve">Dr. L. Mehta</t>
  </si>
  <si>
    <t xml:space="preserve">S025: Chetan Rao | S026: Divya Nair | S027: Eshan Mehta | S028: Farah Khan</t>
  </si>
  <si>
    <t xml:space="preserve">T09</t>
  </si>
  <si>
    <t xml:space="preserve">Voice-Controlled Home Appliance Automation</t>
  </si>
  <si>
    <t xml:space="preserve">IoT/NLP</t>
  </si>
  <si>
    <t xml:space="preserve">S029: Ganesh Iyer | S030: Hema Pillai | S031: Ishaan Dubey</t>
  </si>
  <si>
    <t xml:space="preserve">T10</t>
  </si>
  <si>
    <t xml:space="preserve">Plagiarism Detector for Student Assignments</t>
  </si>
  <si>
    <t xml:space="preserve">NLP/Text</t>
  </si>
  <si>
    <t xml:space="preserve">S032: Jaya Menon | S033: Karthik Rao | S034: Lalitha S | S035: Manoj Kumar</t>
  </si>
  <si>
    <t xml:space="preserve">T11</t>
  </si>
  <si>
    <t xml:space="preserve">AR Navigation App for Campus</t>
  </si>
  <si>
    <t xml:space="preserve">AR/Mobile</t>
  </si>
  <si>
    <t xml:space="preserve">S036: Nandini G | S037: Om Prakash | S038: Preeti Shah</t>
  </si>
  <si>
    <t xml:space="preserve">T12</t>
  </si>
  <si>
    <t xml:space="preserve">Real-Time Stock Market Dashboard</t>
  </si>
  <si>
    <t xml:space="preserve">Finance/Data</t>
  </si>
  <si>
    <t xml:space="preserve">S039: Qasim Ali | S040: Ranjani P | S041: Sagar Rao | S042: Thilaga M</t>
  </si>
  <si>
    <t xml:space="preserve">T13</t>
  </si>
  <si>
    <t xml:space="preserve">COVID-19 Symptom Checker Web App</t>
  </si>
  <si>
    <t xml:space="preserve">Healthcare/Web</t>
  </si>
  <si>
    <t xml:space="preserve">S043: Uma Priya | S044: Varun Nair | S045: Waqar Ahmed</t>
  </si>
  <si>
    <t xml:space="preserve">T14</t>
  </si>
  <si>
    <t xml:space="preserve">Sign Language Translator Using ML</t>
  </si>
  <si>
    <t xml:space="preserve">ML/CV</t>
  </si>
  <si>
    <t xml:space="preserve">S046: Yamini K | S047: Zaheer Khan | S048: Aditi S | S049: Balaji R</t>
  </si>
  <si>
    <t xml:space="preserve">T15</t>
  </si>
  <si>
    <t xml:space="preserve">Smart Parking Slot Booking System</t>
  </si>
  <si>
    <t xml:space="preserve">Web/IoT</t>
  </si>
  <si>
    <t xml:space="preserve">S050: Chandra V | S051: Deepak N | S052: Elango P</t>
  </si>
  <si>
    <t xml:space="preserve">T16</t>
  </si>
  <si>
    <t xml:space="preserve">Food Ordering Chatbot with Recommendation</t>
  </si>
  <si>
    <t xml:space="preserve">NLP/AI</t>
  </si>
  <si>
    <t xml:space="preserve">S053: Farida B | S054: Geetha M | S055: Harish K | S056: Induja R</t>
  </si>
  <si>
    <t xml:space="preserve">T17</t>
  </si>
  <si>
    <t xml:space="preserve">Carbon Footprint Calculator &amp; SDG Dashboard</t>
  </si>
  <si>
    <t xml:space="preserve">SDG/Analytics</t>
  </si>
  <si>
    <t xml:space="preserve">S057: Jayanthi A | S058: Krishna R | S059: Lavanya S</t>
  </si>
  <si>
    <t xml:space="preserve">T18</t>
  </si>
  <si>
    <t xml:space="preserve">Blockchain-Secured Patient Health Records</t>
  </si>
  <si>
    <t xml:space="preserve">Blockchain/Health</t>
  </si>
  <si>
    <t xml:space="preserve">S060: Malar M | S061: Nila R | S062: Oviya S | S063: Prabhu K</t>
  </si>
  <si>
    <t xml:space="preserve">T19</t>
  </si>
  <si>
    <t xml:space="preserve">ML-Based Road Pothole Detection System</t>
  </si>
  <si>
    <t xml:space="preserve">CV/ML</t>
  </si>
  <si>
    <t xml:space="preserve">S064: Quresh A | S065: Ramya P | S066: Santhosh M</t>
  </si>
  <si>
    <t xml:space="preserve">T20</t>
  </si>
  <si>
    <t xml:space="preserve">Gamified Learning Platform for School Students</t>
  </si>
  <si>
    <t xml:space="preserve">EdTech/Gamification</t>
  </si>
  <si>
    <t xml:space="preserve">S067: Tara B | S068: Uma K | S069: Velan M | S070: Wini C</t>
  </si>
  <si>
    <t xml:space="preserve">MINI-PROJECT RUBRIC  —  FACULTY SCORE ENTRY SHEET</t>
  </si>
  <si>
    <t xml:space="preserve">Enter Score (4=Excellent / 3=Good / 2=Fair / 1=Poor) in YELLOW cells per criterion per team  |  Weighted Marks, Total, Grade, CO Attainment %, Level and Feedback auto-calculate</t>
  </si>
  <si>
    <t xml:space="preserve">Course:</t>
  </si>
  <si>
    <t xml:space="preserve">Mini-Project</t>
  </si>
  <si>
    <t xml:space="preserve">Semester:</t>
  </si>
  <si>
    <t xml:space="preserve">Department:</t>
  </si>
  <si>
    <t xml:space="preserve">CSE</t>
  </si>
  <si>
    <t xml:space="preserve">Academic Year:</t>
  </si>
  <si>
    <t xml:space="preserve">2024-25</t>
  </si>
  <si>
    <t xml:space="preserve">Score Guide →</t>
  </si>
  <si>
    <t xml:space="preserve">4 = Excellent</t>
  </si>
  <si>
    <t xml:space="preserve">3 = Good</t>
  </si>
  <si>
    <t xml:space="preserve">2 = Fair</t>
  </si>
  <si>
    <t xml:space="preserve">1 = Poor</t>
  </si>
  <si>
    <t xml:space="preserve">Weighted Mark = Score / 4 × Max Marks  |  Total = Σ Weighted (Max 100)  |  Grade: O≥90  A+≥75  A≥60  B+≥50  B≥40  F&lt;40</t>
  </si>
  <si>
    <t xml:space="preserve">Project Team Information</t>
  </si>
  <si>
    <t xml:space="preserve">C1: Project Planning
(15%  Max:15M  CO4)</t>
  </si>
  <si>
    <t xml:space="preserve">C2: Technical Knowledge
(20%  Max:20M  CO1)</t>
  </si>
  <si>
    <t xml:space="preserve">C3: Creativity &amp; Innovation
(15%  Max:15M  CO3)</t>
  </si>
  <si>
    <t xml:space="preserve">C4: Teamwork &amp; Collaboration
(10%  Max:10M  CO5)</t>
  </si>
  <si>
    <t xml:space="preserve">C5: Working Model / Implementation
(25%  Max:25M  CO2)</t>
  </si>
  <si>
    <t xml:space="preserve">C6: Documentation &amp; Presentation
(15%  Max:15M  CO6)</t>
  </si>
  <si>
    <t xml:space="preserve">Total
(/100M)</t>
  </si>
  <si>
    <t xml:space="preserve">Grade</t>
  </si>
  <si>
    <t xml:space="preserve">CO
Att%</t>
  </si>
  <si>
    <t xml:space="preserve">Level
(L0-L3)</t>
  </si>
  <si>
    <t xml:space="preserve">Result</t>
  </si>
  <si>
    <t xml:space="preserve">Auto Feedback</t>
  </si>
  <si>
    <t xml:space="preserve">Score
(1–4)</t>
  </si>
  <si>
    <t xml:space="preserve">Wtd
Mks</t>
  </si>
  <si>
    <t xml:space="preserve">/5M</t>
  </si>
  <si>
    <t xml:space="preserve">Max:15</t>
  </si>
  <si>
    <t xml:space="preserve">/10M</t>
  </si>
  <si>
    <t xml:space="preserve">Max:20</t>
  </si>
  <si>
    <t xml:space="preserve">Max:10</t>
  </si>
  <si>
    <t xml:space="preserve">Max:25</t>
  </si>
  <si>
    <t xml:space="preserve">DEPT AVERAGE</t>
  </si>
  <si>
    <t xml:space="preserve">HIGHEST SCORE</t>
  </si>
  <si>
    <t xml:space="preserve">LOWEST SCORE</t>
  </si>
  <si>
    <t xml:space="preserve">PASS COUNT</t>
  </si>
  <si>
    <t xml:space="preserve">FAIL COUNT</t>
  </si>
  <si>
    <t xml:space="preserve">L3 COUNT (≥75%)</t>
  </si>
  <si>
    <t xml:space="preserve">CO ATTAINMENT</t>
  </si>
  <si>
    <t xml:space="preserve">GRADE DISTRIBUTION</t>
  </si>
  <si>
    <t xml:space="preserve">O(≥90)</t>
  </si>
  <si>
    <t xml:space="preserve">A+(≥75)</t>
  </si>
  <si>
    <t xml:space="preserve">A(≥60)</t>
  </si>
  <si>
    <t xml:space="preserve">B+(≥50)</t>
  </si>
  <si>
    <t xml:space="preserve">B(≥40)</t>
  </si>
  <si>
    <t xml:space="preserve">F(&lt;40)</t>
  </si>
  <si>
    <t xml:space="preserve">MINI-PROJECT RUBRIC  —  TEAM PERFORMANCE DASHBOARD</t>
  </si>
  <si>
    <t xml:space="preserve">All values auto-linked from Score Entry.  Per-criterion scores, totals, grades, CO attainment and level for every team.</t>
  </si>
  <si>
    <t xml:space="preserve">GRADE/LEVEL →</t>
  </si>
  <si>
    <t xml:space="preserve">O
≥90</t>
  </si>
  <si>
    <t xml:space="preserve">A+
≥75</t>
  </si>
  <si>
    <t xml:space="preserve">A
≥60</t>
  </si>
  <si>
    <t xml:space="preserve">B+
≥50</t>
  </si>
  <si>
    <t xml:space="preserve">B
≥40</t>
  </si>
  <si>
    <t xml:space="preserve">F
&lt;40</t>
  </si>
  <si>
    <t xml:space="preserve">L3
≥75%</t>
  </si>
  <si>
    <t xml:space="preserve">L2
≥60%</t>
  </si>
  <si>
    <t xml:space="preserve">L1
≥40%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</si>
  <si>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</si>
  <si>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</si>
  <si>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</si>
  <si>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</si>
  <si>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</si>
  <si>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</si>
  <si>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Total
/100</t>
  </si>
  <si>
    <t xml:space="preserve">Level</t>
  </si>
  <si>
    <t xml:space="preserve">MINI-PROJECT RUBRIC  —  CRITERION-WISE ANALYSIS</t>
  </si>
  <si>
    <t xml:space="preserve">Statistical breakdown per criterion.  All values auto-linked from Score Entry sheet.</t>
  </si>
  <si>
    <t xml:space="preserve">Metric</t>
  </si>
  <si>
    <t xml:space="preserve">C1: Project Planning
(Doc:5M  Max:15M  CO4)</t>
  </si>
  <si>
    <t xml:space="preserve">C2: Technical Knowledge
(Doc:10M  Max:20M  CO1)</t>
  </si>
  <si>
    <t xml:space="preserve">C3: Creativity &amp; Innovation
(Doc:5M  Max:15M  CO3)</t>
  </si>
  <si>
    <t xml:space="preserve">C4: Teamwork &amp; Collaboration
(Doc:5M  Max:10M  CO5)</t>
  </si>
  <si>
    <t xml:space="preserve">C5: Working Model / Implementation
(Doc:10M  Max:25M  CO2)</t>
  </si>
  <si>
    <t xml:space="preserve">C6: Documentation &amp; Presentation
(Doc:5M  Max:15M  CO6)</t>
  </si>
  <si>
    <t xml:space="preserve">Overall
Dept Avg</t>
  </si>
  <si>
    <t xml:space="preserve">Crit
Att%</t>
  </si>
  <si>
    <t xml:space="preserve">Average Score (1–4)</t>
  </si>
  <si>
    <t xml:space="preserve">Average Weighted Marks</t>
  </si>
  <si>
    <t xml:space="preserve">Max Score in Class</t>
  </si>
  <si>
    <t xml:space="preserve">Min Score in Class</t>
  </si>
  <si>
    <t xml:space="preserve">Excellent (4) Count</t>
  </si>
  <si>
    <t xml:space="preserve">Good (3) Count</t>
  </si>
  <si>
    <t xml:space="preserve">Fair (2) Count</t>
  </si>
  <si>
    <t xml:space="preserve">Poor (1) Count</t>
  </si>
  <si>
    <t xml:space="preserve">Criterion Attainment %</t>
  </si>
  <si>
    <t xml:space="preserve">Attainment Level</t>
  </si>
  <si>
    <t xml:space="preserve">MINI-PROJECT RUBRIC  —  CO-WISE ATTAINMENT</t>
  </si>
  <si>
    <t xml:space="preserve">CO Att% = Criterion Attainment % (from Criterion Analysis)  |  Target ≥ 60%  |  Level: L3≥75%  L2≥60%  L1≥40%  L0&lt;40%</t>
  </si>
  <si>
    <t xml:space="preserve">Mapped
Criteria</t>
  </si>
  <si>
    <t xml:space="preserve">Criterion
Att%</t>
  </si>
  <si>
    <t xml:space="preserve">Target
(60%)</t>
  </si>
  <si>
    <t xml:space="preserve">Gap</t>
  </si>
  <si>
    <t xml:space="preserve">Status</t>
  </si>
  <si>
    <t xml:space="preserve">MINI-PROJECT RUBRIC  —  PROGRAMME OUTCOME (PO) ATTAINMENT</t>
  </si>
  <si>
    <t xml:space="preserve">PO Att% = SUMPRODUCT(CO_Att × Strength) / SUM(Strength)  |  Target ≥ 60%  |  Level: L3≥75%  L2≥60%  L1≥40%  L0&lt;40%</t>
  </si>
  <si>
    <t xml:space="preserve">PO</t>
  </si>
  <si>
    <t xml:space="preserve">Linked COs
(Strength)</t>
  </si>
  <si>
    <t xml:space="preserve">PO
Att%</t>
  </si>
  <si>
    <t xml:space="preserve">Target</t>
  </si>
  <si>
    <t xml:space="preserve">PO1</t>
  </si>
  <si>
    <t xml:space="preserve">Engineering Knowledge</t>
  </si>
  <si>
    <t xml:space="preserve">CO1(S3), CO4(S2)</t>
  </si>
  <si>
    <t xml:space="preserve">PO2</t>
  </si>
  <si>
    <t xml:space="preserve">Problem Analysis</t>
  </si>
  <si>
    <t xml:space="preserve">CO1(S2)</t>
  </si>
  <si>
    <t xml:space="preserve">PO3</t>
  </si>
  <si>
    <t xml:space="preserve">Design/Development of Solutions</t>
  </si>
  <si>
    <t xml:space="preserve">CO2(S3), CO3(S3)</t>
  </si>
  <si>
    <t xml:space="preserve">PO4</t>
  </si>
  <si>
    <t xml:space="preserve">Conduct Investigations</t>
  </si>
  <si>
    <t xml:space="preserve">CO2(S2), CO6(S2)</t>
  </si>
  <si>
    <t xml:space="preserve">PO5</t>
  </si>
  <si>
    <t xml:space="preserve">Modern Tool Usage</t>
  </si>
  <si>
    <t xml:space="preserve">CO2(S2)</t>
  </si>
  <si>
    <t xml:space="preserve">PO6</t>
  </si>
  <si>
    <t xml:space="preserve">The Engineer and Society</t>
  </si>
  <si>
    <t xml:space="preserve">—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</si>
  <si>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</si>
  <si>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</si>
  <si>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</si>
  <si>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</si>
  <si>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Individual and Team Work</t>
  </si>
  <si>
    <t xml:space="preserve">CO5(S3)</t>
  </si>
  <si>
    <t xml:space="preserve">PO10</t>
  </si>
  <si>
    <t xml:space="preserve">Communication</t>
  </si>
  <si>
    <t xml:space="preserve">CO6(S3)</t>
  </si>
  <si>
    <t xml:space="preserve">PO11</t>
  </si>
  <si>
    <t xml:space="preserve">Project Management and Finance</t>
  </si>
  <si>
    <t xml:space="preserve">CO4(S3)</t>
  </si>
  <si>
    <t xml:space="preserve">PO12</t>
  </si>
  <si>
    <t xml:space="preserve">Life-long Learning</t>
  </si>
  <si>
    <t xml:space="preserve">CO3(S2)</t>
  </si>
  <si>
    <t xml:space="preserve">MINI-PROJECT  —  CO–PO MAPPING MATRIX  (Strength: 3=High  2=Medium  1=Low)</t>
  </si>
  <si>
    <t xml:space="preserve">PO Attainment = SUMPRODUCT(CO_Att × Strength) / SUM(Strength)  |  CO → Criterion → PO chain ensures complete OBE alignment</t>
  </si>
  <si>
    <t xml:space="preserve">Assessed
Criterion</t>
  </si>
  <si>
    <t xml:space="preserve">PROGRAMME OUTCOMES (PO1–PO12)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</si>
</sst>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"/>
    <numFmt numFmtId="167" formatCode="0.0"/>
    <numFmt numFmtId="168" formatCode="0.0%"/>
    <numFmt numFmtId="169" formatCode="0.00"/>
    <numFmt numFmtId="170" formatCode="\+0.0;\-0.0;0.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8B0000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2E75B6"/>
      <name val="Arial"/>
      <family val="0"/>
      <charset val="1"/>
    </font>
    <font>
      <sz val="9"/>
      <color rgb="FFBF8F00"/>
      <name val="Arial"/>
      <family val="0"/>
      <charset val="1"/>
    </font>
    <font>
      <sz val="9"/>
      <color rgb="FF8B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sz val="9"/>
      <color rgb="FFCCCCCC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11"/>
      <color rgb="FFCCCCCC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404040"/>
      </patternFill>
    </fill>
    <fill>
      <patternFill patternType="solid">
        <fgColor rgb="FF00695C"/>
        <bgColor rgb="FF008080"/>
      </patternFill>
    </fill>
    <fill>
      <patternFill patternType="solid">
        <fgColor rgb="FF404040"/>
        <bgColor rgb="FF375623"/>
      </patternFill>
    </fill>
    <fill>
      <patternFill patternType="solid">
        <fgColor rgb="FFE2EFDA"/>
        <bgColor rgb="FFE0F2F1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8DC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CCCCCC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808000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E8EAF6"/>
        <bgColor rgb="FFDEEAF1"/>
      </patternFill>
    </fill>
    <fill>
      <patternFill patternType="solid">
        <fgColor rgb="FFFFFFFF"/>
        <bgColor rgb="FFFFF8DC"/>
      </patternFill>
    </fill>
    <fill>
      <patternFill patternType="solid">
        <fgColor rgb="FFDEEAF1"/>
        <bgColor rgb="FFE8EAF6"/>
      </patternFill>
    </fill>
    <fill>
      <patternFill patternType="solid">
        <fgColor rgb="FF283593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70AD47"/>
        <bgColor rgb="FF339966"/>
      </patternFill>
    </fill>
    <fill>
      <patternFill patternType="solid">
        <fgColor rgb="FFFFF8DC"/>
        <bgColor rgb="FFFFF2CC"/>
      </patternFill>
    </fill>
    <fill>
      <patternFill patternType="solid">
        <fgColor rgb="FFE2D9F3"/>
        <bgColor rgb="FFDEEAF1"/>
      </patternFill>
    </fill>
    <fill>
      <patternFill patternType="solid">
        <fgColor rgb="FFE0F2F1"/>
        <bgColor rgb="FFDEEA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E2D9F3"/>
      <rgbColor rgb="FFE8EAF6"/>
      <rgbColor rgb="FFDEEAF1"/>
      <rgbColor rgb="FFFCE4D6"/>
      <rgbColor rgb="FF2E75B6"/>
      <rgbColor rgb="FF33CCCC"/>
      <rgbColor rgb="FF99CC00"/>
      <rgbColor rgb="FFFFCC00"/>
      <rgbColor rgb="FFBF8F00"/>
      <rgbColor rgb="FFC55A11"/>
      <rgbColor rgb="FF595959"/>
      <rgbColor rgb="FF70AD47"/>
      <rgbColor rgb="FF1F3864"/>
      <rgbColor rgb="FF339966"/>
      <rgbColor rgb="FF003300"/>
      <rgbColor rgb="FF375623"/>
      <rgbColor rgb="FF993300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5" min="3" style="0" width="7"/>
    <col collapsed="false" customWidth="true" hidden="false" outlineLevel="0" max="6" min="6" style="0" width="10"/>
    <col collapsed="false" customWidth="true" hidden="false" outlineLevel="0" max="10" min="7" style="0" width="22"/>
    <col collapsed="false" customWidth="true" hidden="false" outlineLevel="0" max="11" min="11" style="0" width="18"/>
    <col collapsed="false" customWidth="true" hidden="false" outlineLevel="0" max="12" min="12" style="0" width="8"/>
    <col collapsed="false" customWidth="true" hidden="false" outlineLevel="0" max="13" min="13" style="0" width="20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8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8" hidden="false" customHeight="true" outlineLevel="0" collapsed="false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Format="false" ht="6" hidden="false" customHeight="true" outlineLevel="0" collapsed="false"/>
    <row r="9" customFormat="false" ht="25.5" hidden="false" customHeight="true" outlineLevel="0" collapsed="false">
      <c r="A9" s="7" t="s">
        <v>6</v>
      </c>
      <c r="B9" s="7"/>
      <c r="C9" s="8" t="s">
        <v>7</v>
      </c>
      <c r="D9" s="9" t="s">
        <v>8</v>
      </c>
      <c r="E9" s="10" t="s">
        <v>9</v>
      </c>
      <c r="F9" s="11" t="s">
        <v>10</v>
      </c>
      <c r="G9" s="12" t="s">
        <v>11</v>
      </c>
      <c r="H9" s="12"/>
      <c r="I9" s="12"/>
      <c r="J9" s="12"/>
      <c r="K9" s="12"/>
      <c r="L9" s="12"/>
      <c r="M9" s="12"/>
    </row>
    <row r="10" customFormat="false" ht="6" hidden="false" customHeight="true" outlineLevel="0" collapsed="false"/>
    <row r="11" customFormat="false" ht="27.75" hidden="false" customHeight="true" outlineLevel="0" collapsed="false">
      <c r="A11" s="13" t="s">
        <v>12</v>
      </c>
      <c r="B11" s="13" t="s">
        <v>13</v>
      </c>
      <c r="C11" s="14" t="s">
        <v>14</v>
      </c>
      <c r="D11" s="14" t="s">
        <v>15</v>
      </c>
      <c r="E11" s="14" t="s">
        <v>16</v>
      </c>
      <c r="F11" s="15" t="s">
        <v>17</v>
      </c>
      <c r="G11" s="16" t="s">
        <v>18</v>
      </c>
      <c r="H11" s="15" t="s">
        <v>19</v>
      </c>
      <c r="I11" s="17" t="s">
        <v>20</v>
      </c>
      <c r="J11" s="18" t="s">
        <v>21</v>
      </c>
      <c r="K11" s="19" t="s">
        <v>22</v>
      </c>
      <c r="L11" s="16" t="s">
        <v>23</v>
      </c>
      <c r="M11" s="20" t="s">
        <v>24</v>
      </c>
    </row>
    <row r="12" customFormat="false" ht="51.75" hidden="false" customHeight="true" outlineLevel="0" collapsed="false">
      <c r="A12" s="21" t="n">
        <v>1</v>
      </c>
      <c r="B12" s="22" t="s">
        <v>25</v>
      </c>
      <c r="C12" s="23" t="n">
        <v>5</v>
      </c>
      <c r="D12" s="24" t="n">
        <v>0.15</v>
      </c>
      <c r="E12" s="23" t="n">
        <v>15</v>
      </c>
      <c r="F12" s="25" t="s">
        <v>26</v>
      </c>
      <c r="G12" s="26" t="s">
        <v>27</v>
      </c>
      <c r="H12" s="27" t="s">
        <v>28</v>
      </c>
      <c r="I12" s="28" t="s">
        <v>29</v>
      </c>
      <c r="J12" s="29" t="s">
        <v>30</v>
      </c>
      <c r="K12" s="30" t="s">
        <v>31</v>
      </c>
      <c r="L12" s="31" t="s">
        <v>32</v>
      </c>
      <c r="M12" s="32" t="s">
        <v>33</v>
      </c>
    </row>
    <row r="13" customFormat="false" ht="51.75" hidden="false" customHeight="true" outlineLevel="0" collapsed="false">
      <c r="A13" s="21" t="n">
        <v>2</v>
      </c>
      <c r="B13" s="33" t="s">
        <v>34</v>
      </c>
      <c r="C13" s="23" t="n">
        <v>10</v>
      </c>
      <c r="D13" s="24" t="n">
        <v>0.2</v>
      </c>
      <c r="E13" s="23" t="n">
        <v>20</v>
      </c>
      <c r="F13" s="25" t="s">
        <v>35</v>
      </c>
      <c r="G13" s="26" t="s">
        <v>36</v>
      </c>
      <c r="H13" s="27" t="s">
        <v>37</v>
      </c>
      <c r="I13" s="28" t="s">
        <v>38</v>
      </c>
      <c r="J13" s="29" t="s">
        <v>39</v>
      </c>
      <c r="K13" s="30" t="s">
        <v>40</v>
      </c>
      <c r="L13" s="31" t="s">
        <v>41</v>
      </c>
      <c r="M13" s="32" t="s">
        <v>42</v>
      </c>
    </row>
    <row r="14" customFormat="false" ht="51.75" hidden="false" customHeight="true" outlineLevel="0" collapsed="false">
      <c r="A14" s="21" t="n">
        <v>3</v>
      </c>
      <c r="B14" s="22" t="s">
        <v>43</v>
      </c>
      <c r="C14" s="23" t="n">
        <v>5</v>
      </c>
      <c r="D14" s="24" t="n">
        <v>0.15</v>
      </c>
      <c r="E14" s="23" t="n">
        <v>15</v>
      </c>
      <c r="F14" s="25" t="s">
        <v>44</v>
      </c>
      <c r="G14" s="26" t="s">
        <v>45</v>
      </c>
      <c r="H14" s="27" t="s">
        <v>46</v>
      </c>
      <c r="I14" s="28" t="s">
        <v>47</v>
      </c>
      <c r="J14" s="29" t="s">
        <v>48</v>
      </c>
      <c r="K14" s="30" t="s">
        <v>43</v>
      </c>
      <c r="L14" s="31" t="s">
        <v>49</v>
      </c>
      <c r="M14" s="32" t="s">
        <v>50</v>
      </c>
    </row>
    <row r="15" customFormat="false" ht="51.75" hidden="false" customHeight="true" outlineLevel="0" collapsed="false">
      <c r="A15" s="21" t="n">
        <v>4</v>
      </c>
      <c r="B15" s="33" t="s">
        <v>51</v>
      </c>
      <c r="C15" s="23" t="n">
        <v>5</v>
      </c>
      <c r="D15" s="24" t="n">
        <v>0.1</v>
      </c>
      <c r="E15" s="23" t="n">
        <v>10</v>
      </c>
      <c r="F15" s="25" t="s">
        <v>52</v>
      </c>
      <c r="G15" s="26" t="s">
        <v>53</v>
      </c>
      <c r="H15" s="27" t="s">
        <v>54</v>
      </c>
      <c r="I15" s="28" t="s">
        <v>55</v>
      </c>
      <c r="J15" s="29" t="s">
        <v>56</v>
      </c>
      <c r="K15" s="30" t="s">
        <v>57</v>
      </c>
      <c r="L15" s="31" t="s">
        <v>58</v>
      </c>
      <c r="M15" s="32" t="s">
        <v>59</v>
      </c>
    </row>
    <row r="16" customFormat="false" ht="51.75" hidden="false" customHeight="true" outlineLevel="0" collapsed="false">
      <c r="A16" s="21" t="n">
        <v>5</v>
      </c>
      <c r="B16" s="22" t="s">
        <v>60</v>
      </c>
      <c r="C16" s="23" t="n">
        <v>10</v>
      </c>
      <c r="D16" s="24" t="n">
        <v>0.25</v>
      </c>
      <c r="E16" s="23" t="n">
        <v>25</v>
      </c>
      <c r="F16" s="25" t="s">
        <v>35</v>
      </c>
      <c r="G16" s="26" t="s">
        <v>61</v>
      </c>
      <c r="H16" s="27" t="s">
        <v>62</v>
      </c>
      <c r="I16" s="28" t="s">
        <v>63</v>
      </c>
      <c r="J16" s="29" t="s">
        <v>64</v>
      </c>
      <c r="K16" s="30" t="s">
        <v>65</v>
      </c>
      <c r="L16" s="31" t="s">
        <v>66</v>
      </c>
      <c r="M16" s="32" t="s">
        <v>67</v>
      </c>
    </row>
    <row r="17" customFormat="false" ht="51.75" hidden="false" customHeight="true" outlineLevel="0" collapsed="false">
      <c r="A17" s="21" t="n">
        <v>6</v>
      </c>
      <c r="B17" s="33" t="s">
        <v>68</v>
      </c>
      <c r="C17" s="23" t="n">
        <v>5</v>
      </c>
      <c r="D17" s="24" t="n">
        <v>0.15</v>
      </c>
      <c r="E17" s="23" t="n">
        <v>15</v>
      </c>
      <c r="F17" s="25" t="s">
        <v>69</v>
      </c>
      <c r="G17" s="26" t="s">
        <v>70</v>
      </c>
      <c r="H17" s="27" t="s">
        <v>71</v>
      </c>
      <c r="I17" s="28" t="s">
        <v>72</v>
      </c>
      <c r="J17" s="29" t="s">
        <v>73</v>
      </c>
      <c r="K17" s="30" t="s">
        <v>74</v>
      </c>
      <c r="L17" s="31" t="s">
        <v>75</v>
      </c>
      <c r="M17" s="32" t="s">
        <v>76</v>
      </c>
    </row>
    <row r="18" customFormat="false" ht="21.75" hidden="false" customHeight="true" outlineLevel="0" collapsed="false">
      <c r="A18" s="3" t="s">
        <v>77</v>
      </c>
      <c r="B18" s="3"/>
      <c r="C18" s="34" t="s">
        <v>78</v>
      </c>
      <c r="D18" s="34" t="s">
        <v>79</v>
      </c>
      <c r="E18" s="34" t="s">
        <v>80</v>
      </c>
      <c r="F18" s="35"/>
      <c r="G18" s="35"/>
      <c r="H18" s="35"/>
      <c r="I18" s="35"/>
      <c r="J18" s="35"/>
      <c r="K18" s="35"/>
      <c r="L18" s="35"/>
      <c r="M18" s="35"/>
    </row>
    <row r="20" customFormat="false" ht="21.75" hidden="false" customHeight="true" outlineLevel="0" collapsed="false">
      <c r="A20" s="36" t="s">
        <v>81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customFormat="false" ht="19.5" hidden="false" customHeight="true" outlineLevel="0" collapsed="false">
      <c r="A21" s="37" t="s">
        <v>23</v>
      </c>
      <c r="B21" s="37" t="s">
        <v>82</v>
      </c>
      <c r="C21" s="37" t="s">
        <v>17</v>
      </c>
      <c r="D21" s="37" t="s">
        <v>83</v>
      </c>
      <c r="E21" s="37" t="s">
        <v>84</v>
      </c>
      <c r="F21" s="38" t="s">
        <v>84</v>
      </c>
      <c r="G21" s="38"/>
      <c r="H21" s="38"/>
      <c r="I21" s="38"/>
      <c r="J21" s="38"/>
      <c r="K21" s="38"/>
      <c r="L21" s="38"/>
      <c r="M21" s="38"/>
    </row>
    <row r="22" customFormat="false" ht="19.5" hidden="false" customHeight="true" outlineLevel="0" collapsed="false">
      <c r="A22" s="21" t="s">
        <v>41</v>
      </c>
      <c r="B22" s="39" t="s">
        <v>85</v>
      </c>
      <c r="C22" s="25" t="s">
        <v>86</v>
      </c>
      <c r="D22" s="40" t="s">
        <v>87</v>
      </c>
      <c r="E22" s="41" t="s">
        <v>34</v>
      </c>
      <c r="F22" s="41"/>
      <c r="G22" s="41"/>
      <c r="H22" s="41"/>
      <c r="I22" s="41"/>
      <c r="J22" s="41"/>
      <c r="K22" s="41"/>
      <c r="L22" s="41"/>
      <c r="M22" s="41"/>
    </row>
    <row r="23" customFormat="false" ht="19.5" hidden="false" customHeight="true" outlineLevel="0" collapsed="false">
      <c r="A23" s="21" t="s">
        <v>66</v>
      </c>
      <c r="B23" s="42" t="s">
        <v>88</v>
      </c>
      <c r="C23" s="25" t="s">
        <v>89</v>
      </c>
      <c r="D23" s="43" t="s">
        <v>90</v>
      </c>
      <c r="E23" s="41" t="s">
        <v>60</v>
      </c>
      <c r="F23" s="41"/>
      <c r="G23" s="41"/>
      <c r="H23" s="41"/>
      <c r="I23" s="41"/>
      <c r="J23" s="41"/>
      <c r="K23" s="41"/>
      <c r="L23" s="41"/>
      <c r="M23" s="41"/>
    </row>
    <row r="24" customFormat="false" ht="19.5" hidden="false" customHeight="true" outlineLevel="0" collapsed="false">
      <c r="A24" s="21" t="s">
        <v>49</v>
      </c>
      <c r="B24" s="39" t="s">
        <v>91</v>
      </c>
      <c r="C24" s="25" t="s">
        <v>92</v>
      </c>
      <c r="D24" s="40" t="s">
        <v>93</v>
      </c>
      <c r="E24" s="41" t="s">
        <v>43</v>
      </c>
      <c r="F24" s="41"/>
      <c r="G24" s="41"/>
      <c r="H24" s="41"/>
      <c r="I24" s="41"/>
      <c r="J24" s="41"/>
      <c r="K24" s="41"/>
      <c r="L24" s="41"/>
      <c r="M24" s="41"/>
    </row>
    <row r="25" customFormat="false" ht="19.5" hidden="false" customHeight="true" outlineLevel="0" collapsed="false">
      <c r="A25" s="21" t="s">
        <v>32</v>
      </c>
      <c r="B25" s="42" t="s">
        <v>94</v>
      </c>
      <c r="C25" s="25" t="s">
        <v>95</v>
      </c>
      <c r="D25" s="43" t="s">
        <v>96</v>
      </c>
      <c r="E25" s="41" t="s">
        <v>25</v>
      </c>
      <c r="F25" s="41"/>
      <c r="G25" s="41"/>
      <c r="H25" s="41"/>
      <c r="I25" s="41"/>
      <c r="J25" s="41"/>
      <c r="K25" s="41"/>
      <c r="L25" s="41"/>
      <c r="M25" s="41"/>
    </row>
    <row r="26" customFormat="false" ht="19.5" hidden="false" customHeight="true" outlineLevel="0" collapsed="false">
      <c r="A26" s="21" t="s">
        <v>58</v>
      </c>
      <c r="B26" s="39" t="s">
        <v>97</v>
      </c>
      <c r="C26" s="25" t="s">
        <v>86</v>
      </c>
      <c r="D26" s="40" t="s">
        <v>98</v>
      </c>
      <c r="E26" s="41" t="s">
        <v>51</v>
      </c>
      <c r="F26" s="41"/>
      <c r="G26" s="41"/>
      <c r="H26" s="41"/>
      <c r="I26" s="41"/>
      <c r="J26" s="41"/>
      <c r="K26" s="41"/>
      <c r="L26" s="41"/>
      <c r="M26" s="41"/>
    </row>
    <row r="27" customFormat="false" ht="19.5" hidden="false" customHeight="true" outlineLevel="0" collapsed="false">
      <c r="A27" s="21" t="s">
        <v>75</v>
      </c>
      <c r="B27" s="42" t="s">
        <v>99</v>
      </c>
      <c r="C27" s="25" t="s">
        <v>100</v>
      </c>
      <c r="D27" s="43" t="s">
        <v>101</v>
      </c>
      <c r="E27" s="41" t="s">
        <v>68</v>
      </c>
      <c r="F27" s="41"/>
      <c r="G27" s="41"/>
      <c r="H27" s="41"/>
      <c r="I27" s="41"/>
      <c r="J27" s="41"/>
      <c r="K27" s="41"/>
      <c r="L27" s="41"/>
      <c r="M27" s="41"/>
    </row>
  </sheetData>
  <mergeCells count="17">
    <mergeCell ref="A1:M1"/>
    <mergeCell ref="A2:M2"/>
    <mergeCell ref="A4:M4"/>
    <mergeCell ref="A5:M5"/>
    <mergeCell ref="A6:M6"/>
    <mergeCell ref="A7:M7"/>
    <mergeCell ref="A9:B9"/>
    <mergeCell ref="G9:M9"/>
    <mergeCell ref="A18:B18"/>
    <mergeCell ref="A20:M20"/>
    <mergeCell ref="F21:M21"/>
    <mergeCell ref="E22:M22"/>
    <mergeCell ref="E23:M23"/>
    <mergeCell ref="E24:M24"/>
    <mergeCell ref="E25:M25"/>
    <mergeCell ref="E26:M26"/>
    <mergeCell ref="E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10" min="5" style="0" width="16"/>
  </cols>
  <sheetData>
    <row r="1" customFormat="false" ht="43.5" hidden="false" customHeight="true" outlineLevel="0" collapsed="false">
      <c r="A1" s="44" t="s">
        <v>102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3.5" hidden="false" customHeight="true" outlineLevel="0" collapsed="false">
      <c r="A2" s="45" t="s">
        <v>103</v>
      </c>
      <c r="B2" s="45"/>
      <c r="C2" s="45"/>
      <c r="D2" s="45"/>
      <c r="E2" s="45"/>
      <c r="F2" s="45"/>
      <c r="G2" s="45"/>
      <c r="H2" s="45"/>
      <c r="I2" s="45"/>
      <c r="J2" s="45"/>
    </row>
    <row r="3" customFormat="false" ht="7.5" hidden="false" customHeight="true" outlineLevel="0" collapsed="false"/>
    <row r="4" customFormat="false" ht="21.75" hidden="false" customHeight="true" outlineLevel="0" collapsed="false">
      <c r="A4" s="13" t="s">
        <v>12</v>
      </c>
      <c r="B4" s="13" t="s">
        <v>104</v>
      </c>
      <c r="C4" s="13" t="s">
        <v>105</v>
      </c>
      <c r="D4" s="13" t="s">
        <v>106</v>
      </c>
      <c r="E4" s="13" t="s">
        <v>107</v>
      </c>
      <c r="F4" s="37" t="s">
        <v>108</v>
      </c>
      <c r="G4" s="37"/>
      <c r="H4" s="37"/>
      <c r="I4" s="37"/>
      <c r="J4" s="37"/>
    </row>
    <row r="5" customFormat="false" ht="21.75" hidden="false" customHeight="true" outlineLevel="0" collapsed="false">
      <c r="A5" s="46" t="n">
        <v>1</v>
      </c>
      <c r="B5" s="47" t="s">
        <v>109</v>
      </c>
      <c r="C5" s="48" t="s">
        <v>110</v>
      </c>
      <c r="D5" s="46" t="s">
        <v>111</v>
      </c>
      <c r="E5" s="46" t="s">
        <v>112</v>
      </c>
      <c r="F5" s="49" t="s">
        <v>113</v>
      </c>
      <c r="G5" s="49"/>
      <c r="H5" s="49"/>
      <c r="I5" s="49"/>
      <c r="J5" s="49"/>
    </row>
    <row r="6" customFormat="false" ht="21.75" hidden="false" customHeight="true" outlineLevel="0" collapsed="false">
      <c r="A6" s="50" t="n">
        <v>2</v>
      </c>
      <c r="B6" s="51" t="s">
        <v>114</v>
      </c>
      <c r="C6" s="52" t="s">
        <v>115</v>
      </c>
      <c r="D6" s="50" t="s">
        <v>116</v>
      </c>
      <c r="E6" s="50" t="s">
        <v>117</v>
      </c>
      <c r="F6" s="53" t="s">
        <v>118</v>
      </c>
      <c r="G6" s="53"/>
      <c r="H6" s="53"/>
      <c r="I6" s="53"/>
      <c r="J6" s="53"/>
    </row>
    <row r="7" customFormat="false" ht="21.75" hidden="false" customHeight="true" outlineLevel="0" collapsed="false">
      <c r="A7" s="46" t="n">
        <v>3</v>
      </c>
      <c r="B7" s="47" t="s">
        <v>119</v>
      </c>
      <c r="C7" s="48" t="s">
        <v>120</v>
      </c>
      <c r="D7" s="46" t="s">
        <v>121</v>
      </c>
      <c r="E7" s="46" t="s">
        <v>122</v>
      </c>
      <c r="F7" s="49" t="s">
        <v>123</v>
      </c>
      <c r="G7" s="49"/>
      <c r="H7" s="49"/>
      <c r="I7" s="49"/>
      <c r="J7" s="49"/>
    </row>
    <row r="8" customFormat="false" ht="21.75" hidden="false" customHeight="true" outlineLevel="0" collapsed="false">
      <c r="A8" s="50" t="n">
        <v>4</v>
      </c>
      <c r="B8" s="51" t="s">
        <v>124</v>
      </c>
      <c r="C8" s="52" t="s">
        <v>125</v>
      </c>
      <c r="D8" s="50" t="s">
        <v>126</v>
      </c>
      <c r="E8" s="50" t="s">
        <v>112</v>
      </c>
      <c r="F8" s="53" t="s">
        <v>127</v>
      </c>
      <c r="G8" s="53"/>
      <c r="H8" s="53"/>
      <c r="I8" s="53"/>
      <c r="J8" s="53"/>
    </row>
    <row r="9" customFormat="false" ht="21.75" hidden="false" customHeight="true" outlineLevel="0" collapsed="false">
      <c r="A9" s="46" t="n">
        <v>5</v>
      </c>
      <c r="B9" s="47" t="s">
        <v>128</v>
      </c>
      <c r="C9" s="48" t="s">
        <v>129</v>
      </c>
      <c r="D9" s="46" t="s">
        <v>130</v>
      </c>
      <c r="E9" s="46" t="s">
        <v>117</v>
      </c>
      <c r="F9" s="49" t="s">
        <v>131</v>
      </c>
      <c r="G9" s="49"/>
      <c r="H9" s="49"/>
      <c r="I9" s="49"/>
      <c r="J9" s="49"/>
    </row>
    <row r="10" customFormat="false" ht="21.75" hidden="false" customHeight="true" outlineLevel="0" collapsed="false">
      <c r="A10" s="50" t="n">
        <v>6</v>
      </c>
      <c r="B10" s="51" t="s">
        <v>132</v>
      </c>
      <c r="C10" s="52" t="s">
        <v>133</v>
      </c>
      <c r="D10" s="50" t="s">
        <v>134</v>
      </c>
      <c r="E10" s="50" t="s">
        <v>122</v>
      </c>
      <c r="F10" s="53" t="s">
        <v>135</v>
      </c>
      <c r="G10" s="53"/>
      <c r="H10" s="53"/>
      <c r="I10" s="53"/>
      <c r="J10" s="53"/>
    </row>
    <row r="11" customFormat="false" ht="21.75" hidden="false" customHeight="true" outlineLevel="0" collapsed="false">
      <c r="A11" s="46" t="n">
        <v>7</v>
      </c>
      <c r="B11" s="47" t="s">
        <v>136</v>
      </c>
      <c r="C11" s="48" t="s">
        <v>137</v>
      </c>
      <c r="D11" s="46" t="s">
        <v>138</v>
      </c>
      <c r="E11" s="46" t="s">
        <v>112</v>
      </c>
      <c r="F11" s="49" t="s">
        <v>139</v>
      </c>
      <c r="G11" s="49"/>
      <c r="H11" s="49"/>
      <c r="I11" s="49"/>
      <c r="J11" s="49"/>
    </row>
    <row r="12" customFormat="false" ht="21.75" hidden="false" customHeight="true" outlineLevel="0" collapsed="false">
      <c r="A12" s="50" t="n">
        <v>8</v>
      </c>
      <c r="B12" s="51" t="s">
        <v>140</v>
      </c>
      <c r="C12" s="52" t="s">
        <v>141</v>
      </c>
      <c r="D12" s="50" t="s">
        <v>142</v>
      </c>
      <c r="E12" s="50" t="s">
        <v>143</v>
      </c>
      <c r="F12" s="53" t="s">
        <v>144</v>
      </c>
      <c r="G12" s="53"/>
      <c r="H12" s="53"/>
      <c r="I12" s="53"/>
      <c r="J12" s="53"/>
    </row>
    <row r="13" customFormat="false" ht="21.75" hidden="false" customHeight="true" outlineLevel="0" collapsed="false">
      <c r="A13" s="46" t="n">
        <v>9</v>
      </c>
      <c r="B13" s="47" t="s">
        <v>145</v>
      </c>
      <c r="C13" s="48" t="s">
        <v>146</v>
      </c>
      <c r="D13" s="46" t="s">
        <v>147</v>
      </c>
      <c r="E13" s="46" t="s">
        <v>117</v>
      </c>
      <c r="F13" s="49" t="s">
        <v>148</v>
      </c>
      <c r="G13" s="49"/>
      <c r="H13" s="49"/>
      <c r="I13" s="49"/>
      <c r="J13" s="49"/>
    </row>
    <row r="14" customFormat="false" ht="21.75" hidden="false" customHeight="true" outlineLevel="0" collapsed="false">
      <c r="A14" s="50" t="n">
        <v>10</v>
      </c>
      <c r="B14" s="51" t="s">
        <v>149</v>
      </c>
      <c r="C14" s="52" t="s">
        <v>150</v>
      </c>
      <c r="D14" s="50" t="s">
        <v>151</v>
      </c>
      <c r="E14" s="50" t="s">
        <v>122</v>
      </c>
      <c r="F14" s="53" t="s">
        <v>152</v>
      </c>
      <c r="G14" s="53"/>
      <c r="H14" s="53"/>
      <c r="I14" s="53"/>
      <c r="J14" s="53"/>
    </row>
    <row r="15" customFormat="false" ht="21.75" hidden="false" customHeight="true" outlineLevel="0" collapsed="false">
      <c r="A15" s="46" t="n">
        <v>11</v>
      </c>
      <c r="B15" s="47" t="s">
        <v>153</v>
      </c>
      <c r="C15" s="48" t="s">
        <v>154</v>
      </c>
      <c r="D15" s="46" t="s">
        <v>155</v>
      </c>
      <c r="E15" s="46" t="s">
        <v>112</v>
      </c>
      <c r="F15" s="49" t="s">
        <v>156</v>
      </c>
      <c r="G15" s="49"/>
      <c r="H15" s="49"/>
      <c r="I15" s="49"/>
      <c r="J15" s="49"/>
    </row>
    <row r="16" customFormat="false" ht="21.75" hidden="false" customHeight="true" outlineLevel="0" collapsed="false">
      <c r="A16" s="50" t="n">
        <v>12</v>
      </c>
      <c r="B16" s="51" t="s">
        <v>157</v>
      </c>
      <c r="C16" s="52" t="s">
        <v>158</v>
      </c>
      <c r="D16" s="50" t="s">
        <v>159</v>
      </c>
      <c r="E16" s="50" t="s">
        <v>143</v>
      </c>
      <c r="F16" s="53" t="s">
        <v>160</v>
      </c>
      <c r="G16" s="53"/>
      <c r="H16" s="53"/>
      <c r="I16" s="53"/>
      <c r="J16" s="53"/>
    </row>
    <row r="17" customFormat="false" ht="21.75" hidden="false" customHeight="true" outlineLevel="0" collapsed="false">
      <c r="A17" s="46" t="n">
        <v>13</v>
      </c>
      <c r="B17" s="47" t="s">
        <v>161</v>
      </c>
      <c r="C17" s="48" t="s">
        <v>162</v>
      </c>
      <c r="D17" s="46" t="s">
        <v>163</v>
      </c>
      <c r="E17" s="46" t="s">
        <v>117</v>
      </c>
      <c r="F17" s="49" t="s">
        <v>164</v>
      </c>
      <c r="G17" s="49"/>
      <c r="H17" s="49"/>
      <c r="I17" s="49"/>
      <c r="J17" s="49"/>
    </row>
    <row r="18" customFormat="false" ht="21.75" hidden="false" customHeight="true" outlineLevel="0" collapsed="false">
      <c r="A18" s="50" t="n">
        <v>14</v>
      </c>
      <c r="B18" s="51" t="s">
        <v>165</v>
      </c>
      <c r="C18" s="52" t="s">
        <v>166</v>
      </c>
      <c r="D18" s="50" t="s">
        <v>167</v>
      </c>
      <c r="E18" s="50" t="s">
        <v>122</v>
      </c>
      <c r="F18" s="53" t="s">
        <v>168</v>
      </c>
      <c r="G18" s="53"/>
      <c r="H18" s="53"/>
      <c r="I18" s="53"/>
      <c r="J18" s="53"/>
    </row>
    <row r="19" customFormat="false" ht="21.75" hidden="false" customHeight="true" outlineLevel="0" collapsed="false">
      <c r="A19" s="46" t="n">
        <v>15</v>
      </c>
      <c r="B19" s="47" t="s">
        <v>169</v>
      </c>
      <c r="C19" s="48" t="s">
        <v>170</v>
      </c>
      <c r="D19" s="46" t="s">
        <v>171</v>
      </c>
      <c r="E19" s="46" t="s">
        <v>112</v>
      </c>
      <c r="F19" s="49" t="s">
        <v>172</v>
      </c>
      <c r="G19" s="49"/>
      <c r="H19" s="49"/>
      <c r="I19" s="49"/>
      <c r="J19" s="49"/>
    </row>
    <row r="20" customFormat="false" ht="21.75" hidden="false" customHeight="true" outlineLevel="0" collapsed="false">
      <c r="A20" s="50" t="n">
        <v>16</v>
      </c>
      <c r="B20" s="51" t="s">
        <v>173</v>
      </c>
      <c r="C20" s="52" t="s">
        <v>174</v>
      </c>
      <c r="D20" s="50" t="s">
        <v>175</v>
      </c>
      <c r="E20" s="50" t="s">
        <v>143</v>
      </c>
      <c r="F20" s="53" t="s">
        <v>176</v>
      </c>
      <c r="G20" s="53"/>
      <c r="H20" s="53"/>
      <c r="I20" s="53"/>
      <c r="J20" s="53"/>
    </row>
    <row r="21" customFormat="false" ht="21.75" hidden="false" customHeight="true" outlineLevel="0" collapsed="false">
      <c r="A21" s="46" t="n">
        <v>17</v>
      </c>
      <c r="B21" s="47" t="s">
        <v>177</v>
      </c>
      <c r="C21" s="48" t="s">
        <v>178</v>
      </c>
      <c r="D21" s="46" t="s">
        <v>179</v>
      </c>
      <c r="E21" s="46" t="s">
        <v>117</v>
      </c>
      <c r="F21" s="49" t="s">
        <v>180</v>
      </c>
      <c r="G21" s="49"/>
      <c r="H21" s="49"/>
      <c r="I21" s="49"/>
      <c r="J21" s="49"/>
    </row>
    <row r="22" customFormat="false" ht="21.75" hidden="false" customHeight="true" outlineLevel="0" collapsed="false">
      <c r="A22" s="50" t="n">
        <v>18</v>
      </c>
      <c r="B22" s="51" t="s">
        <v>181</v>
      </c>
      <c r="C22" s="52" t="s">
        <v>182</v>
      </c>
      <c r="D22" s="50" t="s">
        <v>183</v>
      </c>
      <c r="E22" s="50" t="s">
        <v>122</v>
      </c>
      <c r="F22" s="53" t="s">
        <v>184</v>
      </c>
      <c r="G22" s="53"/>
      <c r="H22" s="53"/>
      <c r="I22" s="53"/>
      <c r="J22" s="53"/>
    </row>
    <row r="23" customFormat="false" ht="21.75" hidden="false" customHeight="true" outlineLevel="0" collapsed="false">
      <c r="A23" s="46" t="n">
        <v>19</v>
      </c>
      <c r="B23" s="47" t="s">
        <v>185</v>
      </c>
      <c r="C23" s="48" t="s">
        <v>186</v>
      </c>
      <c r="D23" s="46" t="s">
        <v>187</v>
      </c>
      <c r="E23" s="46" t="s">
        <v>112</v>
      </c>
      <c r="F23" s="49" t="s">
        <v>188</v>
      </c>
      <c r="G23" s="49"/>
      <c r="H23" s="49"/>
      <c r="I23" s="49"/>
      <c r="J23" s="49"/>
    </row>
    <row r="24" customFormat="false" ht="21.75" hidden="false" customHeight="true" outlineLevel="0" collapsed="false">
      <c r="A24" s="50" t="n">
        <v>20</v>
      </c>
      <c r="B24" s="51" t="s">
        <v>189</v>
      </c>
      <c r="C24" s="52" t="s">
        <v>190</v>
      </c>
      <c r="D24" s="50" t="s">
        <v>191</v>
      </c>
      <c r="E24" s="50" t="s">
        <v>143</v>
      </c>
      <c r="F24" s="53" t="s">
        <v>192</v>
      </c>
      <c r="G24" s="53"/>
      <c r="H24" s="53"/>
      <c r="I24" s="53"/>
      <c r="J24" s="53"/>
    </row>
  </sheetData>
  <mergeCells count="23">
    <mergeCell ref="A1:J1"/>
    <mergeCell ref="A2:J2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F13:J13"/>
    <mergeCell ref="F14:J14"/>
    <mergeCell ref="F15:J15"/>
    <mergeCell ref="F16:J16"/>
    <mergeCell ref="F17:J17"/>
    <mergeCell ref="F18:J18"/>
    <mergeCell ref="F19:J19"/>
    <mergeCell ref="F20:J20"/>
    <mergeCell ref="F21:J21"/>
    <mergeCell ref="F22:J22"/>
    <mergeCell ref="F23:J23"/>
    <mergeCell ref="F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9"/>
    <col collapsed="false" customWidth="true" hidden="false" outlineLevel="0" max="21" min="21" style="0" width="42"/>
  </cols>
  <sheetData>
    <row r="1" customFormat="false" ht="43.5" hidden="false" customHeight="true" outlineLevel="0" collapsed="false">
      <c r="A1" s="54" t="s">
        <v>193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customFormat="false" ht="15.75" hidden="false" customHeight="true" outlineLevel="0" collapsed="false">
      <c r="A2" s="45" t="s">
        <v>194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customFormat="false" ht="7.5" hidden="false" customHeight="true" outlineLevel="0" collapsed="false"/>
    <row r="4" customFormat="false" ht="19.5" hidden="false" customHeight="true" outlineLevel="0" collapsed="false">
      <c r="A4" s="55" t="s">
        <v>195</v>
      </c>
      <c r="B4" s="56" t="s">
        <v>196</v>
      </c>
      <c r="C4" s="55" t="s">
        <v>197</v>
      </c>
      <c r="D4" s="56"/>
    </row>
    <row r="5" customFormat="false" ht="18" hidden="false" customHeight="true" outlineLevel="0" collapsed="false">
      <c r="A5" s="55" t="s">
        <v>198</v>
      </c>
      <c r="B5" s="56" t="s">
        <v>199</v>
      </c>
      <c r="C5" s="55" t="s">
        <v>200</v>
      </c>
      <c r="D5" s="56" t="s">
        <v>201</v>
      </c>
    </row>
    <row r="6" customFormat="false" ht="7.5" hidden="false" customHeight="true" outlineLevel="0" collapsed="false"/>
    <row r="7" customFormat="false" ht="19.5" hidden="false" customHeight="true" outlineLevel="0" collapsed="false">
      <c r="A7" s="38" t="s">
        <v>202</v>
      </c>
      <c r="B7" s="38"/>
      <c r="C7" s="38"/>
      <c r="D7" s="57" t="s">
        <v>203</v>
      </c>
      <c r="E7" s="58" t="s">
        <v>204</v>
      </c>
      <c r="F7" s="59" t="s">
        <v>205</v>
      </c>
      <c r="G7" s="60" t="s">
        <v>206</v>
      </c>
      <c r="H7" s="61" t="s">
        <v>207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</row>
    <row r="9" customFormat="false" ht="27.75" hidden="false" customHeight="true" outlineLevel="0" collapsed="false">
      <c r="A9" s="62" t="s">
        <v>208</v>
      </c>
      <c r="B9" s="62"/>
      <c r="C9" s="62"/>
      <c r="D9" s="63" t="s">
        <v>209</v>
      </c>
      <c r="E9" s="63"/>
      <c r="F9" s="63" t="s">
        <v>210</v>
      </c>
      <c r="G9" s="63"/>
      <c r="H9" s="63" t="s">
        <v>211</v>
      </c>
      <c r="I9" s="63"/>
      <c r="J9" s="63" t="s">
        <v>212</v>
      </c>
      <c r="K9" s="63"/>
      <c r="L9" s="63" t="s">
        <v>213</v>
      </c>
      <c r="M9" s="63"/>
      <c r="N9" s="63" t="s">
        <v>214</v>
      </c>
      <c r="O9" s="63"/>
      <c r="P9" s="64" t="s">
        <v>215</v>
      </c>
      <c r="Q9" s="65" t="s">
        <v>216</v>
      </c>
      <c r="R9" s="66" t="s">
        <v>217</v>
      </c>
      <c r="S9" s="67" t="s">
        <v>218</v>
      </c>
      <c r="T9" s="68" t="s">
        <v>219</v>
      </c>
      <c r="U9" s="69" t="s">
        <v>220</v>
      </c>
    </row>
    <row r="10" customFormat="false" ht="21.75" hidden="false" customHeight="true" outlineLevel="0" collapsed="false">
      <c r="A10" s="62"/>
      <c r="B10" s="62"/>
      <c r="C10" s="62"/>
      <c r="D10" s="15" t="s">
        <v>221</v>
      </c>
      <c r="E10" s="16" t="s">
        <v>222</v>
      </c>
      <c r="F10" s="15" t="s">
        <v>221</v>
      </c>
      <c r="G10" s="16" t="s">
        <v>222</v>
      </c>
      <c r="H10" s="15" t="s">
        <v>221</v>
      </c>
      <c r="I10" s="16" t="s">
        <v>222</v>
      </c>
      <c r="J10" s="15" t="s">
        <v>221</v>
      </c>
      <c r="K10" s="16" t="s">
        <v>222</v>
      </c>
      <c r="L10" s="15" t="s">
        <v>221</v>
      </c>
      <c r="M10" s="16" t="s">
        <v>222</v>
      </c>
      <c r="N10" s="15" t="s">
        <v>221</v>
      </c>
      <c r="O10" s="16" t="s">
        <v>222</v>
      </c>
      <c r="P10" s="64"/>
      <c r="Q10" s="64"/>
      <c r="R10" s="64"/>
      <c r="S10" s="64"/>
      <c r="T10" s="64"/>
      <c r="U10" s="64"/>
    </row>
    <row r="11" customFormat="false" ht="13.5" hidden="false" customHeight="true" outlineLevel="0" collapsed="false">
      <c r="A11" s="62"/>
      <c r="B11" s="62"/>
      <c r="C11" s="62"/>
      <c r="D11" s="70" t="s">
        <v>223</v>
      </c>
      <c r="E11" s="70" t="s">
        <v>224</v>
      </c>
      <c r="F11" s="70" t="s">
        <v>225</v>
      </c>
      <c r="G11" s="70" t="s">
        <v>226</v>
      </c>
      <c r="H11" s="70" t="s">
        <v>223</v>
      </c>
      <c r="I11" s="70" t="s">
        <v>224</v>
      </c>
      <c r="J11" s="70" t="s">
        <v>223</v>
      </c>
      <c r="K11" s="70" t="s">
        <v>227</v>
      </c>
      <c r="L11" s="70" t="s">
        <v>225</v>
      </c>
      <c r="M11" s="70" t="s">
        <v>228</v>
      </c>
      <c r="N11" s="70" t="s">
        <v>223</v>
      </c>
      <c r="O11" s="70" t="s">
        <v>224</v>
      </c>
      <c r="P11" s="64"/>
      <c r="Q11" s="64"/>
      <c r="R11" s="64"/>
      <c r="S11" s="64"/>
      <c r="T11" s="64"/>
      <c r="U11" s="64"/>
    </row>
    <row r="12" customFormat="false" ht="21.75" hidden="false" customHeight="true" outlineLevel="0" collapsed="false">
      <c r="A12" s="46" t="n">
        <v>1</v>
      </c>
      <c r="B12" s="47" t="s">
        <v>109</v>
      </c>
      <c r="C12" s="48" t="s">
        <v>110</v>
      </c>
      <c r="D12" s="71" t="n">
        <v>1</v>
      </c>
      <c r="E12" s="72" t="n">
        <f aca="false">IFERROR(D12/4*15,0)</f>
        <v>3.75</v>
      </c>
      <c r="F12" s="73" t="n">
        <v>4</v>
      </c>
      <c r="G12" s="72" t="n">
        <f aca="false">IFERROR(F12/4*20,0)</f>
        <v>20</v>
      </c>
      <c r="H12" s="74" t="n">
        <v>2</v>
      </c>
      <c r="I12" s="72" t="n">
        <f aca="false">IFERROR(H12/4*15,0)</f>
        <v>7.5</v>
      </c>
      <c r="J12" s="71" t="n">
        <v>1</v>
      </c>
      <c r="K12" s="72" t="n">
        <f aca="false">IFERROR(J12/4*10,0)</f>
        <v>2.5</v>
      </c>
      <c r="L12" s="75" t="n">
        <v>3</v>
      </c>
      <c r="M12" s="72" t="n">
        <f aca="false">IFERROR(L12/4*25,0)</f>
        <v>18.75</v>
      </c>
      <c r="N12" s="73" t="n">
        <v>4</v>
      </c>
      <c r="O12" s="72" t="n">
        <f aca="false">IFERROR(N12/4*15,0)</f>
        <v>15</v>
      </c>
      <c r="P12" s="76" t="n">
        <f aca="false">SUM(E12,G12,I12,K12,M12,O12)</f>
        <v>67.5</v>
      </c>
      <c r="Q12" s="77" t="str">
        <f aca="false">IF(P12&gt;=90,"O",IF(P12&gt;=75,"A+",IF(P12&gt;=60,"A",IF(P12&gt;=50,"B+",IF(P12&gt;=40,"B","F")))))</f>
        <v>A</v>
      </c>
      <c r="R12" s="78" t="n">
        <f aca="false">P12/100</f>
        <v>0.675</v>
      </c>
      <c r="S12" s="79" t="str">
        <f aca="false">IF(P12&gt;=75,"L3-High",IF(P12&gt;=60,"L2-Medium",IF(P12&gt;=40,"L1-Low","L0-Below")))</f>
        <v>L2-Medium</v>
      </c>
      <c r="T12" s="80" t="str">
        <f aca="false">IF(P12&gt;=40,"Pass","Fail")</f>
        <v>Pass</v>
      </c>
      <c r="U12" s="81" t="str">
        <f aca="false">IF(P12&gt;=90,"Outstanding mini-project — innovative, fully functional, exceptional documentation and presentation",IF(P12&gt;=75,"Excellent project — strong technical quality, good teamwork; minor refinements needed",IF(P12&gt;=60,"Good project — meets objectives; improve implementation depth and documentation quality",IF(P12&gt;=40,"Satisfactory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13" customFormat="false" ht="21.75" hidden="false" customHeight="true" outlineLevel="0" collapsed="false">
      <c r="A13" s="50" t="n">
        <v>2</v>
      </c>
      <c r="B13" s="51" t="s">
        <v>114</v>
      </c>
      <c r="C13" s="52" t="s">
        <v>115</v>
      </c>
      <c r="D13" s="74" t="n">
        <v>2</v>
      </c>
      <c r="E13" s="82" t="n">
        <f aca="false">IFERROR(D13/4*15,0)</f>
        <v>7.5</v>
      </c>
      <c r="F13" s="71" t="n">
        <v>1</v>
      </c>
      <c r="G13" s="82" t="n">
        <f aca="false">IFERROR(F13/4*20,0)</f>
        <v>5</v>
      </c>
      <c r="H13" s="73" t="n">
        <v>4</v>
      </c>
      <c r="I13" s="82" t="n">
        <f aca="false">IFERROR(H13/4*15,0)</f>
        <v>15</v>
      </c>
      <c r="J13" s="73" t="n">
        <v>4</v>
      </c>
      <c r="K13" s="82" t="n">
        <f aca="false">IFERROR(J13/4*10,0)</f>
        <v>10</v>
      </c>
      <c r="L13" s="71" t="n">
        <v>1</v>
      </c>
      <c r="M13" s="82" t="n">
        <f aca="false">IFERROR(L13/4*25,0)</f>
        <v>6.25</v>
      </c>
      <c r="N13" s="71" t="n">
        <v>1</v>
      </c>
      <c r="O13" s="82" t="n">
        <f aca="false">IFERROR(N13/4*15,0)</f>
        <v>3.75</v>
      </c>
      <c r="P13" s="76" t="n">
        <f aca="false">SUM(E13,G13,I13,K13,M13,O13)</f>
        <v>47.5</v>
      </c>
      <c r="Q13" s="77" t="str">
        <f aca="false">IF(P13&gt;=90,"O",IF(P13&gt;=75,"A+",IF(P13&gt;=60,"A",IF(P13&gt;=50,"B+",IF(P13&gt;=40,"B","F")))))</f>
        <v>B</v>
      </c>
      <c r="R13" s="78" t="n">
        <f aca="false">P13/100</f>
        <v>0.475</v>
      </c>
      <c r="S13" s="79" t="str">
        <f aca="false">IF(P13&gt;=75,"L3-High",IF(P13&gt;=60,"L2-Medium",IF(P13&gt;=40,"L1-Low","L0-Below")))</f>
        <v>L1-Low</v>
      </c>
      <c r="T13" s="80" t="str">
        <f aca="false">IF(P13&gt;=40,"Pass","Fail")</f>
        <v>Pass</v>
      </c>
      <c r="U13" s="83" t="str">
        <f aca="false">IF(P13&gt;=90,"Outstanding mini-project — innovative, fully functional, exceptional documentation and presentation",IF(P13&gt;=75,"Excellent project — strong technical quality, good teamwork; minor refinements needed",IF(P13&gt;=60,"Good project — meets objectives; improve implementation depth and documentation quality",IF(P13&gt;=40,"Satisfactory — basic objectives met; significant improvement needed in innovation, technical depth and presentation","Needs major improvement — revisit project planning, technical execution and documentation"))))</f>
        <v>Satisfactory — basic objectives met; significant improvement needed in innovation, technical depth and presentation</v>
      </c>
    </row>
    <row r="14" customFormat="false" ht="21.75" hidden="false" customHeight="true" outlineLevel="0" collapsed="false">
      <c r="A14" s="46" t="n">
        <v>3</v>
      </c>
      <c r="B14" s="47" t="s">
        <v>119</v>
      </c>
      <c r="C14" s="48" t="s">
        <v>120</v>
      </c>
      <c r="D14" s="71" t="n">
        <v>1</v>
      </c>
      <c r="E14" s="72" t="n">
        <f aca="false">IFERROR(D14/4*15,0)</f>
        <v>3.75</v>
      </c>
      <c r="F14" s="74" t="n">
        <v>2</v>
      </c>
      <c r="G14" s="72" t="n">
        <f aca="false">IFERROR(F14/4*20,0)</f>
        <v>10</v>
      </c>
      <c r="H14" s="73" t="n">
        <v>4</v>
      </c>
      <c r="I14" s="72" t="n">
        <f aca="false">IFERROR(H14/4*15,0)</f>
        <v>15</v>
      </c>
      <c r="J14" s="71" t="n">
        <v>1</v>
      </c>
      <c r="K14" s="72" t="n">
        <f aca="false">IFERROR(J14/4*10,0)</f>
        <v>2.5</v>
      </c>
      <c r="L14" s="73" t="n">
        <v>4</v>
      </c>
      <c r="M14" s="72" t="n">
        <f aca="false">IFERROR(L14/4*25,0)</f>
        <v>25</v>
      </c>
      <c r="N14" s="71" t="n">
        <v>1</v>
      </c>
      <c r="O14" s="72" t="n">
        <f aca="false">IFERROR(N14/4*15,0)</f>
        <v>3.75</v>
      </c>
      <c r="P14" s="76" t="n">
        <f aca="false">SUM(E14,G14,I14,K14,M14,O14)</f>
        <v>60</v>
      </c>
      <c r="Q14" s="77" t="str">
        <f aca="false">IF(P14&gt;=90,"O",IF(P14&gt;=75,"A+",IF(P14&gt;=60,"A",IF(P14&gt;=50,"B+",IF(P14&gt;=40,"B","F")))))</f>
        <v>A</v>
      </c>
      <c r="R14" s="78" t="n">
        <f aca="false">P14/100</f>
        <v>0.6</v>
      </c>
      <c r="S14" s="79" t="str">
        <f aca="false">IF(P14&gt;=75,"L3-High",IF(P14&gt;=60,"L2-Medium",IF(P14&gt;=40,"L1-Low","L0-Below")))</f>
        <v>L2-Medium</v>
      </c>
      <c r="T14" s="80" t="str">
        <f aca="false">IF(P14&gt;=40,"Pass","Fail")</f>
        <v>Pass</v>
      </c>
      <c r="U14" s="81" t="str">
        <f aca="false">IF(P14&gt;=90,"Outstanding mini-project — innovative, fully functional, exceptional documentation and presentation",IF(P14&gt;=75,"Excellent project — strong technical quality, good teamwork; minor refinements needed",IF(P14&gt;=60,"Good project — meets objectives; improve implementation depth and documentation quality",IF(P14&gt;=40,"Satisfactory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15" customFormat="false" ht="21.75" hidden="false" customHeight="true" outlineLevel="0" collapsed="false">
      <c r="A15" s="50" t="n">
        <v>4</v>
      </c>
      <c r="B15" s="51" t="s">
        <v>124</v>
      </c>
      <c r="C15" s="52" t="s">
        <v>125</v>
      </c>
      <c r="D15" s="71" t="n">
        <v>1</v>
      </c>
      <c r="E15" s="82" t="n">
        <f aca="false">IFERROR(D15/4*15,0)</f>
        <v>3.75</v>
      </c>
      <c r="F15" s="71" t="n">
        <v>1</v>
      </c>
      <c r="G15" s="82" t="n">
        <f aca="false">IFERROR(F15/4*20,0)</f>
        <v>5</v>
      </c>
      <c r="H15" s="74" t="n">
        <v>2</v>
      </c>
      <c r="I15" s="82" t="n">
        <f aca="false">IFERROR(H15/4*15,0)</f>
        <v>7.5</v>
      </c>
      <c r="J15" s="74" t="n">
        <v>2</v>
      </c>
      <c r="K15" s="82" t="n">
        <f aca="false">IFERROR(J15/4*10,0)</f>
        <v>5</v>
      </c>
      <c r="L15" s="71" t="n">
        <v>1</v>
      </c>
      <c r="M15" s="82" t="n">
        <f aca="false">IFERROR(L15/4*25,0)</f>
        <v>6.25</v>
      </c>
      <c r="N15" s="74" t="n">
        <v>2</v>
      </c>
      <c r="O15" s="82" t="n">
        <f aca="false">IFERROR(N15/4*15,0)</f>
        <v>7.5</v>
      </c>
      <c r="P15" s="76" t="n">
        <f aca="false">SUM(E15,G15,I15,K15,M15,O15)</f>
        <v>35</v>
      </c>
      <c r="Q15" s="77" t="str">
        <f aca="false">IF(P15&gt;=90,"O",IF(P15&gt;=75,"A+",IF(P15&gt;=60,"A",IF(P15&gt;=50,"B+",IF(P15&gt;=40,"B","F")))))</f>
        <v>F</v>
      </c>
      <c r="R15" s="78" t="n">
        <f aca="false">P15/100</f>
        <v>0.35</v>
      </c>
      <c r="S15" s="79" t="str">
        <f aca="false">IF(P15&gt;=75,"L3-High",IF(P15&gt;=60,"L2-Medium",IF(P15&gt;=40,"L1-Low","L0-Below")))</f>
        <v>L0-Below</v>
      </c>
      <c r="T15" s="80" t="str">
        <f aca="false">IF(P15&gt;=40,"Pass","Fail")</f>
        <v>Fail</v>
      </c>
      <c r="U15" s="83" t="str">
        <f aca="false">IF(P15&gt;=90,"Outstanding mini-project — innovative, fully functional, exceptional documentation and presentation",IF(P15&gt;=75,"Excellent project — strong technical quality, good teamwork; minor refinements needed",IF(P15&gt;=60,"Good project — meets objectives; improve implementation depth and documentation quality",IF(P15&gt;=40,"Satisfactory — basic objectives met; significant improvement needed in innovation, technical depth and presentation","Needs major improvement — revisit project planning, technical execution and documentation"))))</f>
        <v>Needs major improvement — revisit project planning, technical execution and documentation</v>
      </c>
    </row>
    <row r="16" customFormat="false" ht="21.75" hidden="false" customHeight="true" outlineLevel="0" collapsed="false">
      <c r="A16" s="46" t="n">
        <v>5</v>
      </c>
      <c r="B16" s="47" t="s">
        <v>128</v>
      </c>
      <c r="C16" s="48" t="s">
        <v>129</v>
      </c>
      <c r="D16" s="73" t="n">
        <v>4</v>
      </c>
      <c r="E16" s="72" t="n">
        <f aca="false">IFERROR(D16/4*15,0)</f>
        <v>15</v>
      </c>
      <c r="F16" s="73" t="n">
        <v>4</v>
      </c>
      <c r="G16" s="72" t="n">
        <f aca="false">IFERROR(F16/4*20,0)</f>
        <v>20</v>
      </c>
      <c r="H16" s="75" t="n">
        <v>3</v>
      </c>
      <c r="I16" s="72" t="n">
        <f aca="false">IFERROR(H16/4*15,0)</f>
        <v>11.25</v>
      </c>
      <c r="J16" s="71" t="n">
        <v>1</v>
      </c>
      <c r="K16" s="72" t="n">
        <f aca="false">IFERROR(J16/4*10,0)</f>
        <v>2.5</v>
      </c>
      <c r="L16" s="71" t="n">
        <v>1</v>
      </c>
      <c r="M16" s="72" t="n">
        <f aca="false">IFERROR(L16/4*25,0)</f>
        <v>6.25</v>
      </c>
      <c r="N16" s="74" t="n">
        <v>2</v>
      </c>
      <c r="O16" s="72" t="n">
        <f aca="false">IFERROR(N16/4*15,0)</f>
        <v>7.5</v>
      </c>
      <c r="P16" s="76" t="n">
        <f aca="false">SUM(E16,G16,I16,K16,M16,O16)</f>
        <v>62.5</v>
      </c>
      <c r="Q16" s="77" t="str">
        <f aca="false">IF(P16&gt;=90,"O",IF(P16&gt;=75,"A+",IF(P16&gt;=60,"A",IF(P16&gt;=50,"B+",IF(P16&gt;=40,"B","F")))))</f>
        <v>A</v>
      </c>
      <c r="R16" s="78" t="n">
        <f aca="false">P16/100</f>
        <v>0.625</v>
      </c>
      <c r="S16" s="79" t="str">
        <f aca="false">IF(P16&gt;=75,"L3-High",IF(P16&gt;=60,"L2-Medium",IF(P16&gt;=40,"L1-Low","L0-Below")))</f>
        <v>L2-Medium</v>
      </c>
      <c r="T16" s="80" t="str">
        <f aca="false">IF(P16&gt;=40,"Pass","Fail")</f>
        <v>Pass</v>
      </c>
      <c r="U16" s="81" t="str">
        <f aca="false">IF(P16&gt;=90,"Outstanding mini-project — innovative, fully functional, exceptional documentation and presentation",IF(P16&gt;=75,"Excellent project — strong technical quality, good teamwork; minor refinements needed",IF(P16&gt;=60,"Good project — meets objectives; improve implementation depth and documentation quality",IF(P16&gt;=40,"Satisfactory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17" customFormat="false" ht="21.75" hidden="false" customHeight="true" outlineLevel="0" collapsed="false">
      <c r="A17" s="50" t="n">
        <v>6</v>
      </c>
      <c r="B17" s="51" t="s">
        <v>132</v>
      </c>
      <c r="C17" s="52" t="s">
        <v>133</v>
      </c>
      <c r="D17" s="74" t="n">
        <v>2</v>
      </c>
      <c r="E17" s="82" t="n">
        <f aca="false">IFERROR(D17/4*15,0)</f>
        <v>7.5</v>
      </c>
      <c r="F17" s="71" t="n">
        <v>1</v>
      </c>
      <c r="G17" s="82" t="n">
        <f aca="false">IFERROR(F17/4*20,0)</f>
        <v>5</v>
      </c>
      <c r="H17" s="74" t="n">
        <v>2</v>
      </c>
      <c r="I17" s="82" t="n">
        <f aca="false">IFERROR(H17/4*15,0)</f>
        <v>7.5</v>
      </c>
      <c r="J17" s="71" t="n">
        <v>1</v>
      </c>
      <c r="K17" s="82" t="n">
        <f aca="false">IFERROR(J17/4*10,0)</f>
        <v>2.5</v>
      </c>
      <c r="L17" s="71" t="n">
        <v>1</v>
      </c>
      <c r="M17" s="82" t="n">
        <f aca="false">IFERROR(L17/4*25,0)</f>
        <v>6.25</v>
      </c>
      <c r="N17" s="74" t="n">
        <v>2</v>
      </c>
      <c r="O17" s="82" t="n">
        <f aca="false">IFERROR(N17/4*15,0)</f>
        <v>7.5</v>
      </c>
      <c r="P17" s="76" t="n">
        <f aca="false">SUM(E17,G17,I17,K17,M17,O17)</f>
        <v>36.25</v>
      </c>
      <c r="Q17" s="77" t="str">
        <f aca="false">IF(P17&gt;=90,"O",IF(P17&gt;=75,"A+",IF(P17&gt;=60,"A",IF(P17&gt;=50,"B+",IF(P17&gt;=40,"B","F")))))</f>
        <v>F</v>
      </c>
      <c r="R17" s="78" t="n">
        <f aca="false">P17/100</f>
        <v>0.3625</v>
      </c>
      <c r="S17" s="79" t="str">
        <f aca="false">IF(P17&gt;=75,"L3-High",IF(P17&gt;=60,"L2-Medium",IF(P17&gt;=40,"L1-Low","L0-Below")))</f>
        <v>L0-Below</v>
      </c>
      <c r="T17" s="80" t="str">
        <f aca="false">IF(P17&gt;=40,"Pass","Fail")</f>
        <v>Fail</v>
      </c>
      <c r="U17" s="83" t="str">
        <f aca="false">IF(P17&gt;=90,"Outstanding mini-project — innovative, fully functional, exceptional documentation and presentation",IF(P17&gt;=75,"Excellent project — strong technical quality, good teamwork; minor refinements needed",IF(P17&gt;=60,"Good project — meets objectives; improve implementation depth and documentation quality",IF(P17&gt;=40,"Satisfactory — basic objectives met; significant improvement needed in innovation, technical depth and presentation","Needs major improvement — revisit project planning, technical execution and documentation"))))</f>
        <v>Needs major improvement — revisit project planning, technical execution and documentation</v>
      </c>
    </row>
    <row r="18" customFormat="false" ht="21.75" hidden="false" customHeight="true" outlineLevel="0" collapsed="false">
      <c r="A18" s="46" t="n">
        <v>7</v>
      </c>
      <c r="B18" s="47" t="s">
        <v>136</v>
      </c>
      <c r="C18" s="48" t="s">
        <v>137</v>
      </c>
      <c r="D18" s="75" t="n">
        <v>3</v>
      </c>
      <c r="E18" s="72" t="n">
        <f aca="false">IFERROR(D18/4*15,0)</f>
        <v>11.25</v>
      </c>
      <c r="F18" s="71" t="n">
        <v>1</v>
      </c>
      <c r="G18" s="72" t="n">
        <f aca="false">IFERROR(F18/4*20,0)</f>
        <v>5</v>
      </c>
      <c r="H18" s="73" t="n">
        <v>4</v>
      </c>
      <c r="I18" s="72" t="n">
        <f aca="false">IFERROR(H18/4*15,0)</f>
        <v>15</v>
      </c>
      <c r="J18" s="75" t="n">
        <v>3</v>
      </c>
      <c r="K18" s="72" t="n">
        <f aca="false">IFERROR(J18/4*10,0)</f>
        <v>7.5</v>
      </c>
      <c r="L18" s="73" t="n">
        <v>4</v>
      </c>
      <c r="M18" s="72" t="n">
        <f aca="false">IFERROR(L18/4*25,0)</f>
        <v>25</v>
      </c>
      <c r="N18" s="74" t="n">
        <v>2</v>
      </c>
      <c r="O18" s="72" t="n">
        <f aca="false">IFERROR(N18/4*15,0)</f>
        <v>7.5</v>
      </c>
      <c r="P18" s="76" t="n">
        <f aca="false">SUM(E18,G18,I18,K18,M18,O18)</f>
        <v>71.25</v>
      </c>
      <c r="Q18" s="77" t="str">
        <f aca="false">IF(P18&gt;=90,"O",IF(P18&gt;=75,"A+",IF(P18&gt;=60,"A",IF(P18&gt;=50,"B+",IF(P18&gt;=40,"B","F")))))</f>
        <v>A</v>
      </c>
      <c r="R18" s="78" t="n">
        <f aca="false">P18/100</f>
        <v>0.7125</v>
      </c>
      <c r="S18" s="79" t="str">
        <f aca="false">IF(P18&gt;=75,"L3-High",IF(P18&gt;=60,"L2-Medium",IF(P18&gt;=40,"L1-Low","L0-Below")))</f>
        <v>L2-Medium</v>
      </c>
      <c r="T18" s="80" t="str">
        <f aca="false">IF(P18&gt;=40,"Pass","Fail")</f>
        <v>Pass</v>
      </c>
      <c r="U18" s="81" t="str">
        <f aca="false">IF(P18&gt;=90,"Outstanding mini-project — innovative, fully functional, exceptional documentation and presentation",IF(P18&gt;=75,"Excellent project — strong technical quality, good teamwork; minor refinements needed",IF(P18&gt;=60,"Good project — meets objectives; improve implementation depth and documentation quality",IF(P18&gt;=40,"Satisfactory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19" customFormat="false" ht="21.75" hidden="false" customHeight="true" outlineLevel="0" collapsed="false">
      <c r="A19" s="50" t="n">
        <v>8</v>
      </c>
      <c r="B19" s="51" t="s">
        <v>140</v>
      </c>
      <c r="C19" s="52" t="s">
        <v>141</v>
      </c>
      <c r="D19" s="75" t="n">
        <v>3</v>
      </c>
      <c r="E19" s="82" t="n">
        <f aca="false">IFERROR(D19/4*15,0)</f>
        <v>11.25</v>
      </c>
      <c r="F19" s="73" t="n">
        <v>4</v>
      </c>
      <c r="G19" s="82" t="n">
        <f aca="false">IFERROR(F19/4*20,0)</f>
        <v>20</v>
      </c>
      <c r="H19" s="73" t="n">
        <v>4</v>
      </c>
      <c r="I19" s="82" t="n">
        <f aca="false">IFERROR(H19/4*15,0)</f>
        <v>15</v>
      </c>
      <c r="J19" s="73" t="n">
        <v>4</v>
      </c>
      <c r="K19" s="82" t="n">
        <f aca="false">IFERROR(J19/4*10,0)</f>
        <v>10</v>
      </c>
      <c r="L19" s="71" t="n">
        <v>1</v>
      </c>
      <c r="M19" s="82" t="n">
        <f aca="false">IFERROR(L19/4*25,0)</f>
        <v>6.25</v>
      </c>
      <c r="N19" s="73" t="n">
        <v>4</v>
      </c>
      <c r="O19" s="82" t="n">
        <f aca="false">IFERROR(N19/4*15,0)</f>
        <v>15</v>
      </c>
      <c r="P19" s="76" t="n">
        <f aca="false">SUM(E19,G19,I19,K19,M19,O19)</f>
        <v>77.5</v>
      </c>
      <c r="Q19" s="77" t="str">
        <f aca="false">IF(P19&gt;=90,"O",IF(P19&gt;=75,"A+",IF(P19&gt;=60,"A",IF(P19&gt;=50,"B+",IF(P19&gt;=40,"B","F")))))</f>
        <v>A+</v>
      </c>
      <c r="R19" s="78" t="n">
        <f aca="false">P19/100</f>
        <v>0.775</v>
      </c>
      <c r="S19" s="79" t="str">
        <f aca="false">IF(P19&gt;=75,"L3-High",IF(P19&gt;=60,"L2-Medium",IF(P19&gt;=40,"L1-Low","L0-Below")))</f>
        <v>L3-High</v>
      </c>
      <c r="T19" s="80" t="str">
        <f aca="false">IF(P19&gt;=40,"Pass","Fail")</f>
        <v>Pass</v>
      </c>
      <c r="U19" s="83" t="str">
        <f aca="false">IF(P19&gt;=90,"Outstanding mini-project — innovative, fully functional, exceptional documentation and presentation",IF(P19&gt;=75,"Excellent project — strong technical quality, good teamwork; minor refinements needed",IF(P19&gt;=60,"Good project — meets objectives; improve implementation depth and documentation quality",IF(P19&gt;=40,"Satisfactory — basic objectives met; significant improvement needed in innovation, technical depth and presentation","Needs major improvement — revisit project planning, technical execution and documentation"))))</f>
        <v>Excellent project — strong technical quality, good teamwork; minor refinements needed</v>
      </c>
    </row>
    <row r="20" customFormat="false" ht="21.75" hidden="false" customHeight="true" outlineLevel="0" collapsed="false">
      <c r="A20" s="46" t="n">
        <v>9</v>
      </c>
      <c r="B20" s="47" t="s">
        <v>145</v>
      </c>
      <c r="C20" s="48" t="s">
        <v>146</v>
      </c>
      <c r="D20" s="71" t="n">
        <v>1</v>
      </c>
      <c r="E20" s="72" t="n">
        <f aca="false">IFERROR(D20/4*15,0)</f>
        <v>3.75</v>
      </c>
      <c r="F20" s="75" t="n">
        <v>3</v>
      </c>
      <c r="G20" s="72" t="n">
        <f aca="false">IFERROR(F20/4*20,0)</f>
        <v>15</v>
      </c>
      <c r="H20" s="74" t="n">
        <v>2</v>
      </c>
      <c r="I20" s="72" t="n">
        <f aca="false">IFERROR(H20/4*15,0)</f>
        <v>7.5</v>
      </c>
      <c r="J20" s="75" t="n">
        <v>3</v>
      </c>
      <c r="K20" s="72" t="n">
        <f aca="false">IFERROR(J20/4*10,0)</f>
        <v>7.5</v>
      </c>
      <c r="L20" s="74" t="n">
        <v>2</v>
      </c>
      <c r="M20" s="72" t="n">
        <f aca="false">IFERROR(L20/4*25,0)</f>
        <v>12.5</v>
      </c>
      <c r="N20" s="75" t="n">
        <v>3</v>
      </c>
      <c r="O20" s="72" t="n">
        <f aca="false">IFERROR(N20/4*15,0)</f>
        <v>11.25</v>
      </c>
      <c r="P20" s="76" t="n">
        <f aca="false">SUM(E20,G20,I20,K20,M20,O20)</f>
        <v>57.5</v>
      </c>
      <c r="Q20" s="77" t="str">
        <f aca="false">IF(P20&gt;=90,"O",IF(P20&gt;=75,"A+",IF(P20&gt;=60,"A",IF(P20&gt;=50,"B+",IF(P20&gt;=40,"B","F")))))</f>
        <v>B+</v>
      </c>
      <c r="R20" s="78" t="n">
        <f aca="false">P20/100</f>
        <v>0.575</v>
      </c>
      <c r="S20" s="79" t="str">
        <f aca="false">IF(P20&gt;=75,"L3-High",IF(P20&gt;=60,"L2-Medium",IF(P20&gt;=40,"L1-Low","L0-Below")))</f>
        <v>L1-Low</v>
      </c>
      <c r="T20" s="80" t="str">
        <f aca="false">IF(P20&gt;=40,"Pass","Fail")</f>
        <v>Pass</v>
      </c>
      <c r="U20" s="81" t="str">
        <f aca="false">IF(P20&gt;=90,"Outstanding mini-project — innovative, fully functional, exceptional documentation and presentation",IF(P20&gt;=75,"Excellent project — strong technical quality, good teamwork; minor refinements needed",IF(P20&gt;=60,"Good project — meets objectives; improve implementation depth and documentation quality",IF(P20&gt;=40,"Satisfactory — basic objectives met; significant improvement needed in innovation, technical depth and presentation","Needs major improvement — revisit project planning, technical execution and documentation"))))</f>
        <v>Satisfactory — basic objectives met; significant improvement needed in innovation, technical depth and presentation</v>
      </c>
    </row>
    <row r="21" customFormat="false" ht="21.75" hidden="false" customHeight="true" outlineLevel="0" collapsed="false">
      <c r="A21" s="50" t="n">
        <v>10</v>
      </c>
      <c r="B21" s="51" t="s">
        <v>149</v>
      </c>
      <c r="C21" s="52" t="s">
        <v>150</v>
      </c>
      <c r="D21" s="74" t="n">
        <v>2</v>
      </c>
      <c r="E21" s="82" t="n">
        <f aca="false">IFERROR(D21/4*15,0)</f>
        <v>7.5</v>
      </c>
      <c r="F21" s="75" t="n">
        <v>3</v>
      </c>
      <c r="G21" s="82" t="n">
        <f aca="false">IFERROR(F21/4*20,0)</f>
        <v>15</v>
      </c>
      <c r="H21" s="75" t="n">
        <v>3</v>
      </c>
      <c r="I21" s="82" t="n">
        <f aca="false">IFERROR(H21/4*15,0)</f>
        <v>11.25</v>
      </c>
      <c r="J21" s="75" t="n">
        <v>3</v>
      </c>
      <c r="K21" s="82" t="n">
        <f aca="false">IFERROR(J21/4*10,0)</f>
        <v>7.5</v>
      </c>
      <c r="L21" s="75" t="n">
        <v>3</v>
      </c>
      <c r="M21" s="82" t="n">
        <f aca="false">IFERROR(L21/4*25,0)</f>
        <v>18.75</v>
      </c>
      <c r="N21" s="71" t="n">
        <v>1</v>
      </c>
      <c r="O21" s="82" t="n">
        <f aca="false">IFERROR(N21/4*15,0)</f>
        <v>3.75</v>
      </c>
      <c r="P21" s="76" t="n">
        <f aca="false">SUM(E21,G21,I21,K21,M21,O21)</f>
        <v>63.75</v>
      </c>
      <c r="Q21" s="77" t="str">
        <f aca="false">IF(P21&gt;=90,"O",IF(P21&gt;=75,"A+",IF(P21&gt;=60,"A",IF(P21&gt;=50,"B+",IF(P21&gt;=40,"B","F")))))</f>
        <v>A</v>
      </c>
      <c r="R21" s="78" t="n">
        <f aca="false">P21/100</f>
        <v>0.6375</v>
      </c>
      <c r="S21" s="79" t="str">
        <f aca="false">IF(P21&gt;=75,"L3-High",IF(P21&gt;=60,"L2-Medium",IF(P21&gt;=40,"L1-Low","L0-Below")))</f>
        <v>L2-Medium</v>
      </c>
      <c r="T21" s="80" t="str">
        <f aca="false">IF(P21&gt;=40,"Pass","Fail")</f>
        <v>Pass</v>
      </c>
      <c r="U21" s="83" t="str">
        <f aca="false">IF(P21&gt;=90,"Outstanding mini-project — innovative, fully functional, exceptional documentation and presentation",IF(P21&gt;=75,"Excellent project — strong technical quality, good teamwork; minor refinements needed",IF(P21&gt;=60,"Good project — meets objectives; improve implementation depth and documentation quality",IF(P21&gt;=40,"Satisfactory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22" customFormat="false" ht="21.75" hidden="false" customHeight="true" outlineLevel="0" collapsed="false">
      <c r="A22" s="46" t="n">
        <v>11</v>
      </c>
      <c r="B22" s="47" t="s">
        <v>153</v>
      </c>
      <c r="C22" s="48" t="s">
        <v>154</v>
      </c>
      <c r="D22" s="74" t="n">
        <v>2</v>
      </c>
      <c r="E22" s="72" t="n">
        <f aca="false">IFERROR(D22/4*15,0)</f>
        <v>7.5</v>
      </c>
      <c r="F22" s="75" t="n">
        <v>3</v>
      </c>
      <c r="G22" s="72" t="n">
        <f aca="false">IFERROR(F22/4*20,0)</f>
        <v>15</v>
      </c>
      <c r="H22" s="75" t="n">
        <v>3</v>
      </c>
      <c r="I22" s="72" t="n">
        <f aca="false">IFERROR(H22/4*15,0)</f>
        <v>11.25</v>
      </c>
      <c r="J22" s="74" t="n">
        <v>2</v>
      </c>
      <c r="K22" s="72" t="n">
        <f aca="false">IFERROR(J22/4*10,0)</f>
        <v>5</v>
      </c>
      <c r="L22" s="71" t="n">
        <v>1</v>
      </c>
      <c r="M22" s="72" t="n">
        <f aca="false">IFERROR(L22/4*25,0)</f>
        <v>6.25</v>
      </c>
      <c r="N22" s="75" t="n">
        <v>3</v>
      </c>
      <c r="O22" s="72" t="n">
        <f aca="false">IFERROR(N22/4*15,0)</f>
        <v>11.25</v>
      </c>
      <c r="P22" s="76" t="n">
        <f aca="false">SUM(E22,G22,I22,K22,M22,O22)</f>
        <v>56.25</v>
      </c>
      <c r="Q22" s="77" t="str">
        <f aca="false">IF(P22&gt;=90,"O",IF(P22&gt;=75,"A+",IF(P22&gt;=60,"A",IF(P22&gt;=50,"B+",IF(P22&gt;=40,"B","F")))))</f>
        <v>B+</v>
      </c>
      <c r="R22" s="78" t="n">
        <f aca="false">P22/100</f>
        <v>0.5625</v>
      </c>
      <c r="S22" s="79" t="str">
        <f aca="false">IF(P22&gt;=75,"L3-High",IF(P22&gt;=60,"L2-Medium",IF(P22&gt;=40,"L1-Low","L0-Below")))</f>
        <v>L1-Low</v>
      </c>
      <c r="T22" s="80" t="str">
        <f aca="false">IF(P22&gt;=40,"Pass","Fail")</f>
        <v>Pass</v>
      </c>
      <c r="U22" s="81" t="str">
        <f aca="false">IF(P22&gt;=90,"Outstanding mini-project — innovative, fully functional, exceptional documentation and presentation",IF(P22&gt;=75,"Excellent project — strong technical quality, good teamwork; minor refinements needed",IF(P22&gt;=60,"Good project — meets objectives; improve implementation depth and documentation quality",IF(P22&gt;=40,"Satisfactory — basic objectives met; significant improvement needed in innovation, technical depth and presentation","Needs major improvement — revisit project planning, technical execution and documentation"))))</f>
        <v>Satisfactory — basic objectives met; significant improvement needed in innovation, technical depth and presentation</v>
      </c>
    </row>
    <row r="23" customFormat="false" ht="21.75" hidden="false" customHeight="true" outlineLevel="0" collapsed="false">
      <c r="A23" s="50" t="n">
        <v>12</v>
      </c>
      <c r="B23" s="51" t="s">
        <v>157</v>
      </c>
      <c r="C23" s="52" t="s">
        <v>158</v>
      </c>
      <c r="D23" s="74" t="n">
        <v>2</v>
      </c>
      <c r="E23" s="82" t="n">
        <f aca="false">IFERROR(D23/4*15,0)</f>
        <v>7.5</v>
      </c>
      <c r="F23" s="73" t="n">
        <v>4</v>
      </c>
      <c r="G23" s="82" t="n">
        <f aca="false">IFERROR(F23/4*20,0)</f>
        <v>20</v>
      </c>
      <c r="H23" s="75" t="n">
        <v>3</v>
      </c>
      <c r="I23" s="82" t="n">
        <f aca="false">IFERROR(H23/4*15,0)</f>
        <v>11.25</v>
      </c>
      <c r="J23" s="74" t="n">
        <v>2</v>
      </c>
      <c r="K23" s="82" t="n">
        <f aca="false">IFERROR(J23/4*10,0)</f>
        <v>5</v>
      </c>
      <c r="L23" s="75" t="n">
        <v>3</v>
      </c>
      <c r="M23" s="82" t="n">
        <f aca="false">IFERROR(L23/4*25,0)</f>
        <v>18.75</v>
      </c>
      <c r="N23" s="71" t="n">
        <v>1</v>
      </c>
      <c r="O23" s="82" t="n">
        <f aca="false">IFERROR(N23/4*15,0)</f>
        <v>3.75</v>
      </c>
      <c r="P23" s="76" t="n">
        <f aca="false">SUM(E23,G23,I23,K23,M23,O23)</f>
        <v>66.25</v>
      </c>
      <c r="Q23" s="77" t="str">
        <f aca="false">IF(P23&gt;=90,"O",IF(P23&gt;=75,"A+",IF(P23&gt;=60,"A",IF(P23&gt;=50,"B+",IF(P23&gt;=40,"B","F")))))</f>
        <v>A</v>
      </c>
      <c r="R23" s="78" t="n">
        <f aca="false">P23/100</f>
        <v>0.6625</v>
      </c>
      <c r="S23" s="79" t="str">
        <f aca="false">IF(P23&gt;=75,"L3-High",IF(P23&gt;=60,"L2-Medium",IF(P23&gt;=40,"L1-Low","L0-Below")))</f>
        <v>L2-Medium</v>
      </c>
      <c r="T23" s="80" t="str">
        <f aca="false">IF(P23&gt;=40,"Pass","Fail")</f>
        <v>Pass</v>
      </c>
      <c r="U23" s="83" t="str">
        <f aca="false">IF(P23&gt;=90,"Outstanding mini-project — innovative, fully functional, exceptional documentation and presentation",IF(P23&gt;=75,"Excellent project — strong technical quality, good teamwork; minor refinements needed",IF(P23&gt;=60,"Good project — meets objectives; improve implementation depth and documentation quality",IF(P23&gt;=40,"Satisfactory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24" customFormat="false" ht="21.75" hidden="false" customHeight="true" outlineLevel="0" collapsed="false">
      <c r="A24" s="46" t="n">
        <v>13</v>
      </c>
      <c r="B24" s="47" t="s">
        <v>161</v>
      </c>
      <c r="C24" s="48" t="s">
        <v>162</v>
      </c>
      <c r="D24" s="73" t="n">
        <v>4</v>
      </c>
      <c r="E24" s="72" t="n">
        <f aca="false">IFERROR(D24/4*15,0)</f>
        <v>15</v>
      </c>
      <c r="F24" s="71" t="n">
        <v>1</v>
      </c>
      <c r="G24" s="72" t="n">
        <f aca="false">IFERROR(F24/4*20,0)</f>
        <v>5</v>
      </c>
      <c r="H24" s="74" t="n">
        <v>2</v>
      </c>
      <c r="I24" s="72" t="n">
        <f aca="false">IFERROR(H24/4*15,0)</f>
        <v>7.5</v>
      </c>
      <c r="J24" s="74" t="n">
        <v>2</v>
      </c>
      <c r="K24" s="72" t="n">
        <f aca="false">IFERROR(J24/4*10,0)</f>
        <v>5</v>
      </c>
      <c r="L24" s="74" t="n">
        <v>2</v>
      </c>
      <c r="M24" s="72" t="n">
        <f aca="false">IFERROR(L24/4*25,0)</f>
        <v>12.5</v>
      </c>
      <c r="N24" s="74" t="n">
        <v>2</v>
      </c>
      <c r="O24" s="72" t="n">
        <f aca="false">IFERROR(N24/4*15,0)</f>
        <v>7.5</v>
      </c>
      <c r="P24" s="76" t="n">
        <f aca="false">SUM(E24,G24,I24,K24,M24,O24)</f>
        <v>52.5</v>
      </c>
      <c r="Q24" s="77" t="str">
        <f aca="false">IF(P24&gt;=90,"O",IF(P24&gt;=75,"A+",IF(P24&gt;=60,"A",IF(P24&gt;=50,"B+",IF(P24&gt;=40,"B","F")))))</f>
        <v>B+</v>
      </c>
      <c r="R24" s="78" t="n">
        <f aca="false">P24/100</f>
        <v>0.525</v>
      </c>
      <c r="S24" s="79" t="str">
        <f aca="false">IF(P24&gt;=75,"L3-High",IF(P24&gt;=60,"L2-Medium",IF(P24&gt;=40,"L1-Low","L0-Below")))</f>
        <v>L1-Low</v>
      </c>
      <c r="T24" s="80" t="str">
        <f aca="false">IF(P24&gt;=40,"Pass","Fail")</f>
        <v>Pass</v>
      </c>
      <c r="U24" s="81" t="str">
        <f aca="false">IF(P24&gt;=90,"Outstanding mini-project — innovative, fully functional, exceptional documentation and presentation",IF(P24&gt;=75,"Excellent project — strong technical quality, good teamwork; minor refinements needed",IF(P24&gt;=60,"Good project — meets objectives; improve implementation depth and documentation quality",IF(P24&gt;=40,"Satisfactory — basic objectives met; significant improvement needed in innovation, technical depth and presentation","Needs major improvement — revisit project planning, technical execution and documentation"))))</f>
        <v>Satisfactory — basic objectives met; significant improvement needed in innovation, technical depth and presentation</v>
      </c>
    </row>
    <row r="25" customFormat="false" ht="21.75" hidden="false" customHeight="true" outlineLevel="0" collapsed="false">
      <c r="A25" s="50" t="n">
        <v>14</v>
      </c>
      <c r="B25" s="51" t="s">
        <v>165</v>
      </c>
      <c r="C25" s="52" t="s">
        <v>166</v>
      </c>
      <c r="D25" s="74" t="n">
        <v>2</v>
      </c>
      <c r="E25" s="82" t="n">
        <f aca="false">IFERROR(D25/4*15,0)</f>
        <v>7.5</v>
      </c>
      <c r="F25" s="73" t="n">
        <v>4</v>
      </c>
      <c r="G25" s="82" t="n">
        <f aca="false">IFERROR(F25/4*20,0)</f>
        <v>20</v>
      </c>
      <c r="H25" s="74" t="n">
        <v>2</v>
      </c>
      <c r="I25" s="82" t="n">
        <f aca="false">IFERROR(H25/4*15,0)</f>
        <v>7.5</v>
      </c>
      <c r="J25" s="75" t="n">
        <v>3</v>
      </c>
      <c r="K25" s="82" t="n">
        <f aca="false">IFERROR(J25/4*10,0)</f>
        <v>7.5</v>
      </c>
      <c r="L25" s="71" t="n">
        <v>1</v>
      </c>
      <c r="M25" s="82" t="n">
        <f aca="false">IFERROR(L25/4*25,0)</f>
        <v>6.25</v>
      </c>
      <c r="N25" s="71" t="n">
        <v>1</v>
      </c>
      <c r="O25" s="82" t="n">
        <f aca="false">IFERROR(N25/4*15,0)</f>
        <v>3.75</v>
      </c>
      <c r="P25" s="76" t="n">
        <f aca="false">SUM(E25,G25,I25,K25,M25,O25)</f>
        <v>52.5</v>
      </c>
      <c r="Q25" s="77" t="str">
        <f aca="false">IF(P25&gt;=90,"O",IF(P25&gt;=75,"A+",IF(P25&gt;=60,"A",IF(P25&gt;=50,"B+",IF(P25&gt;=40,"B","F")))))</f>
        <v>B+</v>
      </c>
      <c r="R25" s="78" t="n">
        <f aca="false">P25/100</f>
        <v>0.525</v>
      </c>
      <c r="S25" s="79" t="str">
        <f aca="false">IF(P25&gt;=75,"L3-High",IF(P25&gt;=60,"L2-Medium",IF(P25&gt;=40,"L1-Low","L0-Below")))</f>
        <v>L1-Low</v>
      </c>
      <c r="T25" s="80" t="str">
        <f aca="false">IF(P25&gt;=40,"Pass","Fail")</f>
        <v>Pass</v>
      </c>
      <c r="U25" s="83" t="str">
        <f aca="false">IF(P25&gt;=90,"Outstanding mini-project — innovative, fully functional, exceptional documentation and presentation",IF(P25&gt;=75,"Excellent project — strong technical quality, good teamwork; minor refinements needed",IF(P25&gt;=60,"Good project — meets objectives; improve implementation depth and documentation quality",IF(P25&gt;=40,"Satisfactory — basic objectives met; significant improvement needed in innovation, technical depth and presentation","Needs major improvement — revisit project planning, technical execution and documentation"))))</f>
        <v>Satisfactory — basic objectives met; significant improvement needed in innovation, technical depth and presentation</v>
      </c>
    </row>
    <row r="26" customFormat="false" ht="21.75" hidden="false" customHeight="true" outlineLevel="0" collapsed="false">
      <c r="A26" s="46" t="n">
        <v>15</v>
      </c>
      <c r="B26" s="47" t="s">
        <v>169</v>
      </c>
      <c r="C26" s="48" t="s">
        <v>170</v>
      </c>
      <c r="D26" s="73" t="n">
        <v>4</v>
      </c>
      <c r="E26" s="72" t="n">
        <f aca="false">IFERROR(D26/4*15,0)</f>
        <v>15</v>
      </c>
      <c r="F26" s="74" t="n">
        <v>2</v>
      </c>
      <c r="G26" s="72" t="n">
        <f aca="false">IFERROR(F26/4*20,0)</f>
        <v>10</v>
      </c>
      <c r="H26" s="74" t="n">
        <v>2</v>
      </c>
      <c r="I26" s="72" t="n">
        <f aca="false">IFERROR(H26/4*15,0)</f>
        <v>7.5</v>
      </c>
      <c r="J26" s="74" t="n">
        <v>2</v>
      </c>
      <c r="K26" s="72" t="n">
        <f aca="false">IFERROR(J26/4*10,0)</f>
        <v>5</v>
      </c>
      <c r="L26" s="74" t="n">
        <v>2</v>
      </c>
      <c r="M26" s="72" t="n">
        <f aca="false">IFERROR(L26/4*25,0)</f>
        <v>12.5</v>
      </c>
      <c r="N26" s="75" t="n">
        <v>3</v>
      </c>
      <c r="O26" s="72" t="n">
        <f aca="false">IFERROR(N26/4*15,0)</f>
        <v>11.25</v>
      </c>
      <c r="P26" s="76" t="n">
        <f aca="false">SUM(E26,G26,I26,K26,M26,O26)</f>
        <v>61.25</v>
      </c>
      <c r="Q26" s="77" t="str">
        <f aca="false">IF(P26&gt;=90,"O",IF(P26&gt;=75,"A+",IF(P26&gt;=60,"A",IF(P26&gt;=50,"B+",IF(P26&gt;=40,"B","F")))))</f>
        <v>A</v>
      </c>
      <c r="R26" s="78" t="n">
        <f aca="false">P26/100</f>
        <v>0.6125</v>
      </c>
      <c r="S26" s="79" t="str">
        <f aca="false">IF(P26&gt;=75,"L3-High",IF(P26&gt;=60,"L2-Medium",IF(P26&gt;=40,"L1-Low","L0-Below")))</f>
        <v>L2-Medium</v>
      </c>
      <c r="T26" s="80" t="str">
        <f aca="false">IF(P26&gt;=40,"Pass","Fail")</f>
        <v>Pass</v>
      </c>
      <c r="U26" s="81" t="str">
        <f aca="false">IF(P26&gt;=90,"Outstanding mini-project — innovative, fully functional, exceptional documentation and presentation",IF(P26&gt;=75,"Excellent project — strong technical quality, good teamwork; minor refinements needed",IF(P26&gt;=60,"Good project — meets objectives; improve implementation depth and documentation quality",IF(P26&gt;=40,"Satisfactory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27" customFormat="false" ht="21.75" hidden="false" customHeight="true" outlineLevel="0" collapsed="false">
      <c r="A27" s="50" t="n">
        <v>16</v>
      </c>
      <c r="B27" s="51" t="s">
        <v>173</v>
      </c>
      <c r="C27" s="52" t="s">
        <v>174</v>
      </c>
      <c r="D27" s="75" t="n">
        <v>3</v>
      </c>
      <c r="E27" s="82" t="n">
        <f aca="false">IFERROR(D27/4*15,0)</f>
        <v>11.25</v>
      </c>
      <c r="F27" s="74" t="n">
        <v>2</v>
      </c>
      <c r="G27" s="82" t="n">
        <f aca="false">IFERROR(F27/4*20,0)</f>
        <v>10</v>
      </c>
      <c r="H27" s="75" t="n">
        <v>3</v>
      </c>
      <c r="I27" s="82" t="n">
        <f aca="false">IFERROR(H27/4*15,0)</f>
        <v>11.25</v>
      </c>
      <c r="J27" s="75" t="n">
        <v>3</v>
      </c>
      <c r="K27" s="82" t="n">
        <f aca="false">IFERROR(J27/4*10,0)</f>
        <v>7.5</v>
      </c>
      <c r="L27" s="74" t="n">
        <v>2</v>
      </c>
      <c r="M27" s="82" t="n">
        <f aca="false">IFERROR(L27/4*25,0)</f>
        <v>12.5</v>
      </c>
      <c r="N27" s="73" t="n">
        <v>4</v>
      </c>
      <c r="O27" s="82" t="n">
        <f aca="false">IFERROR(N27/4*15,0)</f>
        <v>15</v>
      </c>
      <c r="P27" s="76" t="n">
        <f aca="false">SUM(E27,G27,I27,K27,M27,O27)</f>
        <v>67.5</v>
      </c>
      <c r="Q27" s="77" t="str">
        <f aca="false">IF(P27&gt;=90,"O",IF(P27&gt;=75,"A+",IF(P27&gt;=60,"A",IF(P27&gt;=50,"B+",IF(P27&gt;=40,"B","F")))))</f>
        <v>A</v>
      </c>
      <c r="R27" s="78" t="n">
        <f aca="false">P27/100</f>
        <v>0.675</v>
      </c>
      <c r="S27" s="79" t="str">
        <f aca="false">IF(P27&gt;=75,"L3-High",IF(P27&gt;=60,"L2-Medium",IF(P27&gt;=40,"L1-Low","L0-Below")))</f>
        <v>L2-Medium</v>
      </c>
      <c r="T27" s="80" t="str">
        <f aca="false">IF(P27&gt;=40,"Pass","Fail")</f>
        <v>Pass</v>
      </c>
      <c r="U27" s="83" t="str">
        <f aca="false">IF(P27&gt;=90,"Outstanding mini-project — innovative, fully functional, exceptional documentation and presentation",IF(P27&gt;=75,"Excellent project — strong technical quality, good teamwork; minor refinements needed",IF(P27&gt;=60,"Good project — meets objectives; improve implementation depth and documentation quality",IF(P27&gt;=40,"Satisfactory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28" customFormat="false" ht="21.75" hidden="false" customHeight="true" outlineLevel="0" collapsed="false">
      <c r="A28" s="46" t="n">
        <v>17</v>
      </c>
      <c r="B28" s="47" t="s">
        <v>177</v>
      </c>
      <c r="C28" s="48" t="s">
        <v>178</v>
      </c>
      <c r="D28" s="74" t="n">
        <v>2</v>
      </c>
      <c r="E28" s="72" t="n">
        <f aca="false">IFERROR(D28/4*15,0)</f>
        <v>7.5</v>
      </c>
      <c r="F28" s="73" t="n">
        <v>4</v>
      </c>
      <c r="G28" s="72" t="n">
        <f aca="false">IFERROR(F28/4*20,0)</f>
        <v>20</v>
      </c>
      <c r="H28" s="74" t="n">
        <v>2</v>
      </c>
      <c r="I28" s="72" t="n">
        <f aca="false">IFERROR(H28/4*15,0)</f>
        <v>7.5</v>
      </c>
      <c r="J28" s="71" t="n">
        <v>1</v>
      </c>
      <c r="K28" s="72" t="n">
        <f aca="false">IFERROR(J28/4*10,0)</f>
        <v>2.5</v>
      </c>
      <c r="L28" s="74" t="n">
        <v>2</v>
      </c>
      <c r="M28" s="72" t="n">
        <f aca="false">IFERROR(L28/4*25,0)</f>
        <v>12.5</v>
      </c>
      <c r="N28" s="74" t="n">
        <v>2</v>
      </c>
      <c r="O28" s="72" t="n">
        <f aca="false">IFERROR(N28/4*15,0)</f>
        <v>7.5</v>
      </c>
      <c r="P28" s="76" t="n">
        <f aca="false">SUM(E28,G28,I28,K28,M28,O28)</f>
        <v>57.5</v>
      </c>
      <c r="Q28" s="77" t="str">
        <f aca="false">IF(P28&gt;=90,"O",IF(P28&gt;=75,"A+",IF(P28&gt;=60,"A",IF(P28&gt;=50,"B+",IF(P28&gt;=40,"B","F")))))</f>
        <v>B+</v>
      </c>
      <c r="R28" s="78" t="n">
        <f aca="false">P28/100</f>
        <v>0.575</v>
      </c>
      <c r="S28" s="79" t="str">
        <f aca="false">IF(P28&gt;=75,"L3-High",IF(P28&gt;=60,"L2-Medium",IF(P28&gt;=40,"L1-Low","L0-Below")))</f>
        <v>L1-Low</v>
      </c>
      <c r="T28" s="80" t="str">
        <f aca="false">IF(P28&gt;=40,"Pass","Fail")</f>
        <v>Pass</v>
      </c>
      <c r="U28" s="81" t="str">
        <f aca="false">IF(P28&gt;=90,"Outstanding mini-project — innovative, fully functional, exceptional documentation and presentation",IF(P28&gt;=75,"Excellent project — strong technical quality, good teamwork; minor refinements needed",IF(P28&gt;=60,"Good project — meets objectives; improve implementation depth and documentation quality",IF(P28&gt;=40,"Satisfactory — basic objectives met; significant improvement needed in innovation, technical depth and presentation","Needs major improvement — revisit project planning, technical execution and documentation"))))</f>
        <v>Satisfactory — basic objectives met; significant improvement needed in innovation, technical depth and presentation</v>
      </c>
    </row>
    <row r="29" customFormat="false" ht="21.75" hidden="false" customHeight="true" outlineLevel="0" collapsed="false">
      <c r="A29" s="50" t="n">
        <v>18</v>
      </c>
      <c r="B29" s="51" t="s">
        <v>181</v>
      </c>
      <c r="C29" s="52" t="s">
        <v>182</v>
      </c>
      <c r="D29" s="73" t="n">
        <v>4</v>
      </c>
      <c r="E29" s="82" t="n">
        <f aca="false">IFERROR(D29/4*15,0)</f>
        <v>15</v>
      </c>
      <c r="F29" s="75" t="n">
        <v>3</v>
      </c>
      <c r="G29" s="82" t="n">
        <f aca="false">IFERROR(F29/4*20,0)</f>
        <v>15</v>
      </c>
      <c r="H29" s="74" t="n">
        <v>2</v>
      </c>
      <c r="I29" s="82" t="n">
        <f aca="false">IFERROR(H29/4*15,0)</f>
        <v>7.5</v>
      </c>
      <c r="J29" s="71" t="n">
        <v>1</v>
      </c>
      <c r="K29" s="82" t="n">
        <f aca="false">IFERROR(J29/4*10,0)</f>
        <v>2.5</v>
      </c>
      <c r="L29" s="75" t="n">
        <v>3</v>
      </c>
      <c r="M29" s="82" t="n">
        <f aca="false">IFERROR(L29/4*25,0)</f>
        <v>18.75</v>
      </c>
      <c r="N29" s="75" t="n">
        <v>3</v>
      </c>
      <c r="O29" s="82" t="n">
        <f aca="false">IFERROR(N29/4*15,0)</f>
        <v>11.25</v>
      </c>
      <c r="P29" s="76" t="n">
        <f aca="false">SUM(E29,G29,I29,K29,M29,O29)</f>
        <v>70</v>
      </c>
      <c r="Q29" s="77" t="str">
        <f aca="false">IF(P29&gt;=90,"O",IF(P29&gt;=75,"A+",IF(P29&gt;=60,"A",IF(P29&gt;=50,"B+",IF(P29&gt;=40,"B","F")))))</f>
        <v>A</v>
      </c>
      <c r="R29" s="78" t="n">
        <f aca="false">P29/100</f>
        <v>0.7</v>
      </c>
      <c r="S29" s="79" t="str">
        <f aca="false">IF(P29&gt;=75,"L3-High",IF(P29&gt;=60,"L2-Medium",IF(P29&gt;=40,"L1-Low","L0-Below")))</f>
        <v>L2-Medium</v>
      </c>
      <c r="T29" s="80" t="str">
        <f aca="false">IF(P29&gt;=40,"Pass","Fail")</f>
        <v>Pass</v>
      </c>
      <c r="U29" s="83" t="str">
        <f aca="false">IF(P29&gt;=90,"Outstanding mini-project — innovative, fully functional, exceptional documentation and presentation",IF(P29&gt;=75,"Excellent project — strong technical quality, good teamwork; minor refinements needed",IF(P29&gt;=60,"Good project — meets objectives; improve implementation depth and documentation quality",IF(P29&gt;=40,"Satisfactory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30" customFormat="false" ht="21.75" hidden="false" customHeight="true" outlineLevel="0" collapsed="false">
      <c r="A30" s="46" t="n">
        <v>19</v>
      </c>
      <c r="B30" s="47" t="s">
        <v>185</v>
      </c>
      <c r="C30" s="48" t="s">
        <v>186</v>
      </c>
      <c r="D30" s="75" t="n">
        <v>3</v>
      </c>
      <c r="E30" s="72" t="n">
        <f aca="false">IFERROR(D30/4*15,0)</f>
        <v>11.25</v>
      </c>
      <c r="F30" s="73" t="n">
        <v>4</v>
      </c>
      <c r="G30" s="72" t="n">
        <f aca="false">IFERROR(F30/4*20,0)</f>
        <v>20</v>
      </c>
      <c r="H30" s="75" t="n">
        <v>3</v>
      </c>
      <c r="I30" s="72" t="n">
        <f aca="false">IFERROR(H30/4*15,0)</f>
        <v>11.25</v>
      </c>
      <c r="J30" s="75" t="n">
        <v>3</v>
      </c>
      <c r="K30" s="72" t="n">
        <f aca="false">IFERROR(J30/4*10,0)</f>
        <v>7.5</v>
      </c>
      <c r="L30" s="71" t="n">
        <v>1</v>
      </c>
      <c r="M30" s="72" t="n">
        <f aca="false">IFERROR(L30/4*25,0)</f>
        <v>6.25</v>
      </c>
      <c r="N30" s="74" t="n">
        <v>2</v>
      </c>
      <c r="O30" s="72" t="n">
        <f aca="false">IFERROR(N30/4*15,0)</f>
        <v>7.5</v>
      </c>
      <c r="P30" s="76" t="n">
        <f aca="false">SUM(E30,G30,I30,K30,M30,O30)</f>
        <v>63.75</v>
      </c>
      <c r="Q30" s="77" t="str">
        <f aca="false">IF(P30&gt;=90,"O",IF(P30&gt;=75,"A+",IF(P30&gt;=60,"A",IF(P30&gt;=50,"B+",IF(P30&gt;=40,"B","F")))))</f>
        <v>A</v>
      </c>
      <c r="R30" s="78" t="n">
        <f aca="false">P30/100</f>
        <v>0.6375</v>
      </c>
      <c r="S30" s="79" t="str">
        <f aca="false">IF(P30&gt;=75,"L3-High",IF(P30&gt;=60,"L2-Medium",IF(P30&gt;=40,"L1-Low","L0-Below")))</f>
        <v>L2-Medium</v>
      </c>
      <c r="T30" s="80" t="str">
        <f aca="false">IF(P30&gt;=40,"Pass","Fail")</f>
        <v>Pass</v>
      </c>
      <c r="U30" s="81" t="str">
        <f aca="false">IF(P30&gt;=90,"Outstanding mini-project — innovative, fully functional, exceptional documentation and presentation",IF(P30&gt;=75,"Excellent project — strong technical quality, good teamwork; minor refinements needed",IF(P30&gt;=60,"Good project — meets objectives; improve implementation depth and documentation quality",IF(P30&gt;=40,"Satisfactory — basic objectives met; significant improvement needed in innovation, technical depth and presentation","Needs major improvement — revisit project planning, technical execution and documentation"))))</f>
        <v>Good project — meets objectives; improve implementation depth and documentation quality</v>
      </c>
    </row>
    <row r="31" customFormat="false" ht="21.75" hidden="false" customHeight="true" outlineLevel="0" collapsed="false">
      <c r="A31" s="50" t="n">
        <v>20</v>
      </c>
      <c r="B31" s="51" t="s">
        <v>189</v>
      </c>
      <c r="C31" s="52" t="s">
        <v>190</v>
      </c>
      <c r="D31" s="75" t="n">
        <v>3</v>
      </c>
      <c r="E31" s="82" t="n">
        <f aca="false">IFERROR(D31/4*15,0)</f>
        <v>11.25</v>
      </c>
      <c r="F31" s="73" t="n">
        <v>4</v>
      </c>
      <c r="G31" s="82" t="n">
        <f aca="false">IFERROR(F31/4*20,0)</f>
        <v>20</v>
      </c>
      <c r="H31" s="73" t="n">
        <v>4</v>
      </c>
      <c r="I31" s="82" t="n">
        <f aca="false">IFERROR(H31/4*15,0)</f>
        <v>15</v>
      </c>
      <c r="J31" s="73" t="n">
        <v>4</v>
      </c>
      <c r="K31" s="82" t="n">
        <f aca="false">IFERROR(J31/4*10,0)</f>
        <v>10</v>
      </c>
      <c r="L31" s="75" t="n">
        <v>3</v>
      </c>
      <c r="M31" s="82" t="n">
        <f aca="false">IFERROR(L31/4*25,0)</f>
        <v>18.75</v>
      </c>
      <c r="N31" s="75" t="n">
        <v>3</v>
      </c>
      <c r="O31" s="82" t="n">
        <f aca="false">IFERROR(N31/4*15,0)</f>
        <v>11.25</v>
      </c>
      <c r="P31" s="76" t="n">
        <f aca="false">SUM(E31,G31,I31,K31,M31,O31)</f>
        <v>86.25</v>
      </c>
      <c r="Q31" s="77" t="str">
        <f aca="false">IF(P31&gt;=90,"O",IF(P31&gt;=75,"A+",IF(P31&gt;=60,"A",IF(P31&gt;=50,"B+",IF(P31&gt;=40,"B","F")))))</f>
        <v>A+</v>
      </c>
      <c r="R31" s="78" t="n">
        <f aca="false">P31/100</f>
        <v>0.8625</v>
      </c>
      <c r="S31" s="79" t="str">
        <f aca="false">IF(P31&gt;=75,"L3-High",IF(P31&gt;=60,"L2-Medium",IF(P31&gt;=40,"L1-Low","L0-Below")))</f>
        <v>L3-High</v>
      </c>
      <c r="T31" s="80" t="str">
        <f aca="false">IF(P31&gt;=40,"Pass","Fail")</f>
        <v>Pass</v>
      </c>
      <c r="U31" s="83" t="str">
        <f aca="false">IF(P31&gt;=90,"Outstanding mini-project — innovative, fully functional, exceptional documentation and presentation",IF(P31&gt;=75,"Excellent project — strong technical quality, good teamwork; minor refinements needed",IF(P31&gt;=60,"Good project — meets objectives; improve implementation depth and documentation quality",IF(P31&gt;=40,"Satisfactory — basic objectives met; significant improvement needed in innovation, technical depth and presentation","Needs major improvement — revisit project planning, technical execution and documentation"))))</f>
        <v>Excellent project — strong technical quality, good teamwork; minor refinements needed</v>
      </c>
    </row>
    <row r="33" customFormat="false" ht="21.75" hidden="false" customHeight="true" outlineLevel="0" collapsed="false">
      <c r="A33" s="84" t="s">
        <v>229</v>
      </c>
      <c r="B33" s="84"/>
      <c r="C33" s="84"/>
      <c r="D33" s="85" t="n">
        <f aca="false">AVERAGE(D12:D31)</f>
        <v>2.45</v>
      </c>
      <c r="E33" s="85" t="n">
        <f aca="false">AVERAGE(E12:E31)</f>
        <v>9.1875</v>
      </c>
      <c r="F33" s="85" t="n">
        <f aca="false">AVERAGE(F12:F31)</f>
        <v>2.75</v>
      </c>
      <c r="G33" s="85" t="n">
        <f aca="false">AVERAGE(G12:G31)</f>
        <v>13.75</v>
      </c>
      <c r="H33" s="85" t="n">
        <f aca="false">AVERAGE(H12:H31)</f>
        <v>2.8</v>
      </c>
      <c r="I33" s="85" t="n">
        <f aca="false">AVERAGE(I12:I31)</f>
        <v>10.5</v>
      </c>
      <c r="J33" s="85" t="n">
        <f aca="false">AVERAGE(J12:J31)</f>
        <v>2.3</v>
      </c>
      <c r="K33" s="85" t="n">
        <f aca="false">AVERAGE(K12:K31)</f>
        <v>5.75</v>
      </c>
      <c r="L33" s="85" t="n">
        <f aca="false">AVERAGE(L12:L31)</f>
        <v>2.05</v>
      </c>
      <c r="M33" s="85" t="n">
        <f aca="false">AVERAGE(M12:M31)</f>
        <v>12.8125</v>
      </c>
      <c r="N33" s="85" t="n">
        <f aca="false">AVERAGE(N12:N31)</f>
        <v>2.3</v>
      </c>
      <c r="O33" s="85" t="n">
        <f aca="false">AVERAGE(O12:O31)</f>
        <v>8.625</v>
      </c>
      <c r="P33" s="86" t="n">
        <f aca="false">AVERAGE(P12:P31)</f>
        <v>60.625</v>
      </c>
      <c r="Q33" s="35"/>
      <c r="R33" s="35"/>
      <c r="S33" s="35"/>
      <c r="T33" s="35"/>
      <c r="U33" s="35"/>
    </row>
    <row r="34" customFormat="false" ht="21.75" hidden="false" customHeight="true" outlineLevel="0" collapsed="false">
      <c r="A34" s="87" t="s">
        <v>230</v>
      </c>
      <c r="B34" s="87"/>
      <c r="C34" s="87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9" t="n">
        <f aca="false">MAX(P12:P31)</f>
        <v>86.25</v>
      </c>
      <c r="Q34" s="88"/>
      <c r="R34" s="88"/>
      <c r="S34" s="88"/>
      <c r="T34" s="88"/>
      <c r="U34" s="88"/>
    </row>
    <row r="35" customFormat="false" ht="21.75" hidden="false" customHeight="true" outlineLevel="0" collapsed="false">
      <c r="A35" s="90" t="s">
        <v>231</v>
      </c>
      <c r="B35" s="90"/>
      <c r="C35" s="90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2" t="n">
        <f aca="false">MIN(P12:P31)</f>
        <v>35</v>
      </c>
      <c r="Q35" s="91"/>
      <c r="R35" s="91"/>
      <c r="S35" s="91"/>
      <c r="T35" s="91"/>
      <c r="U35" s="91"/>
    </row>
    <row r="36" customFormat="false" ht="21.75" hidden="false" customHeight="true" outlineLevel="0" collapsed="false">
      <c r="A36" s="93" t="s">
        <v>232</v>
      </c>
      <c r="B36" s="93"/>
      <c r="C36" s="93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5" t="n">
        <f aca="false">COUNTIF(P12:P31,"&gt;=40")</f>
        <v>18</v>
      </c>
      <c r="Q36" s="94"/>
      <c r="R36" s="94"/>
      <c r="S36" s="94"/>
      <c r="T36" s="94"/>
      <c r="U36" s="94"/>
    </row>
    <row r="37" customFormat="false" ht="21.75" hidden="false" customHeight="true" outlineLevel="0" collapsed="false">
      <c r="A37" s="96" t="s">
        <v>233</v>
      </c>
      <c r="B37" s="96"/>
      <c r="C37" s="96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 t="n">
        <f aca="false">COUNTIF(P12:P31,"&lt;40")</f>
        <v>2</v>
      </c>
      <c r="Q37" s="97"/>
      <c r="R37" s="97"/>
      <c r="S37" s="97"/>
      <c r="T37" s="97"/>
      <c r="U37" s="97"/>
    </row>
    <row r="38" customFormat="false" ht="21.75" hidden="false" customHeight="true" outlineLevel="0" collapsed="false">
      <c r="A38" s="99" t="s">
        <v>234</v>
      </c>
      <c r="B38" s="99"/>
      <c r="C38" s="99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1" t="n">
        <f aca="false">COUNTIF(P12:P31,"&gt;=75")</f>
        <v>2</v>
      </c>
      <c r="Q38" s="100"/>
      <c r="R38" s="100"/>
      <c r="S38" s="100"/>
      <c r="T38" s="100"/>
      <c r="U38" s="100"/>
    </row>
    <row r="39" customFormat="false" ht="21.75" hidden="false" customHeight="true" outlineLevel="0" collapsed="false">
      <c r="A39" s="102" t="s">
        <v>235</v>
      </c>
      <c r="B39" s="102"/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4" t="n">
        <f aca="false">AVERAGE(R12:R31)</f>
        <v>0.60625</v>
      </c>
      <c r="Q39" s="103"/>
      <c r="R39" s="103"/>
      <c r="S39" s="103"/>
      <c r="T39" s="103"/>
      <c r="U39" s="103"/>
    </row>
    <row r="41" customFormat="false" ht="21.75" hidden="false" customHeight="true" outlineLevel="0" collapsed="false">
      <c r="A41" s="84" t="s">
        <v>236</v>
      </c>
      <c r="B41" s="84"/>
      <c r="C41" s="84"/>
      <c r="D41" s="105" t="s">
        <v>237</v>
      </c>
      <c r="E41" s="106" t="n">
        <f aca="false">COUNTIF(P12:P31,"&gt;=90")</f>
        <v>0</v>
      </c>
      <c r="F41" s="105" t="s">
        <v>238</v>
      </c>
      <c r="G41" s="106" t="n">
        <f aca="false">COUNTIF(P12:P31,"&gt;=75")</f>
        <v>2</v>
      </c>
      <c r="H41" s="105" t="s">
        <v>239</v>
      </c>
      <c r="I41" s="106" t="n">
        <f aca="false">COUNTIF(P12:P31,"&gt;=60")</f>
        <v>12</v>
      </c>
      <c r="J41" s="105" t="s">
        <v>240</v>
      </c>
      <c r="K41" s="106" t="n">
        <f aca="false">COUNTIF(P12:P31,"&gt;=50")</f>
        <v>17</v>
      </c>
      <c r="L41" s="105" t="s">
        <v>241</v>
      </c>
      <c r="M41" s="106" t="n">
        <f aca="false">COUNTIF(P12:P31,"&gt;=40")</f>
        <v>18</v>
      </c>
      <c r="N41" s="105" t="s">
        <v>242</v>
      </c>
      <c r="O41" s="106" t="n">
        <f aca="false">COUNTIF(P12:P31,"&lt;40")</f>
        <v>2</v>
      </c>
    </row>
  </sheetData>
  <mergeCells count="25">
    <mergeCell ref="A1:U1"/>
    <mergeCell ref="A2:U2"/>
    <mergeCell ref="A7:C7"/>
    <mergeCell ref="H7:U7"/>
    <mergeCell ref="A9:C11"/>
    <mergeCell ref="D9:E9"/>
    <mergeCell ref="F9:G9"/>
    <mergeCell ref="H9:I9"/>
    <mergeCell ref="J9:K9"/>
    <mergeCell ref="L9:M9"/>
    <mergeCell ref="N9:O9"/>
    <mergeCell ref="P9:P11"/>
    <mergeCell ref="Q9:Q11"/>
    <mergeCell ref="R9:R11"/>
    <mergeCell ref="S9:S11"/>
    <mergeCell ref="T9:T11"/>
    <mergeCell ref="U9:U11"/>
    <mergeCell ref="A33:C33"/>
    <mergeCell ref="A34:C34"/>
    <mergeCell ref="A35:C35"/>
    <mergeCell ref="A36:C36"/>
    <mergeCell ref="A37:C37"/>
    <mergeCell ref="A38:C38"/>
    <mergeCell ref="A39:C39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9" min="4" style="0" width="11"/>
    <col collapsed="false" customWidth="true" hidden="false" outlineLevel="0" max="14" min="10" style="0" width="12"/>
  </cols>
  <sheetData>
    <row r="1" customFormat="false" ht="43.5" hidden="false" customHeight="true" outlineLevel="0" collapsed="false">
      <c r="A1" s="54" t="s">
        <v>243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customFormat="false" ht="13.5" hidden="false" customHeight="true" outlineLevel="0" collapsed="false">
      <c r="A2" s="45" t="s">
        <v>244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customFormat="false" ht="7.5" hidden="false" customHeight="true" outlineLevel="0" collapsed="false"/>
    <row r="4" customFormat="false" ht="19.5" hidden="false" customHeight="true" outlineLevel="0" collapsed="false">
      <c r="A4" s="38" t="s">
        <v>245</v>
      </c>
      <c r="B4" s="38"/>
      <c r="C4" s="38"/>
      <c r="D4" s="107" t="s">
        <v>246</v>
      </c>
      <c r="E4" s="107" t="s">
        <v>247</v>
      </c>
      <c r="F4" s="108" t="s">
        <v>248</v>
      </c>
      <c r="G4" s="108" t="s">
        <v>249</v>
      </c>
      <c r="H4" s="109" t="s">
        <v>250</v>
      </c>
      <c r="I4" s="109" t="s">
        <v>251</v>
      </c>
      <c r="J4" s="107" t="s">
        <v>252</v>
      </c>
      <c r="K4" s="108" t="s">
        <v>253</v>
      </c>
      <c r="L4" s="109" t="s">
        <v>254</v>
      </c>
    </row>
    <row r="6" customFormat="false" ht="25.5" hidden="false" customHeight="true" outlineLevel="0" collapsed="false">
      <c r="A6" s="13" t="s">
        <v>12</v>
      </c>
      <c r="B6" s="13" t="s">
        <v>104</v>
      </c>
      <c r="C6" s="13" t="s">
        <v>105</v>
      </c>
      <c r="D6" s="110" t="s">
        <v>255</v>
      </c>
      <c r="E6" s="110" t="s">
        <v>256</v>
      </c>
      <c r="F6" s="110" t="s">
        <v>257</v>
      </c>
      <c r="G6" s="110" t="s">
        <v>258</v>
      </c>
      <c r="H6" s="110" t="s">
        <v>259</v>
      </c>
      <c r="I6" s="110" t="s">
        <v>260</v>
      </c>
      <c r="J6" s="16" t="s">
        <v>261</v>
      </c>
      <c r="K6" s="19" t="s">
        <v>216</v>
      </c>
      <c r="L6" s="14" t="s">
        <v>217</v>
      </c>
      <c r="M6" s="16" t="s">
        <v>262</v>
      </c>
      <c r="N6" s="111" t="s">
        <v>219</v>
      </c>
    </row>
    <row r="7" customFormat="false" ht="19.5" hidden="false" customHeight="true" outlineLevel="0" collapsed="false">
      <c r="A7" s="46" t="n">
        <v>1</v>
      </c>
      <c r="B7" s="47" t="s">
        <v>109</v>
      </c>
      <c r="C7" s="48" t="s">
        <v>110</v>
      </c>
      <c r="D7" s="112" t="n">
        <f aca="false">'Score Entry'!D12</f>
        <v>1</v>
      </c>
      <c r="E7" s="112" t="n">
        <f aca="false">'Score Entry'!F12</f>
        <v>4</v>
      </c>
      <c r="F7" s="112" t="n">
        <f aca="false">'Score Entry'!H12</f>
        <v>2</v>
      </c>
      <c r="G7" s="112" t="n">
        <f aca="false">'Score Entry'!J12</f>
        <v>1</v>
      </c>
      <c r="H7" s="112" t="n">
        <f aca="false">'Score Entry'!L12</f>
        <v>3</v>
      </c>
      <c r="I7" s="112" t="n">
        <f aca="false">'Score Entry'!N12</f>
        <v>4</v>
      </c>
      <c r="J7" s="76" t="n">
        <f aca="false">'Score Entry'!P12</f>
        <v>67.5</v>
      </c>
      <c r="K7" s="31" t="str">
        <f aca="false">'Score Entry'!Q12</f>
        <v>A</v>
      </c>
      <c r="L7" s="78" t="n">
        <f aca="false">'Score Entry'!R12</f>
        <v>0.675</v>
      </c>
      <c r="M7" s="79" t="str">
        <f aca="false">'Score Entry'!S12</f>
        <v>L2-Medium</v>
      </c>
      <c r="N7" s="80" t="str">
        <f aca="false">'Score Entry'!T12</f>
        <v>Pass</v>
      </c>
    </row>
    <row r="8" customFormat="false" ht="19.5" hidden="false" customHeight="true" outlineLevel="0" collapsed="false">
      <c r="A8" s="50" t="n">
        <v>2</v>
      </c>
      <c r="B8" s="51" t="s">
        <v>114</v>
      </c>
      <c r="C8" s="52" t="s">
        <v>115</v>
      </c>
      <c r="D8" s="112" t="n">
        <f aca="false">'Score Entry'!D13</f>
        <v>2</v>
      </c>
      <c r="E8" s="112" t="n">
        <f aca="false">'Score Entry'!F13</f>
        <v>1</v>
      </c>
      <c r="F8" s="112" t="n">
        <f aca="false">'Score Entry'!H13</f>
        <v>4</v>
      </c>
      <c r="G8" s="112" t="n">
        <f aca="false">'Score Entry'!J13</f>
        <v>4</v>
      </c>
      <c r="H8" s="112" t="n">
        <f aca="false">'Score Entry'!L13</f>
        <v>1</v>
      </c>
      <c r="I8" s="112" t="n">
        <f aca="false">'Score Entry'!N13</f>
        <v>1</v>
      </c>
      <c r="J8" s="76" t="n">
        <f aca="false">'Score Entry'!P13</f>
        <v>47.5</v>
      </c>
      <c r="K8" s="31" t="str">
        <f aca="false">'Score Entry'!Q13</f>
        <v>B</v>
      </c>
      <c r="L8" s="78" t="n">
        <f aca="false">'Score Entry'!R13</f>
        <v>0.475</v>
      </c>
      <c r="M8" s="79" t="str">
        <f aca="false">'Score Entry'!S13</f>
        <v>L1-Low</v>
      </c>
      <c r="N8" s="80" t="str">
        <f aca="false">'Score Entry'!T13</f>
        <v>Pass</v>
      </c>
    </row>
    <row r="9" customFormat="false" ht="19.5" hidden="false" customHeight="true" outlineLevel="0" collapsed="false">
      <c r="A9" s="46" t="n">
        <v>3</v>
      </c>
      <c r="B9" s="47" t="s">
        <v>119</v>
      </c>
      <c r="C9" s="48" t="s">
        <v>120</v>
      </c>
      <c r="D9" s="112" t="n">
        <f aca="false">'Score Entry'!D14</f>
        <v>1</v>
      </c>
      <c r="E9" s="112" t="n">
        <f aca="false">'Score Entry'!F14</f>
        <v>2</v>
      </c>
      <c r="F9" s="112" t="n">
        <f aca="false">'Score Entry'!H14</f>
        <v>4</v>
      </c>
      <c r="G9" s="112" t="n">
        <f aca="false">'Score Entry'!J14</f>
        <v>1</v>
      </c>
      <c r="H9" s="112" t="n">
        <f aca="false">'Score Entry'!L14</f>
        <v>4</v>
      </c>
      <c r="I9" s="112" t="n">
        <f aca="false">'Score Entry'!N14</f>
        <v>1</v>
      </c>
      <c r="J9" s="76" t="n">
        <f aca="false">'Score Entry'!P14</f>
        <v>60</v>
      </c>
      <c r="K9" s="31" t="str">
        <f aca="false">'Score Entry'!Q14</f>
        <v>A</v>
      </c>
      <c r="L9" s="78" t="n">
        <f aca="false">'Score Entry'!R14</f>
        <v>0.6</v>
      </c>
      <c r="M9" s="79" t="str">
        <f aca="false">'Score Entry'!S14</f>
        <v>L2-Medium</v>
      </c>
      <c r="N9" s="80" t="str">
        <f aca="false">'Score Entry'!T14</f>
        <v>Pass</v>
      </c>
    </row>
    <row r="10" customFormat="false" ht="19.5" hidden="false" customHeight="true" outlineLevel="0" collapsed="false">
      <c r="A10" s="50" t="n">
        <v>4</v>
      </c>
      <c r="B10" s="51" t="s">
        <v>124</v>
      </c>
      <c r="C10" s="52" t="s">
        <v>125</v>
      </c>
      <c r="D10" s="112" t="n">
        <f aca="false">'Score Entry'!D15</f>
        <v>1</v>
      </c>
      <c r="E10" s="112" t="n">
        <f aca="false">'Score Entry'!F15</f>
        <v>1</v>
      </c>
      <c r="F10" s="112" t="n">
        <f aca="false">'Score Entry'!H15</f>
        <v>2</v>
      </c>
      <c r="G10" s="112" t="n">
        <f aca="false">'Score Entry'!J15</f>
        <v>2</v>
      </c>
      <c r="H10" s="112" t="n">
        <f aca="false">'Score Entry'!L15</f>
        <v>1</v>
      </c>
      <c r="I10" s="112" t="n">
        <f aca="false">'Score Entry'!N15</f>
        <v>2</v>
      </c>
      <c r="J10" s="76" t="n">
        <f aca="false">'Score Entry'!P15</f>
        <v>35</v>
      </c>
      <c r="K10" s="31" t="str">
        <f aca="false">'Score Entry'!Q15</f>
        <v>F</v>
      </c>
      <c r="L10" s="78" t="n">
        <f aca="false">'Score Entry'!R15</f>
        <v>0.35</v>
      </c>
      <c r="M10" s="79" t="str">
        <f aca="false">'Score Entry'!S15</f>
        <v>L0-Below</v>
      </c>
      <c r="N10" s="80" t="str">
        <f aca="false">'Score Entry'!T15</f>
        <v>Fail</v>
      </c>
    </row>
    <row r="11" customFormat="false" ht="19.5" hidden="false" customHeight="true" outlineLevel="0" collapsed="false">
      <c r="A11" s="46" t="n">
        <v>5</v>
      </c>
      <c r="B11" s="47" t="s">
        <v>128</v>
      </c>
      <c r="C11" s="48" t="s">
        <v>129</v>
      </c>
      <c r="D11" s="112" t="n">
        <f aca="false">'Score Entry'!D16</f>
        <v>4</v>
      </c>
      <c r="E11" s="112" t="n">
        <f aca="false">'Score Entry'!F16</f>
        <v>4</v>
      </c>
      <c r="F11" s="112" t="n">
        <f aca="false">'Score Entry'!H16</f>
        <v>3</v>
      </c>
      <c r="G11" s="112" t="n">
        <f aca="false">'Score Entry'!J16</f>
        <v>1</v>
      </c>
      <c r="H11" s="112" t="n">
        <f aca="false">'Score Entry'!L16</f>
        <v>1</v>
      </c>
      <c r="I11" s="112" t="n">
        <f aca="false">'Score Entry'!N16</f>
        <v>2</v>
      </c>
      <c r="J11" s="76" t="n">
        <f aca="false">'Score Entry'!P16</f>
        <v>62.5</v>
      </c>
      <c r="K11" s="31" t="str">
        <f aca="false">'Score Entry'!Q16</f>
        <v>A</v>
      </c>
      <c r="L11" s="78" t="n">
        <f aca="false">'Score Entry'!R16</f>
        <v>0.625</v>
      </c>
      <c r="M11" s="79" t="str">
        <f aca="false">'Score Entry'!S16</f>
        <v>L2-Medium</v>
      </c>
      <c r="N11" s="80" t="str">
        <f aca="false">'Score Entry'!T16</f>
        <v>Pass</v>
      </c>
    </row>
    <row r="12" customFormat="false" ht="19.5" hidden="false" customHeight="true" outlineLevel="0" collapsed="false">
      <c r="A12" s="50" t="n">
        <v>6</v>
      </c>
      <c r="B12" s="51" t="s">
        <v>132</v>
      </c>
      <c r="C12" s="52" t="s">
        <v>133</v>
      </c>
      <c r="D12" s="112" t="n">
        <f aca="false">'Score Entry'!D17</f>
        <v>2</v>
      </c>
      <c r="E12" s="112" t="n">
        <f aca="false">'Score Entry'!F17</f>
        <v>1</v>
      </c>
      <c r="F12" s="112" t="n">
        <f aca="false">'Score Entry'!H17</f>
        <v>2</v>
      </c>
      <c r="G12" s="112" t="n">
        <f aca="false">'Score Entry'!J17</f>
        <v>1</v>
      </c>
      <c r="H12" s="112" t="n">
        <f aca="false">'Score Entry'!L17</f>
        <v>1</v>
      </c>
      <c r="I12" s="112" t="n">
        <f aca="false">'Score Entry'!N17</f>
        <v>2</v>
      </c>
      <c r="J12" s="76" t="n">
        <f aca="false">'Score Entry'!P17</f>
        <v>36.25</v>
      </c>
      <c r="K12" s="31" t="str">
        <f aca="false">'Score Entry'!Q17</f>
        <v>F</v>
      </c>
      <c r="L12" s="78" t="n">
        <f aca="false">'Score Entry'!R17</f>
        <v>0.3625</v>
      </c>
      <c r="M12" s="79" t="str">
        <f aca="false">'Score Entry'!S17</f>
        <v>L0-Below</v>
      </c>
      <c r="N12" s="80" t="str">
        <f aca="false">'Score Entry'!T17</f>
        <v>Fail</v>
      </c>
    </row>
    <row r="13" customFormat="false" ht="19.5" hidden="false" customHeight="true" outlineLevel="0" collapsed="false">
      <c r="A13" s="46" t="n">
        <v>7</v>
      </c>
      <c r="B13" s="47" t="s">
        <v>136</v>
      </c>
      <c r="C13" s="48" t="s">
        <v>137</v>
      </c>
      <c r="D13" s="112" t="n">
        <f aca="false">'Score Entry'!D18</f>
        <v>3</v>
      </c>
      <c r="E13" s="112" t="n">
        <f aca="false">'Score Entry'!F18</f>
        <v>1</v>
      </c>
      <c r="F13" s="112" t="n">
        <f aca="false">'Score Entry'!H18</f>
        <v>4</v>
      </c>
      <c r="G13" s="112" t="n">
        <f aca="false">'Score Entry'!J18</f>
        <v>3</v>
      </c>
      <c r="H13" s="112" t="n">
        <f aca="false">'Score Entry'!L18</f>
        <v>4</v>
      </c>
      <c r="I13" s="112" t="n">
        <f aca="false">'Score Entry'!N18</f>
        <v>2</v>
      </c>
      <c r="J13" s="76" t="n">
        <f aca="false">'Score Entry'!P18</f>
        <v>71.25</v>
      </c>
      <c r="K13" s="31" t="str">
        <f aca="false">'Score Entry'!Q18</f>
        <v>A</v>
      </c>
      <c r="L13" s="78" t="n">
        <f aca="false">'Score Entry'!R18</f>
        <v>0.7125</v>
      </c>
      <c r="M13" s="79" t="str">
        <f aca="false">'Score Entry'!S18</f>
        <v>L2-Medium</v>
      </c>
      <c r="N13" s="80" t="str">
        <f aca="false">'Score Entry'!T18</f>
        <v>Pass</v>
      </c>
    </row>
    <row r="14" customFormat="false" ht="19.5" hidden="false" customHeight="true" outlineLevel="0" collapsed="false">
      <c r="A14" s="50" t="n">
        <v>8</v>
      </c>
      <c r="B14" s="51" t="s">
        <v>140</v>
      </c>
      <c r="C14" s="52" t="s">
        <v>141</v>
      </c>
      <c r="D14" s="112" t="n">
        <f aca="false">'Score Entry'!D19</f>
        <v>3</v>
      </c>
      <c r="E14" s="112" t="n">
        <f aca="false">'Score Entry'!F19</f>
        <v>4</v>
      </c>
      <c r="F14" s="112" t="n">
        <f aca="false">'Score Entry'!H19</f>
        <v>4</v>
      </c>
      <c r="G14" s="112" t="n">
        <f aca="false">'Score Entry'!J19</f>
        <v>4</v>
      </c>
      <c r="H14" s="112" t="n">
        <f aca="false">'Score Entry'!L19</f>
        <v>1</v>
      </c>
      <c r="I14" s="112" t="n">
        <f aca="false">'Score Entry'!N19</f>
        <v>4</v>
      </c>
      <c r="J14" s="76" t="n">
        <f aca="false">'Score Entry'!P19</f>
        <v>77.5</v>
      </c>
      <c r="K14" s="31" t="str">
        <f aca="false">'Score Entry'!Q19</f>
        <v>A+</v>
      </c>
      <c r="L14" s="78" t="n">
        <f aca="false">'Score Entry'!R19</f>
        <v>0.775</v>
      </c>
      <c r="M14" s="79" t="str">
        <f aca="false">'Score Entry'!S19</f>
        <v>L3-High</v>
      </c>
      <c r="N14" s="80" t="str">
        <f aca="false">'Score Entry'!T19</f>
        <v>Pass</v>
      </c>
    </row>
    <row r="15" customFormat="false" ht="19.5" hidden="false" customHeight="true" outlineLevel="0" collapsed="false">
      <c r="A15" s="46" t="n">
        <v>9</v>
      </c>
      <c r="B15" s="47" t="s">
        <v>145</v>
      </c>
      <c r="C15" s="48" t="s">
        <v>146</v>
      </c>
      <c r="D15" s="112" t="n">
        <f aca="false">'Score Entry'!D20</f>
        <v>1</v>
      </c>
      <c r="E15" s="112" t="n">
        <f aca="false">'Score Entry'!F20</f>
        <v>3</v>
      </c>
      <c r="F15" s="112" t="n">
        <f aca="false">'Score Entry'!H20</f>
        <v>2</v>
      </c>
      <c r="G15" s="112" t="n">
        <f aca="false">'Score Entry'!J20</f>
        <v>3</v>
      </c>
      <c r="H15" s="112" t="n">
        <f aca="false">'Score Entry'!L20</f>
        <v>2</v>
      </c>
      <c r="I15" s="112" t="n">
        <f aca="false">'Score Entry'!N20</f>
        <v>3</v>
      </c>
      <c r="J15" s="76" t="n">
        <f aca="false">'Score Entry'!P20</f>
        <v>57.5</v>
      </c>
      <c r="K15" s="31" t="str">
        <f aca="false">'Score Entry'!Q20</f>
        <v>B+</v>
      </c>
      <c r="L15" s="78" t="n">
        <f aca="false">'Score Entry'!R20</f>
        <v>0.575</v>
      </c>
      <c r="M15" s="79" t="str">
        <f aca="false">'Score Entry'!S20</f>
        <v>L1-Low</v>
      </c>
      <c r="N15" s="80" t="str">
        <f aca="false">'Score Entry'!T20</f>
        <v>Pass</v>
      </c>
    </row>
    <row r="16" customFormat="false" ht="19.5" hidden="false" customHeight="true" outlineLevel="0" collapsed="false">
      <c r="A16" s="50" t="n">
        <v>10</v>
      </c>
      <c r="B16" s="51" t="s">
        <v>149</v>
      </c>
      <c r="C16" s="52" t="s">
        <v>150</v>
      </c>
      <c r="D16" s="112" t="n">
        <f aca="false">'Score Entry'!D21</f>
        <v>2</v>
      </c>
      <c r="E16" s="112" t="n">
        <f aca="false">'Score Entry'!F21</f>
        <v>3</v>
      </c>
      <c r="F16" s="112" t="n">
        <f aca="false">'Score Entry'!H21</f>
        <v>3</v>
      </c>
      <c r="G16" s="112" t="n">
        <f aca="false">'Score Entry'!J21</f>
        <v>3</v>
      </c>
      <c r="H16" s="112" t="n">
        <f aca="false">'Score Entry'!L21</f>
        <v>3</v>
      </c>
      <c r="I16" s="112" t="n">
        <f aca="false">'Score Entry'!N21</f>
        <v>1</v>
      </c>
      <c r="J16" s="76" t="n">
        <f aca="false">'Score Entry'!P21</f>
        <v>63.75</v>
      </c>
      <c r="K16" s="31" t="str">
        <f aca="false">'Score Entry'!Q21</f>
        <v>A</v>
      </c>
      <c r="L16" s="78" t="n">
        <f aca="false">'Score Entry'!R21</f>
        <v>0.6375</v>
      </c>
      <c r="M16" s="79" t="str">
        <f aca="false">'Score Entry'!S21</f>
        <v>L2-Medium</v>
      </c>
      <c r="N16" s="80" t="str">
        <f aca="false">'Score Entry'!T21</f>
        <v>Pass</v>
      </c>
    </row>
    <row r="17" customFormat="false" ht="19.5" hidden="false" customHeight="true" outlineLevel="0" collapsed="false">
      <c r="A17" s="46" t="n">
        <v>11</v>
      </c>
      <c r="B17" s="47" t="s">
        <v>153</v>
      </c>
      <c r="C17" s="48" t="s">
        <v>154</v>
      </c>
      <c r="D17" s="112" t="n">
        <f aca="false">'Score Entry'!D22</f>
        <v>2</v>
      </c>
      <c r="E17" s="112" t="n">
        <f aca="false">'Score Entry'!F22</f>
        <v>3</v>
      </c>
      <c r="F17" s="112" t="n">
        <f aca="false">'Score Entry'!H22</f>
        <v>3</v>
      </c>
      <c r="G17" s="112" t="n">
        <f aca="false">'Score Entry'!J22</f>
        <v>2</v>
      </c>
      <c r="H17" s="112" t="n">
        <f aca="false">'Score Entry'!L22</f>
        <v>1</v>
      </c>
      <c r="I17" s="112" t="n">
        <f aca="false">'Score Entry'!N22</f>
        <v>3</v>
      </c>
      <c r="J17" s="76" t="n">
        <f aca="false">'Score Entry'!P22</f>
        <v>56.25</v>
      </c>
      <c r="K17" s="31" t="str">
        <f aca="false">'Score Entry'!Q22</f>
        <v>B+</v>
      </c>
      <c r="L17" s="78" t="n">
        <f aca="false">'Score Entry'!R22</f>
        <v>0.5625</v>
      </c>
      <c r="M17" s="79" t="str">
        <f aca="false">'Score Entry'!S22</f>
        <v>L1-Low</v>
      </c>
      <c r="N17" s="80" t="str">
        <f aca="false">'Score Entry'!T22</f>
        <v>Pass</v>
      </c>
    </row>
    <row r="18" customFormat="false" ht="19.5" hidden="false" customHeight="true" outlineLevel="0" collapsed="false">
      <c r="A18" s="50" t="n">
        <v>12</v>
      </c>
      <c r="B18" s="51" t="s">
        <v>157</v>
      </c>
      <c r="C18" s="52" t="s">
        <v>158</v>
      </c>
      <c r="D18" s="112" t="n">
        <f aca="false">'Score Entry'!D23</f>
        <v>2</v>
      </c>
      <c r="E18" s="112" t="n">
        <f aca="false">'Score Entry'!F23</f>
        <v>4</v>
      </c>
      <c r="F18" s="112" t="n">
        <f aca="false">'Score Entry'!H23</f>
        <v>3</v>
      </c>
      <c r="G18" s="112" t="n">
        <f aca="false">'Score Entry'!J23</f>
        <v>2</v>
      </c>
      <c r="H18" s="112" t="n">
        <f aca="false">'Score Entry'!L23</f>
        <v>3</v>
      </c>
      <c r="I18" s="112" t="n">
        <f aca="false">'Score Entry'!N23</f>
        <v>1</v>
      </c>
      <c r="J18" s="76" t="n">
        <f aca="false">'Score Entry'!P23</f>
        <v>66.25</v>
      </c>
      <c r="K18" s="31" t="str">
        <f aca="false">'Score Entry'!Q23</f>
        <v>A</v>
      </c>
      <c r="L18" s="78" t="n">
        <f aca="false">'Score Entry'!R23</f>
        <v>0.6625</v>
      </c>
      <c r="M18" s="79" t="str">
        <f aca="false">'Score Entry'!S23</f>
        <v>L2-Medium</v>
      </c>
      <c r="N18" s="80" t="str">
        <f aca="false">'Score Entry'!T23</f>
        <v>Pass</v>
      </c>
    </row>
    <row r="19" customFormat="false" ht="19.5" hidden="false" customHeight="true" outlineLevel="0" collapsed="false">
      <c r="A19" s="46" t="n">
        <v>13</v>
      </c>
      <c r="B19" s="47" t="s">
        <v>161</v>
      </c>
      <c r="C19" s="48" t="s">
        <v>162</v>
      </c>
      <c r="D19" s="112" t="n">
        <f aca="false">'Score Entry'!D24</f>
        <v>4</v>
      </c>
      <c r="E19" s="112" t="n">
        <f aca="false">'Score Entry'!F24</f>
        <v>1</v>
      </c>
      <c r="F19" s="112" t="n">
        <f aca="false">'Score Entry'!H24</f>
        <v>2</v>
      </c>
      <c r="G19" s="112" t="n">
        <f aca="false">'Score Entry'!J24</f>
        <v>2</v>
      </c>
      <c r="H19" s="112" t="n">
        <f aca="false">'Score Entry'!L24</f>
        <v>2</v>
      </c>
      <c r="I19" s="112" t="n">
        <f aca="false">'Score Entry'!N24</f>
        <v>2</v>
      </c>
      <c r="J19" s="76" t="n">
        <f aca="false">'Score Entry'!P24</f>
        <v>52.5</v>
      </c>
      <c r="K19" s="31" t="str">
        <f aca="false">'Score Entry'!Q24</f>
        <v>B+</v>
      </c>
      <c r="L19" s="78" t="n">
        <f aca="false">'Score Entry'!R24</f>
        <v>0.525</v>
      </c>
      <c r="M19" s="79" t="str">
        <f aca="false">'Score Entry'!S24</f>
        <v>L1-Low</v>
      </c>
      <c r="N19" s="80" t="str">
        <f aca="false">'Score Entry'!T24</f>
        <v>Pass</v>
      </c>
    </row>
    <row r="20" customFormat="false" ht="19.5" hidden="false" customHeight="true" outlineLevel="0" collapsed="false">
      <c r="A20" s="50" t="n">
        <v>14</v>
      </c>
      <c r="B20" s="51" t="s">
        <v>165</v>
      </c>
      <c r="C20" s="52" t="s">
        <v>166</v>
      </c>
      <c r="D20" s="112" t="n">
        <f aca="false">'Score Entry'!D25</f>
        <v>2</v>
      </c>
      <c r="E20" s="112" t="n">
        <f aca="false">'Score Entry'!F25</f>
        <v>4</v>
      </c>
      <c r="F20" s="112" t="n">
        <f aca="false">'Score Entry'!H25</f>
        <v>2</v>
      </c>
      <c r="G20" s="112" t="n">
        <f aca="false">'Score Entry'!J25</f>
        <v>3</v>
      </c>
      <c r="H20" s="112" t="n">
        <f aca="false">'Score Entry'!L25</f>
        <v>1</v>
      </c>
      <c r="I20" s="112" t="n">
        <f aca="false">'Score Entry'!N25</f>
        <v>1</v>
      </c>
      <c r="J20" s="76" t="n">
        <f aca="false">'Score Entry'!P25</f>
        <v>52.5</v>
      </c>
      <c r="K20" s="31" t="str">
        <f aca="false">'Score Entry'!Q25</f>
        <v>B+</v>
      </c>
      <c r="L20" s="78" t="n">
        <f aca="false">'Score Entry'!R25</f>
        <v>0.525</v>
      </c>
      <c r="M20" s="79" t="str">
        <f aca="false">'Score Entry'!S25</f>
        <v>L1-Low</v>
      </c>
      <c r="N20" s="80" t="str">
        <f aca="false">'Score Entry'!T25</f>
        <v>Pass</v>
      </c>
    </row>
    <row r="21" customFormat="false" ht="19.5" hidden="false" customHeight="true" outlineLevel="0" collapsed="false">
      <c r="A21" s="46" t="n">
        <v>15</v>
      </c>
      <c r="B21" s="47" t="s">
        <v>169</v>
      </c>
      <c r="C21" s="48" t="s">
        <v>170</v>
      </c>
      <c r="D21" s="112" t="n">
        <f aca="false">'Score Entry'!D26</f>
        <v>4</v>
      </c>
      <c r="E21" s="112" t="n">
        <f aca="false">'Score Entry'!F26</f>
        <v>2</v>
      </c>
      <c r="F21" s="112" t="n">
        <f aca="false">'Score Entry'!H26</f>
        <v>2</v>
      </c>
      <c r="G21" s="112" t="n">
        <f aca="false">'Score Entry'!J26</f>
        <v>2</v>
      </c>
      <c r="H21" s="112" t="n">
        <f aca="false">'Score Entry'!L26</f>
        <v>2</v>
      </c>
      <c r="I21" s="112" t="n">
        <f aca="false">'Score Entry'!N26</f>
        <v>3</v>
      </c>
      <c r="J21" s="76" t="n">
        <f aca="false">'Score Entry'!P26</f>
        <v>61.25</v>
      </c>
      <c r="K21" s="31" t="str">
        <f aca="false">'Score Entry'!Q26</f>
        <v>A</v>
      </c>
      <c r="L21" s="78" t="n">
        <f aca="false">'Score Entry'!R26</f>
        <v>0.6125</v>
      </c>
      <c r="M21" s="79" t="str">
        <f aca="false">'Score Entry'!S26</f>
        <v>L2-Medium</v>
      </c>
      <c r="N21" s="80" t="str">
        <f aca="false">'Score Entry'!T26</f>
        <v>Pass</v>
      </c>
    </row>
    <row r="22" customFormat="false" ht="19.5" hidden="false" customHeight="true" outlineLevel="0" collapsed="false">
      <c r="A22" s="50" t="n">
        <v>16</v>
      </c>
      <c r="B22" s="51" t="s">
        <v>173</v>
      </c>
      <c r="C22" s="52" t="s">
        <v>174</v>
      </c>
      <c r="D22" s="112" t="n">
        <f aca="false">'Score Entry'!D27</f>
        <v>3</v>
      </c>
      <c r="E22" s="112" t="n">
        <f aca="false">'Score Entry'!F27</f>
        <v>2</v>
      </c>
      <c r="F22" s="112" t="n">
        <f aca="false">'Score Entry'!H27</f>
        <v>3</v>
      </c>
      <c r="G22" s="112" t="n">
        <f aca="false">'Score Entry'!J27</f>
        <v>3</v>
      </c>
      <c r="H22" s="112" t="n">
        <f aca="false">'Score Entry'!L27</f>
        <v>2</v>
      </c>
      <c r="I22" s="112" t="n">
        <f aca="false">'Score Entry'!N27</f>
        <v>4</v>
      </c>
      <c r="J22" s="76" t="n">
        <f aca="false">'Score Entry'!P27</f>
        <v>67.5</v>
      </c>
      <c r="K22" s="31" t="str">
        <f aca="false">'Score Entry'!Q27</f>
        <v>A</v>
      </c>
      <c r="L22" s="78" t="n">
        <f aca="false">'Score Entry'!R27</f>
        <v>0.675</v>
      </c>
      <c r="M22" s="79" t="str">
        <f aca="false">'Score Entry'!S27</f>
        <v>L2-Medium</v>
      </c>
      <c r="N22" s="80" t="str">
        <f aca="false">'Score Entry'!T27</f>
        <v>Pass</v>
      </c>
    </row>
    <row r="23" customFormat="false" ht="19.5" hidden="false" customHeight="true" outlineLevel="0" collapsed="false">
      <c r="A23" s="46" t="n">
        <v>17</v>
      </c>
      <c r="B23" s="47" t="s">
        <v>177</v>
      </c>
      <c r="C23" s="48" t="s">
        <v>178</v>
      </c>
      <c r="D23" s="112" t="n">
        <f aca="false">'Score Entry'!D28</f>
        <v>2</v>
      </c>
      <c r="E23" s="112" t="n">
        <f aca="false">'Score Entry'!F28</f>
        <v>4</v>
      </c>
      <c r="F23" s="112" t="n">
        <f aca="false">'Score Entry'!H28</f>
        <v>2</v>
      </c>
      <c r="G23" s="112" t="n">
        <f aca="false">'Score Entry'!J28</f>
        <v>1</v>
      </c>
      <c r="H23" s="112" t="n">
        <f aca="false">'Score Entry'!L28</f>
        <v>2</v>
      </c>
      <c r="I23" s="112" t="n">
        <f aca="false">'Score Entry'!N28</f>
        <v>2</v>
      </c>
      <c r="J23" s="76" t="n">
        <f aca="false">'Score Entry'!P28</f>
        <v>57.5</v>
      </c>
      <c r="K23" s="31" t="str">
        <f aca="false">'Score Entry'!Q28</f>
        <v>B+</v>
      </c>
      <c r="L23" s="78" t="n">
        <f aca="false">'Score Entry'!R28</f>
        <v>0.575</v>
      </c>
      <c r="M23" s="79" t="str">
        <f aca="false">'Score Entry'!S28</f>
        <v>L1-Low</v>
      </c>
      <c r="N23" s="80" t="str">
        <f aca="false">'Score Entry'!T28</f>
        <v>Pass</v>
      </c>
    </row>
    <row r="24" customFormat="false" ht="19.5" hidden="false" customHeight="true" outlineLevel="0" collapsed="false">
      <c r="A24" s="50" t="n">
        <v>18</v>
      </c>
      <c r="B24" s="51" t="s">
        <v>181</v>
      </c>
      <c r="C24" s="52" t="s">
        <v>182</v>
      </c>
      <c r="D24" s="112" t="n">
        <f aca="false">'Score Entry'!D29</f>
        <v>4</v>
      </c>
      <c r="E24" s="112" t="n">
        <f aca="false">'Score Entry'!F29</f>
        <v>3</v>
      </c>
      <c r="F24" s="112" t="n">
        <f aca="false">'Score Entry'!H29</f>
        <v>2</v>
      </c>
      <c r="G24" s="112" t="n">
        <f aca="false">'Score Entry'!J29</f>
        <v>1</v>
      </c>
      <c r="H24" s="112" t="n">
        <f aca="false">'Score Entry'!L29</f>
        <v>3</v>
      </c>
      <c r="I24" s="112" t="n">
        <f aca="false">'Score Entry'!N29</f>
        <v>3</v>
      </c>
      <c r="J24" s="76" t="n">
        <f aca="false">'Score Entry'!P29</f>
        <v>70</v>
      </c>
      <c r="K24" s="31" t="str">
        <f aca="false">'Score Entry'!Q29</f>
        <v>A</v>
      </c>
      <c r="L24" s="78" t="n">
        <f aca="false">'Score Entry'!R29</f>
        <v>0.7</v>
      </c>
      <c r="M24" s="79" t="str">
        <f aca="false">'Score Entry'!S29</f>
        <v>L2-Medium</v>
      </c>
      <c r="N24" s="80" t="str">
        <f aca="false">'Score Entry'!T29</f>
        <v>Pass</v>
      </c>
    </row>
    <row r="25" customFormat="false" ht="19.5" hidden="false" customHeight="true" outlineLevel="0" collapsed="false">
      <c r="A25" s="46" t="n">
        <v>19</v>
      </c>
      <c r="B25" s="47" t="s">
        <v>185</v>
      </c>
      <c r="C25" s="48" t="s">
        <v>186</v>
      </c>
      <c r="D25" s="112" t="n">
        <f aca="false">'Score Entry'!D30</f>
        <v>3</v>
      </c>
      <c r="E25" s="112" t="n">
        <f aca="false">'Score Entry'!F30</f>
        <v>4</v>
      </c>
      <c r="F25" s="112" t="n">
        <f aca="false">'Score Entry'!H30</f>
        <v>3</v>
      </c>
      <c r="G25" s="112" t="n">
        <f aca="false">'Score Entry'!J30</f>
        <v>3</v>
      </c>
      <c r="H25" s="112" t="n">
        <f aca="false">'Score Entry'!L30</f>
        <v>1</v>
      </c>
      <c r="I25" s="112" t="n">
        <f aca="false">'Score Entry'!N30</f>
        <v>2</v>
      </c>
      <c r="J25" s="76" t="n">
        <f aca="false">'Score Entry'!P30</f>
        <v>63.75</v>
      </c>
      <c r="K25" s="31" t="str">
        <f aca="false">'Score Entry'!Q30</f>
        <v>A</v>
      </c>
      <c r="L25" s="78" t="n">
        <f aca="false">'Score Entry'!R30</f>
        <v>0.6375</v>
      </c>
      <c r="M25" s="79" t="str">
        <f aca="false">'Score Entry'!S30</f>
        <v>L2-Medium</v>
      </c>
      <c r="N25" s="80" t="str">
        <f aca="false">'Score Entry'!T30</f>
        <v>Pass</v>
      </c>
    </row>
    <row r="26" customFormat="false" ht="19.5" hidden="false" customHeight="true" outlineLevel="0" collapsed="false">
      <c r="A26" s="50" t="n">
        <v>20</v>
      </c>
      <c r="B26" s="51" t="s">
        <v>189</v>
      </c>
      <c r="C26" s="52" t="s">
        <v>190</v>
      </c>
      <c r="D26" s="112" t="n">
        <f aca="false">'Score Entry'!D31</f>
        <v>3</v>
      </c>
      <c r="E26" s="112" t="n">
        <f aca="false">'Score Entry'!F31</f>
        <v>4</v>
      </c>
      <c r="F26" s="112" t="n">
        <f aca="false">'Score Entry'!H31</f>
        <v>4</v>
      </c>
      <c r="G26" s="112" t="n">
        <f aca="false">'Score Entry'!J31</f>
        <v>4</v>
      </c>
      <c r="H26" s="112" t="n">
        <f aca="false">'Score Entry'!L31</f>
        <v>3</v>
      </c>
      <c r="I26" s="112" t="n">
        <f aca="false">'Score Entry'!N31</f>
        <v>3</v>
      </c>
      <c r="J26" s="76" t="n">
        <f aca="false">'Score Entry'!P31</f>
        <v>86.25</v>
      </c>
      <c r="K26" s="31" t="str">
        <f aca="false">'Score Entry'!Q31</f>
        <v>A+</v>
      </c>
      <c r="L26" s="78" t="n">
        <f aca="false">'Score Entry'!R31</f>
        <v>0.8625</v>
      </c>
      <c r="M26" s="79" t="str">
        <f aca="false">'Score Entry'!S31</f>
        <v>L3-High</v>
      </c>
      <c r="N26" s="80" t="str">
        <f aca="false">'Score Entry'!T31</f>
        <v>Pass</v>
      </c>
    </row>
    <row r="28" customFormat="false" ht="21.75" hidden="false" customHeight="true" outlineLevel="0" collapsed="false">
      <c r="A28" s="84" t="s">
        <v>229</v>
      </c>
      <c r="B28" s="84"/>
      <c r="C28" s="84"/>
      <c r="D28" s="85" t="n">
        <f aca="false">AVERAGE(D7:D26)</f>
        <v>2.45</v>
      </c>
      <c r="E28" s="85" t="n">
        <f aca="false">AVERAGE(E7:E26)</f>
        <v>2.75</v>
      </c>
      <c r="F28" s="85" t="n">
        <f aca="false">AVERAGE(F7:F26)</f>
        <v>2.8</v>
      </c>
      <c r="G28" s="85" t="n">
        <f aca="false">AVERAGE(G7:G26)</f>
        <v>2.3</v>
      </c>
      <c r="H28" s="85" t="n">
        <f aca="false">AVERAGE(H7:H26)</f>
        <v>2.05</v>
      </c>
      <c r="I28" s="85" t="n">
        <f aca="false">AVERAGE(I7:I26)</f>
        <v>2.3</v>
      </c>
      <c r="J28" s="85" t="n">
        <f aca="false">AVERAGE(J7:J26)</f>
        <v>60.625</v>
      </c>
      <c r="K28" s="35"/>
      <c r="L28" s="35"/>
      <c r="M28" s="35"/>
      <c r="N28" s="35"/>
    </row>
  </sheetData>
  <mergeCells count="4">
    <mergeCell ref="A1:O1"/>
    <mergeCell ref="A2:O2"/>
    <mergeCell ref="A4:C4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5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39.75" hidden="false" customHeight="true" outlineLevel="0" collapsed="false">
      <c r="A1" s="44" t="s">
        <v>263</v>
      </c>
      <c r="B1" s="44"/>
      <c r="C1" s="44"/>
      <c r="D1" s="44"/>
      <c r="E1" s="44"/>
      <c r="F1" s="44"/>
      <c r="G1" s="44"/>
      <c r="H1" s="44"/>
      <c r="I1" s="44"/>
    </row>
    <row r="2" customFormat="false" ht="13.5" hidden="false" customHeight="true" outlineLevel="0" collapsed="false">
      <c r="A2" s="45" t="s">
        <v>264</v>
      </c>
      <c r="B2" s="45"/>
      <c r="C2" s="45"/>
      <c r="D2" s="45"/>
      <c r="E2" s="45"/>
      <c r="F2" s="45"/>
      <c r="G2" s="45"/>
      <c r="H2" s="45"/>
      <c r="I2" s="45"/>
    </row>
    <row r="3" customFormat="false" ht="7.5" hidden="false" customHeight="true" outlineLevel="0" collapsed="false"/>
    <row r="4" customFormat="false" ht="21.75" hidden="false" customHeight="true" outlineLevel="0" collapsed="false">
      <c r="A4" s="113" t="s">
        <v>265</v>
      </c>
      <c r="B4" s="114" t="s">
        <v>266</v>
      </c>
      <c r="C4" s="114" t="s">
        <v>267</v>
      </c>
      <c r="D4" s="114" t="s">
        <v>268</v>
      </c>
      <c r="E4" s="114" t="s">
        <v>269</v>
      </c>
      <c r="F4" s="114" t="s">
        <v>270</v>
      </c>
      <c r="G4" s="114" t="s">
        <v>271</v>
      </c>
      <c r="H4" s="16" t="s">
        <v>272</v>
      </c>
      <c r="I4" s="14" t="s">
        <v>273</v>
      </c>
    </row>
    <row r="5" customFormat="false" ht="19.5" hidden="false" customHeight="true" outlineLevel="0" collapsed="false">
      <c r="A5" s="113"/>
      <c r="B5" s="114"/>
      <c r="C5" s="114"/>
      <c r="D5" s="114"/>
      <c r="E5" s="114"/>
      <c r="F5" s="114"/>
      <c r="G5" s="114"/>
      <c r="H5" s="114"/>
      <c r="I5" s="114"/>
    </row>
    <row r="6" customFormat="false" ht="19.5" hidden="false" customHeight="true" outlineLevel="0" collapsed="false">
      <c r="A6" s="115" t="s">
        <v>274</v>
      </c>
      <c r="B6" s="116" t="n">
        <f aca="false">IFERROR(AVERAGE('Score Entry'!D12:D31),0)</f>
        <v>2.45</v>
      </c>
      <c r="C6" s="116" t="n">
        <f aca="false">IFERROR(AVERAGE('Score Entry'!F12:F31),0)</f>
        <v>2.75</v>
      </c>
      <c r="D6" s="116" t="n">
        <f aca="false">IFERROR(AVERAGE('Score Entry'!H12:H31),0)</f>
        <v>2.8</v>
      </c>
      <c r="E6" s="116" t="n">
        <f aca="false">IFERROR(AVERAGE('Score Entry'!J12:J31),0)</f>
        <v>2.3</v>
      </c>
      <c r="F6" s="116" t="n">
        <f aca="false">IFERROR(AVERAGE('Score Entry'!L12:L31),0)</f>
        <v>2.05</v>
      </c>
      <c r="G6" s="116" t="n">
        <f aca="false">IFERROR(AVERAGE('Score Entry'!N12:N31),0)</f>
        <v>2.3</v>
      </c>
      <c r="H6" s="117" t="n">
        <f aca="false">IFERROR(AVERAGE(B6,C6,D6,E6,F6,G6),0)</f>
        <v>2.44166666666667</v>
      </c>
      <c r="I6" s="35"/>
    </row>
    <row r="7" customFormat="false" ht="19.5" hidden="false" customHeight="true" outlineLevel="0" collapsed="false">
      <c r="A7" s="118" t="s">
        <v>275</v>
      </c>
      <c r="B7" s="119" t="n">
        <f aca="false">IFERROR(AVERAGE('Score Entry'!E12:E31),0)</f>
        <v>9.1875</v>
      </c>
      <c r="C7" s="119" t="n">
        <f aca="false">IFERROR(AVERAGE('Score Entry'!G12:G31),0)</f>
        <v>13.75</v>
      </c>
      <c r="D7" s="119" t="n">
        <f aca="false">IFERROR(AVERAGE('Score Entry'!I12:I31),0)</f>
        <v>10.5</v>
      </c>
      <c r="E7" s="119" t="n">
        <f aca="false">IFERROR(AVERAGE('Score Entry'!K12:K31),0)</f>
        <v>5.75</v>
      </c>
      <c r="F7" s="119" t="n">
        <f aca="false">IFERROR(AVERAGE('Score Entry'!M12:M31),0)</f>
        <v>12.8125</v>
      </c>
      <c r="G7" s="119" t="n">
        <f aca="false">IFERROR(AVERAGE('Score Entry'!O12:O31),0)</f>
        <v>8.625</v>
      </c>
      <c r="H7" s="117" t="n">
        <f aca="false">IFERROR(AVERAGE(B7,C7,D7,E7,F7,G7),0)</f>
        <v>10.1041666666667</v>
      </c>
      <c r="I7" s="35"/>
    </row>
    <row r="8" customFormat="false" ht="19.5" hidden="false" customHeight="true" outlineLevel="0" collapsed="false">
      <c r="A8" s="120" t="s">
        <v>276</v>
      </c>
      <c r="B8" s="121" t="n">
        <f aca="false">MAX('Score Entry'!D12:D31)</f>
        <v>4</v>
      </c>
      <c r="C8" s="121" t="n">
        <f aca="false">MAX('Score Entry'!F12:F31)</f>
        <v>4</v>
      </c>
      <c r="D8" s="121" t="n">
        <f aca="false">MAX('Score Entry'!H12:H31)</f>
        <v>4</v>
      </c>
      <c r="E8" s="121" t="n">
        <f aca="false">MAX('Score Entry'!J12:J31)</f>
        <v>4</v>
      </c>
      <c r="F8" s="121" t="n">
        <f aca="false">MAX('Score Entry'!L12:L31)</f>
        <v>4</v>
      </c>
      <c r="G8" s="121" t="n">
        <f aca="false">MAX('Score Entry'!N12:N31)</f>
        <v>4</v>
      </c>
      <c r="H8" s="122" t="n">
        <f aca="false">IFERROR(AVERAGE(B8,C8,D8,E8,F8,G8),0)</f>
        <v>4</v>
      </c>
      <c r="I8" s="35"/>
    </row>
    <row r="9" customFormat="false" ht="19.5" hidden="false" customHeight="true" outlineLevel="0" collapsed="false">
      <c r="A9" s="123" t="s">
        <v>277</v>
      </c>
      <c r="B9" s="124" t="n">
        <f aca="false">MIN('Score Entry'!D12:D31)</f>
        <v>1</v>
      </c>
      <c r="C9" s="124" t="n">
        <f aca="false">MIN('Score Entry'!F12:F31)</f>
        <v>1</v>
      </c>
      <c r="D9" s="124" t="n">
        <f aca="false">MIN('Score Entry'!H12:H31)</f>
        <v>2</v>
      </c>
      <c r="E9" s="124" t="n">
        <f aca="false">MIN('Score Entry'!J12:J31)</f>
        <v>1</v>
      </c>
      <c r="F9" s="124" t="n">
        <f aca="false">MIN('Score Entry'!L12:L31)</f>
        <v>1</v>
      </c>
      <c r="G9" s="124" t="n">
        <f aca="false">MIN('Score Entry'!N12:N31)</f>
        <v>1</v>
      </c>
      <c r="H9" s="122" t="n">
        <f aca="false">IFERROR(AVERAGE(B9,C9,D9,E9,F9,G9),0)</f>
        <v>1.16666666666667</v>
      </c>
      <c r="I9" s="35"/>
    </row>
    <row r="10" customFormat="false" ht="19.5" hidden="false" customHeight="true" outlineLevel="0" collapsed="false">
      <c r="A10" s="118" t="s">
        <v>278</v>
      </c>
      <c r="B10" s="125" t="n">
        <f aca="false">COUNTIF('Score Entry'!D12:D31,4)</f>
        <v>4</v>
      </c>
      <c r="C10" s="125" t="n">
        <f aca="false">COUNTIF('Score Entry'!F12:F31,4)</f>
        <v>8</v>
      </c>
      <c r="D10" s="125" t="n">
        <f aca="false">COUNTIF('Score Entry'!H12:H31,4)</f>
        <v>5</v>
      </c>
      <c r="E10" s="125" t="n">
        <f aca="false">COUNTIF('Score Entry'!J12:J31,4)</f>
        <v>3</v>
      </c>
      <c r="F10" s="125" t="n">
        <f aca="false">COUNTIF('Score Entry'!L12:L31,4)</f>
        <v>2</v>
      </c>
      <c r="G10" s="125" t="n">
        <f aca="false">COUNTIF('Score Entry'!N12:N31,4)</f>
        <v>3</v>
      </c>
      <c r="H10" s="122" t="n">
        <f aca="false">IFERROR(AVERAGE(B10,C10,D10,E10,F10,G10),0)</f>
        <v>4.16666666666667</v>
      </c>
      <c r="I10" s="35"/>
    </row>
    <row r="11" customFormat="false" ht="19.5" hidden="false" customHeight="true" outlineLevel="0" collapsed="false">
      <c r="A11" s="126" t="s">
        <v>279</v>
      </c>
      <c r="B11" s="127" t="n">
        <f aca="false">COUNTIF('Score Entry'!D12:D31,3)</f>
        <v>5</v>
      </c>
      <c r="C11" s="127" t="n">
        <f aca="false">COUNTIF('Score Entry'!F12:F31,3)</f>
        <v>4</v>
      </c>
      <c r="D11" s="127" t="n">
        <f aca="false">COUNTIF('Score Entry'!H12:H31,3)</f>
        <v>6</v>
      </c>
      <c r="E11" s="127" t="n">
        <f aca="false">COUNTIF('Score Entry'!J12:J31,3)</f>
        <v>6</v>
      </c>
      <c r="F11" s="127" t="n">
        <f aca="false">COUNTIF('Score Entry'!L12:L31,3)</f>
        <v>5</v>
      </c>
      <c r="G11" s="127" t="n">
        <f aca="false">COUNTIF('Score Entry'!N12:N31,3)</f>
        <v>5</v>
      </c>
      <c r="H11" s="122" t="n">
        <f aca="false">IFERROR(AVERAGE(B11,C11,D11,E11,F11,G11),0)</f>
        <v>5.16666666666667</v>
      </c>
      <c r="I11" s="35"/>
    </row>
    <row r="12" customFormat="false" ht="19.5" hidden="false" customHeight="true" outlineLevel="0" collapsed="false">
      <c r="A12" s="128" t="s">
        <v>280</v>
      </c>
      <c r="B12" s="129" t="n">
        <f aca="false">COUNTIF('Score Entry'!D12:D31,2)</f>
        <v>7</v>
      </c>
      <c r="C12" s="129" t="n">
        <f aca="false">COUNTIF('Score Entry'!F12:F31,2)</f>
        <v>3</v>
      </c>
      <c r="D12" s="129" t="n">
        <f aca="false">COUNTIF('Score Entry'!H12:H31,2)</f>
        <v>9</v>
      </c>
      <c r="E12" s="129" t="n">
        <f aca="false">COUNTIF('Score Entry'!J12:J31,2)</f>
        <v>5</v>
      </c>
      <c r="F12" s="129" t="n">
        <f aca="false">COUNTIF('Score Entry'!L12:L31,2)</f>
        <v>5</v>
      </c>
      <c r="G12" s="129" t="n">
        <f aca="false">COUNTIF('Score Entry'!N12:N31,2)</f>
        <v>7</v>
      </c>
      <c r="H12" s="122" t="n">
        <f aca="false">IFERROR(AVERAGE(B12,C12,D12,E12,F12,G12),0)</f>
        <v>6</v>
      </c>
      <c r="I12" s="35"/>
    </row>
    <row r="13" customFormat="false" ht="19.5" hidden="false" customHeight="true" outlineLevel="0" collapsed="false">
      <c r="A13" s="123" t="s">
        <v>281</v>
      </c>
      <c r="B13" s="124" t="n">
        <f aca="false">COUNTIF('Score Entry'!D12:D31,1)</f>
        <v>4</v>
      </c>
      <c r="C13" s="124" t="n">
        <f aca="false">COUNTIF('Score Entry'!F12:F31,1)</f>
        <v>5</v>
      </c>
      <c r="D13" s="124" t="n">
        <f aca="false">COUNTIF('Score Entry'!H12:H31,1)</f>
        <v>0</v>
      </c>
      <c r="E13" s="124" t="n">
        <f aca="false">COUNTIF('Score Entry'!J12:J31,1)</f>
        <v>6</v>
      </c>
      <c r="F13" s="124" t="n">
        <f aca="false">COUNTIF('Score Entry'!L12:L31,1)</f>
        <v>8</v>
      </c>
      <c r="G13" s="124" t="n">
        <f aca="false">COUNTIF('Score Entry'!N12:N31,1)</f>
        <v>5</v>
      </c>
      <c r="H13" s="122" t="n">
        <f aca="false">IFERROR(AVERAGE(B13,C13,D13,E13,F13,G13),0)</f>
        <v>4.66666666666667</v>
      </c>
      <c r="I13" s="35"/>
    </row>
    <row r="14" customFormat="false" ht="19.5" hidden="false" customHeight="true" outlineLevel="0" collapsed="false">
      <c r="A14" s="130" t="s">
        <v>282</v>
      </c>
      <c r="B14" s="131" t="n">
        <f aca="false">IFERROR(AVERAGE('Score Entry'!D12:D31)/4*100,0)</f>
        <v>61.25</v>
      </c>
      <c r="C14" s="131" t="n">
        <f aca="false">IFERROR(AVERAGE('Score Entry'!F12:F31)/4*100,0)</f>
        <v>68.75</v>
      </c>
      <c r="D14" s="131" t="n">
        <f aca="false">IFERROR(AVERAGE('Score Entry'!H12:H31)/4*100,0)</f>
        <v>70</v>
      </c>
      <c r="E14" s="131" t="n">
        <f aca="false">IFERROR(AVERAGE('Score Entry'!J12:J31)/4*100,0)</f>
        <v>57.5</v>
      </c>
      <c r="F14" s="131" t="n">
        <f aca="false">IFERROR(AVERAGE('Score Entry'!L12:L31)/4*100,0)</f>
        <v>51.25</v>
      </c>
      <c r="G14" s="131" t="n">
        <f aca="false">IFERROR(AVERAGE('Score Entry'!N12:N31)/4*100,0)</f>
        <v>57.5</v>
      </c>
      <c r="H14" s="85" t="n">
        <f aca="false">IFERROR(AVERAGE(B14,C14,D14,E14,F14,G14),0)</f>
        <v>61.0416666666667</v>
      </c>
      <c r="I14" s="85" t="n">
        <f aca="false">IFERROR(AVERAGE(B14,C14,D14,E14,F14,G14),0)</f>
        <v>61.0416666666667</v>
      </c>
    </row>
    <row r="16" customFormat="false" ht="21.75" hidden="false" customHeight="true" outlineLevel="0" collapsed="false">
      <c r="A16" s="132" t="s">
        <v>283</v>
      </c>
      <c r="B16" s="133" t="str">
        <f aca="false">IF(B14&gt;=75,"L3-High",IF(B14&gt;=60,"L2-Medium",IF(B14&gt;=40,"L1-Low","L0-Below")))</f>
        <v>L2-Medium</v>
      </c>
      <c r="C16" s="133" t="str">
        <f aca="false">IF(C14&gt;=75,"L3-High",IF(C14&gt;=60,"L2-Medium",IF(C14&gt;=40,"L1-Low","L0-Below")))</f>
        <v>L2-Medium</v>
      </c>
      <c r="D16" s="133" t="str">
        <f aca="false">IF(D14&gt;=75,"L3-High",IF(D14&gt;=60,"L2-Medium",IF(D14&gt;=40,"L1-Low","L0-Below")))</f>
        <v>L2-Medium</v>
      </c>
      <c r="E16" s="133" t="str">
        <f aca="false">IF(E14&gt;=75,"L3-High",IF(E14&gt;=60,"L2-Medium",IF(E14&gt;=40,"L1-Low","L0-Below")))</f>
        <v>L1-Low</v>
      </c>
      <c r="F16" s="133" t="str">
        <f aca="false">IF(F14&gt;=75,"L3-High",IF(F14&gt;=60,"L2-Medium",IF(F14&gt;=40,"L1-Low","L0-Below")))</f>
        <v>L1-Low</v>
      </c>
      <c r="G16" s="133" t="str">
        <f aca="false">IF(G14&gt;=75,"L3-High",IF(G14&gt;=60,"L2-Medium",IF(G14&gt;=40,"L1-Low","L0-Below")))</f>
        <v>L1-Low</v>
      </c>
      <c r="H16" s="79" t="str">
        <f aca="false">IF(H14&gt;=75,"L3-High",IF(H14&gt;=60,"L2-Medium",IF(H14&gt;=40,"L1-Low","L0-Below")))</f>
        <v>L2-Medium</v>
      </c>
      <c r="I16" s="134" t="n">
        <f aca="false">I14</f>
        <v>61.0416666666667</v>
      </c>
    </row>
  </sheetData>
  <mergeCells count="11">
    <mergeCell ref="A1:I1"/>
    <mergeCell ref="A2:I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10" min="6" style="0" width="13"/>
  </cols>
  <sheetData>
    <row r="1" customFormat="false" ht="39.75" hidden="false" customHeight="true" outlineLevel="0" collapsed="false">
      <c r="A1" s="44" t="s">
        <v>284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customFormat="false" ht="15.75" hidden="false" customHeight="true" outlineLevel="0" collapsed="false">
      <c r="A2" s="45" t="s">
        <v>285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customFormat="false" ht="7.5" hidden="false" customHeight="true" outlineLevel="0" collapsed="false"/>
    <row r="4" customFormat="false" ht="24" hidden="false" customHeight="true" outlineLevel="0" collapsed="false">
      <c r="A4" s="13" t="s">
        <v>12</v>
      </c>
      <c r="B4" s="13" t="s">
        <v>23</v>
      </c>
      <c r="C4" s="13" t="s">
        <v>82</v>
      </c>
      <c r="D4" s="13" t="s">
        <v>17</v>
      </c>
      <c r="E4" s="13" t="s">
        <v>286</v>
      </c>
      <c r="F4" s="13" t="s">
        <v>287</v>
      </c>
      <c r="G4" s="13" t="s">
        <v>288</v>
      </c>
      <c r="H4" s="13" t="s">
        <v>289</v>
      </c>
      <c r="I4" s="13" t="s">
        <v>262</v>
      </c>
      <c r="J4" s="13" t="s">
        <v>290</v>
      </c>
    </row>
    <row r="5" customFormat="false" ht="21.75" hidden="false" customHeight="true" outlineLevel="0" collapsed="false">
      <c r="A5" s="46" t="n">
        <v>1</v>
      </c>
      <c r="B5" s="21" t="s">
        <v>41</v>
      </c>
      <c r="C5" s="39" t="s">
        <v>85</v>
      </c>
      <c r="D5" s="25" t="s">
        <v>86</v>
      </c>
      <c r="E5" s="135" t="s">
        <v>34</v>
      </c>
      <c r="F5" s="136" t="n">
        <f aca="false">IFERROR(AVERAGE('Criterion Analysis'!C14),0)</f>
        <v>68.75</v>
      </c>
      <c r="G5" s="137" t="n">
        <v>60</v>
      </c>
      <c r="H5" s="138" t="n">
        <f aca="false">F5-G5</f>
        <v>8.75</v>
      </c>
      <c r="I5" s="133" t="str">
        <f aca="false">IF(F5&gt;=75,"L3-High",IF(F5&gt;=60,"L2-Medium",IF(F5&gt;=40,"L1-Low","L0-Below")))</f>
        <v>L2-Medium</v>
      </c>
      <c r="J5" s="80" t="str">
        <f aca="false">IF(F5&gt;=60,"✔ Met","✘ Not Met")</f>
        <v>✔ Met</v>
      </c>
    </row>
    <row r="6" customFormat="false" ht="21.75" hidden="false" customHeight="true" outlineLevel="0" collapsed="false">
      <c r="A6" s="50" t="n">
        <v>2</v>
      </c>
      <c r="B6" s="21" t="s">
        <v>66</v>
      </c>
      <c r="C6" s="42" t="s">
        <v>88</v>
      </c>
      <c r="D6" s="25" t="s">
        <v>89</v>
      </c>
      <c r="E6" s="139" t="s">
        <v>60</v>
      </c>
      <c r="F6" s="136" t="n">
        <f aca="false">IFERROR(AVERAGE('Criterion Analysis'!F14),0)</f>
        <v>51.25</v>
      </c>
      <c r="G6" s="137" t="n">
        <v>60</v>
      </c>
      <c r="H6" s="138" t="n">
        <f aca="false">F6-G6</f>
        <v>-8.75000000000001</v>
      </c>
      <c r="I6" s="133" t="str">
        <f aca="false">IF(F6&gt;=75,"L3-High",IF(F6&gt;=60,"L2-Medium",IF(F6&gt;=40,"L1-Low","L0-Below")))</f>
        <v>L1-Low</v>
      </c>
      <c r="J6" s="80" t="str">
        <f aca="false">IF(F6&gt;=60,"✔ Met","✘ Not Met")</f>
        <v>✘ Not Met</v>
      </c>
    </row>
    <row r="7" customFormat="false" ht="21.75" hidden="false" customHeight="true" outlineLevel="0" collapsed="false">
      <c r="A7" s="46" t="n">
        <v>3</v>
      </c>
      <c r="B7" s="21" t="s">
        <v>49</v>
      </c>
      <c r="C7" s="39" t="s">
        <v>91</v>
      </c>
      <c r="D7" s="25" t="s">
        <v>92</v>
      </c>
      <c r="E7" s="135" t="s">
        <v>43</v>
      </c>
      <c r="F7" s="136" t="n">
        <f aca="false">IFERROR(AVERAGE('Criterion Analysis'!D14),0)</f>
        <v>70</v>
      </c>
      <c r="G7" s="137" t="n">
        <v>60</v>
      </c>
      <c r="H7" s="138" t="n">
        <f aca="false">F7-G7</f>
        <v>10</v>
      </c>
      <c r="I7" s="133" t="str">
        <f aca="false">IF(F7&gt;=75,"L3-High",IF(F7&gt;=60,"L2-Medium",IF(F7&gt;=40,"L1-Low","L0-Below")))</f>
        <v>L2-Medium</v>
      </c>
      <c r="J7" s="80" t="str">
        <f aca="false">IF(F7&gt;=60,"✔ Met","✘ Not Met")</f>
        <v>✔ Met</v>
      </c>
    </row>
    <row r="8" customFormat="false" ht="21.75" hidden="false" customHeight="true" outlineLevel="0" collapsed="false">
      <c r="A8" s="50" t="n">
        <v>4</v>
      </c>
      <c r="B8" s="21" t="s">
        <v>32</v>
      </c>
      <c r="C8" s="42" t="s">
        <v>94</v>
      </c>
      <c r="D8" s="25" t="s">
        <v>95</v>
      </c>
      <c r="E8" s="139" t="s">
        <v>25</v>
      </c>
      <c r="F8" s="136" t="n">
        <f aca="false">IFERROR(AVERAGE('Criterion Analysis'!B14),0)</f>
        <v>61.25</v>
      </c>
      <c r="G8" s="137" t="n">
        <v>60</v>
      </c>
      <c r="H8" s="138" t="n">
        <f aca="false">F8-G8</f>
        <v>1.25000000000001</v>
      </c>
      <c r="I8" s="133" t="str">
        <f aca="false">IF(F8&gt;=75,"L3-High",IF(F8&gt;=60,"L2-Medium",IF(F8&gt;=40,"L1-Low","L0-Below")))</f>
        <v>L2-Medium</v>
      </c>
      <c r="J8" s="80" t="str">
        <f aca="false">IF(F8&gt;=60,"✔ Met","✘ Not Met")</f>
        <v>✔ Met</v>
      </c>
    </row>
    <row r="9" customFormat="false" ht="21.75" hidden="false" customHeight="true" outlineLevel="0" collapsed="false">
      <c r="A9" s="46" t="n">
        <v>5</v>
      </c>
      <c r="B9" s="21" t="s">
        <v>58</v>
      </c>
      <c r="C9" s="39" t="s">
        <v>97</v>
      </c>
      <c r="D9" s="25" t="s">
        <v>86</v>
      </c>
      <c r="E9" s="135" t="s">
        <v>51</v>
      </c>
      <c r="F9" s="136" t="n">
        <f aca="false">IFERROR(AVERAGE('Criterion Analysis'!E14),0)</f>
        <v>57.5</v>
      </c>
      <c r="G9" s="137" t="n">
        <v>60</v>
      </c>
      <c r="H9" s="138" t="n">
        <f aca="false">F9-G9</f>
        <v>-2.50000000000001</v>
      </c>
      <c r="I9" s="133" t="str">
        <f aca="false">IF(F9&gt;=75,"L3-High",IF(F9&gt;=60,"L2-Medium",IF(F9&gt;=40,"L1-Low","L0-Below")))</f>
        <v>L1-Low</v>
      </c>
      <c r="J9" s="80" t="str">
        <f aca="false">IF(F9&gt;=60,"✔ Met","✘ Not Met")</f>
        <v>✘ Not Met</v>
      </c>
    </row>
    <row r="10" customFormat="false" ht="21.75" hidden="false" customHeight="true" outlineLevel="0" collapsed="false">
      <c r="A10" s="50" t="n">
        <v>6</v>
      </c>
      <c r="B10" s="21" t="s">
        <v>75</v>
      </c>
      <c r="C10" s="42" t="s">
        <v>99</v>
      </c>
      <c r="D10" s="25" t="s">
        <v>100</v>
      </c>
      <c r="E10" s="139" t="s">
        <v>68</v>
      </c>
      <c r="F10" s="136" t="n">
        <f aca="false">IFERROR(AVERAGE('Criterion Analysis'!G14),0)</f>
        <v>57.5</v>
      </c>
      <c r="G10" s="137" t="n">
        <v>60</v>
      </c>
      <c r="H10" s="138" t="n">
        <f aca="false">F10-G10</f>
        <v>-2.50000000000001</v>
      </c>
      <c r="I10" s="133" t="str">
        <f aca="false">IF(F10&gt;=75,"L3-High",IF(F10&gt;=60,"L2-Medium",IF(F10&gt;=40,"L1-Low","L0-Below")))</f>
        <v>L1-Low</v>
      </c>
      <c r="J10" s="80" t="str">
        <f aca="false">IF(F10&gt;=60,"✔ Met","✘ Not Met")</f>
        <v>✘ Not Met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9" min="5" style="0" width="13"/>
  </cols>
  <sheetData>
    <row r="1" customFormat="false" ht="39.75" hidden="false" customHeight="true" outlineLevel="0" collapsed="false">
      <c r="A1" s="44" t="s">
        <v>291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customFormat="false" ht="15.75" hidden="false" customHeight="true" outlineLevel="0" collapsed="false">
      <c r="A2" s="45" t="s">
        <v>292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customFormat="false" ht="7.5" hidden="false" customHeight="true" outlineLevel="0" collapsed="false"/>
    <row r="4" customFormat="false" ht="24" hidden="false" customHeight="true" outlineLevel="0" collapsed="false">
      <c r="A4" s="13" t="s">
        <v>12</v>
      </c>
      <c r="B4" s="13" t="s">
        <v>293</v>
      </c>
      <c r="C4" s="13" t="s">
        <v>82</v>
      </c>
      <c r="D4" s="13" t="s">
        <v>294</v>
      </c>
      <c r="E4" s="13" t="s">
        <v>295</v>
      </c>
      <c r="F4" s="13" t="s">
        <v>296</v>
      </c>
      <c r="G4" s="13" t="s">
        <v>289</v>
      </c>
      <c r="H4" s="13" t="s">
        <v>262</v>
      </c>
      <c r="I4" s="13" t="s">
        <v>290</v>
      </c>
    </row>
    <row r="5" customFormat="false" ht="19.5" hidden="false" customHeight="true" outlineLevel="0" collapsed="false">
      <c r="A5" s="46" t="n">
        <v>1</v>
      </c>
      <c r="B5" s="21" t="s">
        <v>297</v>
      </c>
      <c r="C5" s="39" t="s">
        <v>298</v>
      </c>
      <c r="D5" s="135" t="s">
        <v>299</v>
      </c>
      <c r="E5" s="136" t="n">
        <f aca="false">IFERROR((('CO Attainment'!F5*3)+('CO Attainment'!F8*2))/5,0)</f>
        <v>65.75</v>
      </c>
      <c r="F5" s="137" t="n">
        <v>60</v>
      </c>
      <c r="G5" s="138" t="n">
        <f aca="false">E5-F5</f>
        <v>5.75</v>
      </c>
      <c r="H5" s="133" t="str">
        <f aca="false">IF(E5&gt;=75,"L3-High",IF(E5&gt;=60,"L2-Medium",IF(E5&gt;=40,"L1-Low","L0-Below")))</f>
        <v>L2-Medium</v>
      </c>
      <c r="I5" s="80" t="str">
        <f aca="false">IF(E5&gt;=60,"✔ Met","✘ Not Met")</f>
        <v>✔ Met</v>
      </c>
    </row>
    <row r="6" customFormat="false" ht="19.5" hidden="false" customHeight="true" outlineLevel="0" collapsed="false">
      <c r="A6" s="50" t="n">
        <v>2</v>
      </c>
      <c r="B6" s="21" t="s">
        <v>300</v>
      </c>
      <c r="C6" s="42" t="s">
        <v>301</v>
      </c>
      <c r="D6" s="139" t="s">
        <v>302</v>
      </c>
      <c r="E6" s="136" t="n">
        <f aca="false">IFERROR((('CO Attainment'!F5*2))/2,0)</f>
        <v>68.75</v>
      </c>
      <c r="F6" s="137" t="n">
        <v>60</v>
      </c>
      <c r="G6" s="138" t="n">
        <f aca="false">E6-F6</f>
        <v>8.75</v>
      </c>
      <c r="H6" s="133" t="str">
        <f aca="false">IF(E6&gt;=75,"L3-High",IF(E6&gt;=60,"L2-Medium",IF(E6&gt;=40,"L1-Low","L0-Below")))</f>
        <v>L2-Medium</v>
      </c>
      <c r="I6" s="80" t="str">
        <f aca="false">IF(E6&gt;=60,"✔ Met","✘ Not Met")</f>
        <v>✔ Met</v>
      </c>
    </row>
    <row r="7" customFormat="false" ht="19.5" hidden="false" customHeight="true" outlineLevel="0" collapsed="false">
      <c r="A7" s="46" t="n">
        <v>3</v>
      </c>
      <c r="B7" s="21" t="s">
        <v>303</v>
      </c>
      <c r="C7" s="39" t="s">
        <v>304</v>
      </c>
      <c r="D7" s="135" t="s">
        <v>305</v>
      </c>
      <c r="E7" s="136" t="n">
        <f aca="false">IFERROR((('CO Attainment'!F6*3)+('CO Attainment'!F7*3))/6,0)</f>
        <v>60.625</v>
      </c>
      <c r="F7" s="137" t="n">
        <v>60</v>
      </c>
      <c r="G7" s="138" t="n">
        <f aca="false">E7-F7</f>
        <v>0.625</v>
      </c>
      <c r="H7" s="133" t="str">
        <f aca="false">IF(E7&gt;=75,"L3-High",IF(E7&gt;=60,"L2-Medium",IF(E7&gt;=40,"L1-Low","L0-Below")))</f>
        <v>L2-Medium</v>
      </c>
      <c r="I7" s="80" t="str">
        <f aca="false">IF(E7&gt;=60,"✔ Met","✘ Not Met")</f>
        <v>✔ Met</v>
      </c>
    </row>
    <row r="8" customFormat="false" ht="19.5" hidden="false" customHeight="true" outlineLevel="0" collapsed="false">
      <c r="A8" s="50" t="n">
        <v>4</v>
      </c>
      <c r="B8" s="21" t="s">
        <v>306</v>
      </c>
      <c r="C8" s="42" t="s">
        <v>307</v>
      </c>
      <c r="D8" s="139" t="s">
        <v>308</v>
      </c>
      <c r="E8" s="136" t="n">
        <f aca="false">IFERROR((('CO Attainment'!F6*2)+('CO Attainment'!F10*2))/4,0)</f>
        <v>54.375</v>
      </c>
      <c r="F8" s="137" t="n">
        <v>60</v>
      </c>
      <c r="G8" s="138" t="n">
        <f aca="false">E8-F8</f>
        <v>-5.62500000000001</v>
      </c>
      <c r="H8" s="133" t="str">
        <f aca="false">IF(E8&gt;=75,"L3-High",IF(E8&gt;=60,"L2-Medium",IF(E8&gt;=40,"L1-Low","L0-Below")))</f>
        <v>L1-Low</v>
      </c>
      <c r="I8" s="80" t="str">
        <f aca="false">IF(E8&gt;=60,"✔ Met","✘ Not Met")</f>
        <v>✘ Not Met</v>
      </c>
    </row>
    <row r="9" customFormat="false" ht="19.5" hidden="false" customHeight="true" outlineLevel="0" collapsed="false">
      <c r="A9" s="46" t="n">
        <v>5</v>
      </c>
      <c r="B9" s="21" t="s">
        <v>309</v>
      </c>
      <c r="C9" s="39" t="s">
        <v>310</v>
      </c>
      <c r="D9" s="135" t="s">
        <v>311</v>
      </c>
      <c r="E9" s="136" t="n">
        <f aca="false">IFERROR((('CO Attainment'!F6*2))/2,0)</f>
        <v>51.25</v>
      </c>
      <c r="F9" s="137" t="n">
        <v>60</v>
      </c>
      <c r="G9" s="138" t="n">
        <f aca="false">E9-F9</f>
        <v>-8.75000000000001</v>
      </c>
      <c r="H9" s="133" t="str">
        <f aca="false">IF(E9&gt;=75,"L3-High",IF(E9&gt;=60,"L2-Medium",IF(E9&gt;=40,"L1-Low","L0-Below")))</f>
        <v>L1-Low</v>
      </c>
      <c r="I9" s="80" t="str">
        <f aca="false">IF(E9&gt;=60,"✔ Met","✘ Not Met")</f>
        <v>✘ Not Met</v>
      </c>
    </row>
    <row r="10" customFormat="false" ht="19.5" hidden="false" customHeight="true" outlineLevel="0" collapsed="false">
      <c r="A10" s="50" t="n">
        <v>6</v>
      </c>
      <c r="B10" s="21" t="s">
        <v>312</v>
      </c>
      <c r="C10" s="42" t="s">
        <v>313</v>
      </c>
      <c r="D10" s="139" t="s">
        <v>314</v>
      </c>
      <c r="E10" s="140" t="s">
        <v>314</v>
      </c>
      <c r="F10" s="140" t="s">
        <v>314</v>
      </c>
      <c r="G10" s="140" t="s">
        <v>314</v>
      </c>
      <c r="H10" s="140" t="s">
        <v>314</v>
      </c>
      <c r="I10" s="140" t="s">
        <v>314</v>
      </c>
    </row>
    <row r="11" customFormat="false" ht="19.5" hidden="false" customHeight="true" outlineLevel="0" collapsed="false">
      <c r="A11" s="46" t="n">
        <v>7</v>
      </c>
      <c r="B11" s="21" t="s">
        <v>315</v>
      </c>
      <c r="C11" s="39" t="s">
        <v>316</v>
      </c>
      <c r="D11" s="135" t="s">
        <v>314</v>
      </c>
      <c r="E11" s="140" t="s">
        <v>314</v>
      </c>
      <c r="F11" s="140" t="s">
        <v>314</v>
      </c>
      <c r="G11" s="140" t="s">
        <v>314</v>
      </c>
      <c r="H11" s="140" t="s">
        <v>314</v>
      </c>
      <c r="I11" s="140" t="s">
        <v>314</v>
      </c>
    </row>
    <row r="12" customFormat="false" ht="19.5" hidden="false" customHeight="true" outlineLevel="0" collapsed="false">
      <c r="A12" s="50" t="n">
        <v>8</v>
      </c>
      <c r="B12" s="21" t="s">
        <v>317</v>
      </c>
      <c r="C12" s="42" t="s">
        <v>318</v>
      </c>
      <c r="D12" s="139" t="s">
        <v>314</v>
      </c>
      <c r="E12" s="140" t="s">
        <v>314</v>
      </c>
      <c r="F12" s="140" t="s">
        <v>314</v>
      </c>
      <c r="G12" s="140" t="s">
        <v>314</v>
      </c>
      <c r="H12" s="140" t="s">
        <v>314</v>
      </c>
      <c r="I12" s="140" t="s">
        <v>314</v>
      </c>
    </row>
    <row r="13" customFormat="false" ht="19.5" hidden="false" customHeight="true" outlineLevel="0" collapsed="false">
      <c r="A13" s="46" t="n">
        <v>9</v>
      </c>
      <c r="B13" s="21" t="s">
        <v>98</v>
      </c>
      <c r="C13" s="39" t="s">
        <v>319</v>
      </c>
      <c r="D13" s="135" t="s">
        <v>320</v>
      </c>
      <c r="E13" s="136" t="n">
        <f aca="false">IFERROR((('CO Attainment'!F9*3))/3,0)</f>
        <v>57.5</v>
      </c>
      <c r="F13" s="137" t="n">
        <v>60</v>
      </c>
      <c r="G13" s="138" t="n">
        <f aca="false">E13-F13</f>
        <v>-2.50000000000001</v>
      </c>
      <c r="H13" s="133" t="str">
        <f aca="false">IF(E13&gt;=75,"L3-High",IF(E13&gt;=60,"L2-Medium",IF(E13&gt;=40,"L1-Low","L0-Below")))</f>
        <v>L1-Low</v>
      </c>
      <c r="I13" s="80" t="str">
        <f aca="false">IF(E13&gt;=60,"✔ Met","✘ Not Met")</f>
        <v>✘ Not Met</v>
      </c>
    </row>
    <row r="14" customFormat="false" ht="19.5" hidden="false" customHeight="true" outlineLevel="0" collapsed="false">
      <c r="A14" s="50" t="n">
        <v>10</v>
      </c>
      <c r="B14" s="21" t="s">
        <v>321</v>
      </c>
      <c r="C14" s="42" t="s">
        <v>322</v>
      </c>
      <c r="D14" s="139" t="s">
        <v>323</v>
      </c>
      <c r="E14" s="136" t="n">
        <f aca="false">IFERROR((('CO Attainment'!F10*3))/3,0)</f>
        <v>57.5</v>
      </c>
      <c r="F14" s="137" t="n">
        <v>60</v>
      </c>
      <c r="G14" s="138" t="n">
        <f aca="false">E14-F14</f>
        <v>-2.50000000000001</v>
      </c>
      <c r="H14" s="133" t="str">
        <f aca="false">IF(E14&gt;=75,"L3-High",IF(E14&gt;=60,"L2-Medium",IF(E14&gt;=40,"L1-Low","L0-Below")))</f>
        <v>L1-Low</v>
      </c>
      <c r="I14" s="80" t="str">
        <f aca="false">IF(E14&gt;=60,"✔ Met","✘ Not Met")</f>
        <v>✘ Not Met</v>
      </c>
    </row>
    <row r="15" customFormat="false" ht="19.5" hidden="false" customHeight="true" outlineLevel="0" collapsed="false">
      <c r="A15" s="46" t="n">
        <v>11</v>
      </c>
      <c r="B15" s="21" t="s">
        <v>324</v>
      </c>
      <c r="C15" s="39" t="s">
        <v>325</v>
      </c>
      <c r="D15" s="135" t="s">
        <v>326</v>
      </c>
      <c r="E15" s="136" t="n">
        <f aca="false">IFERROR((('CO Attainment'!F8*3))/3,0)</f>
        <v>61.25</v>
      </c>
      <c r="F15" s="137" t="n">
        <v>60</v>
      </c>
      <c r="G15" s="138" t="n">
        <f aca="false">E15-F15</f>
        <v>1.25000000000001</v>
      </c>
      <c r="H15" s="133" t="str">
        <f aca="false">IF(E15&gt;=75,"L3-High",IF(E15&gt;=60,"L2-Medium",IF(E15&gt;=40,"L1-Low","L0-Below")))</f>
        <v>L2-Medium</v>
      </c>
      <c r="I15" s="80" t="str">
        <f aca="false">IF(E15&gt;=60,"✔ Met","✘ Not Met")</f>
        <v>✔ Met</v>
      </c>
    </row>
    <row r="16" customFormat="false" ht="19.5" hidden="false" customHeight="true" outlineLevel="0" collapsed="false">
      <c r="A16" s="50" t="n">
        <v>12</v>
      </c>
      <c r="B16" s="21" t="s">
        <v>327</v>
      </c>
      <c r="C16" s="42" t="s">
        <v>328</v>
      </c>
      <c r="D16" s="139" t="s">
        <v>329</v>
      </c>
      <c r="E16" s="136" t="n">
        <f aca="false">IFERROR((('CO Attainment'!F7*2))/2,0)</f>
        <v>70</v>
      </c>
      <c r="F16" s="137" t="n">
        <v>60</v>
      </c>
      <c r="G16" s="138" t="n">
        <f aca="false">E16-F16</f>
        <v>10</v>
      </c>
      <c r="H16" s="133" t="str">
        <f aca="false">IF(E16&gt;=75,"L3-High",IF(E16&gt;=60,"L2-Medium",IF(E16&gt;=40,"L1-Low","L0-Below")))</f>
        <v>L2-Medium</v>
      </c>
      <c r="I16" s="80" t="str">
        <f aca="false">IF(E16&gt;=60,"✔ Met","✘ Not Met")</f>
        <v>✔ Met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16" min="5" style="0" width="8"/>
  </cols>
  <sheetData>
    <row r="1" customFormat="false" ht="43.5" hidden="false" customHeight="true" outlineLevel="0" collapsed="false">
      <c r="A1" s="44" t="s">
        <v>330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customFormat="false" ht="13.5" hidden="false" customHeight="true" outlineLevel="0" collapsed="false">
      <c r="A2" s="141" t="s">
        <v>331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</row>
    <row r="3" customFormat="false" ht="7.5" hidden="false" customHeight="true" outlineLevel="0" collapsed="false"/>
    <row r="4" customFormat="false" ht="25.5" hidden="false" customHeight="true" outlineLevel="0" collapsed="false">
      <c r="A4" s="142" t="s">
        <v>23</v>
      </c>
      <c r="B4" s="142" t="s">
        <v>82</v>
      </c>
      <c r="C4" s="142" t="s">
        <v>332</v>
      </c>
      <c r="D4" s="142" t="s">
        <v>17</v>
      </c>
      <c r="E4" s="143" t="s">
        <v>333</v>
      </c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</row>
    <row r="5" customFormat="false" ht="19.5" hidden="false" customHeight="true" outlineLevel="0" collapsed="false">
      <c r="A5" s="142"/>
      <c r="B5" s="142"/>
      <c r="C5" s="142"/>
      <c r="D5" s="142"/>
      <c r="E5" s="105" t="s">
        <v>297</v>
      </c>
      <c r="F5" s="105" t="s">
        <v>300</v>
      </c>
      <c r="G5" s="105" t="s">
        <v>303</v>
      </c>
      <c r="H5" s="105" t="s">
        <v>306</v>
      </c>
      <c r="I5" s="105" t="s">
        <v>309</v>
      </c>
      <c r="J5" s="105" t="s">
        <v>312</v>
      </c>
      <c r="K5" s="105" t="s">
        <v>315</v>
      </c>
      <c r="L5" s="105" t="s">
        <v>317</v>
      </c>
      <c r="M5" s="105" t="s">
        <v>98</v>
      </c>
      <c r="N5" s="105" t="s">
        <v>321</v>
      </c>
      <c r="O5" s="105" t="s">
        <v>324</v>
      </c>
      <c r="P5" s="105" t="s">
        <v>327</v>
      </c>
    </row>
    <row r="6" customFormat="false" ht="19.5" hidden="false" customHeight="true" outlineLevel="0" collapsed="false">
      <c r="A6" s="21" t="s">
        <v>41</v>
      </c>
      <c r="B6" s="144" t="s">
        <v>85</v>
      </c>
      <c r="C6" s="145" t="s">
        <v>34</v>
      </c>
      <c r="D6" s="25" t="s">
        <v>86</v>
      </c>
      <c r="E6" s="146" t="n">
        <v>3</v>
      </c>
      <c r="F6" s="147" t="n">
        <v>2</v>
      </c>
      <c r="G6" s="148" t="s">
        <v>314</v>
      </c>
      <c r="H6" s="148" t="s">
        <v>314</v>
      </c>
      <c r="I6" s="148" t="s">
        <v>314</v>
      </c>
      <c r="J6" s="148" t="s">
        <v>314</v>
      </c>
      <c r="K6" s="148" t="s">
        <v>314</v>
      </c>
      <c r="L6" s="148" t="s">
        <v>314</v>
      </c>
      <c r="M6" s="148" t="s">
        <v>314</v>
      </c>
      <c r="N6" s="148" t="s">
        <v>314</v>
      </c>
      <c r="O6" s="148" t="s">
        <v>314</v>
      </c>
      <c r="P6" s="148" t="s">
        <v>314</v>
      </c>
    </row>
    <row r="7" customFormat="false" ht="19.5" hidden="false" customHeight="true" outlineLevel="0" collapsed="false">
      <c r="A7" s="21" t="s">
        <v>66</v>
      </c>
      <c r="B7" s="149" t="s">
        <v>88</v>
      </c>
      <c r="C7" s="145" t="s">
        <v>60</v>
      </c>
      <c r="D7" s="25" t="s">
        <v>89</v>
      </c>
      <c r="E7" s="148" t="s">
        <v>314</v>
      </c>
      <c r="F7" s="148" t="s">
        <v>314</v>
      </c>
      <c r="G7" s="146" t="n">
        <v>3</v>
      </c>
      <c r="H7" s="147" t="n">
        <v>2</v>
      </c>
      <c r="I7" s="147" t="n">
        <v>2</v>
      </c>
      <c r="J7" s="148" t="s">
        <v>314</v>
      </c>
      <c r="K7" s="148" t="s">
        <v>314</v>
      </c>
      <c r="L7" s="148" t="s">
        <v>314</v>
      </c>
      <c r="M7" s="148" t="s">
        <v>314</v>
      </c>
      <c r="N7" s="148" t="s">
        <v>314</v>
      </c>
      <c r="O7" s="148" t="s">
        <v>314</v>
      </c>
      <c r="P7" s="148" t="s">
        <v>314</v>
      </c>
    </row>
    <row r="8" customFormat="false" ht="19.5" hidden="false" customHeight="true" outlineLevel="0" collapsed="false">
      <c r="A8" s="21" t="s">
        <v>49</v>
      </c>
      <c r="B8" s="144" t="s">
        <v>91</v>
      </c>
      <c r="C8" s="145" t="s">
        <v>43</v>
      </c>
      <c r="D8" s="25" t="s">
        <v>92</v>
      </c>
      <c r="E8" s="148" t="s">
        <v>314</v>
      </c>
      <c r="F8" s="148" t="s">
        <v>314</v>
      </c>
      <c r="G8" s="146" t="n">
        <v>3</v>
      </c>
      <c r="H8" s="148" t="s">
        <v>314</v>
      </c>
      <c r="I8" s="148" t="s">
        <v>314</v>
      </c>
      <c r="J8" s="148" t="s">
        <v>314</v>
      </c>
      <c r="K8" s="148" t="s">
        <v>314</v>
      </c>
      <c r="L8" s="148" t="s">
        <v>314</v>
      </c>
      <c r="M8" s="148" t="s">
        <v>314</v>
      </c>
      <c r="N8" s="148" t="s">
        <v>314</v>
      </c>
      <c r="O8" s="148" t="s">
        <v>314</v>
      </c>
      <c r="P8" s="147" t="n">
        <v>2</v>
      </c>
    </row>
    <row r="9" customFormat="false" ht="19.5" hidden="false" customHeight="true" outlineLevel="0" collapsed="false">
      <c r="A9" s="21" t="s">
        <v>32</v>
      </c>
      <c r="B9" s="149" t="s">
        <v>94</v>
      </c>
      <c r="C9" s="145" t="s">
        <v>25</v>
      </c>
      <c r="D9" s="25" t="s">
        <v>95</v>
      </c>
      <c r="E9" s="147" t="n">
        <v>2</v>
      </c>
      <c r="F9" s="148" t="s">
        <v>314</v>
      </c>
      <c r="G9" s="148" t="s">
        <v>314</v>
      </c>
      <c r="H9" s="148" t="s">
        <v>314</v>
      </c>
      <c r="I9" s="148" t="s">
        <v>314</v>
      </c>
      <c r="J9" s="148" t="s">
        <v>314</v>
      </c>
      <c r="K9" s="148" t="s">
        <v>314</v>
      </c>
      <c r="L9" s="148" t="s">
        <v>314</v>
      </c>
      <c r="M9" s="148" t="s">
        <v>314</v>
      </c>
      <c r="N9" s="148" t="s">
        <v>314</v>
      </c>
      <c r="O9" s="146" t="n">
        <v>3</v>
      </c>
      <c r="P9" s="148" t="s">
        <v>314</v>
      </c>
    </row>
    <row r="10" customFormat="false" ht="19.5" hidden="false" customHeight="true" outlineLevel="0" collapsed="false">
      <c r="A10" s="21" t="s">
        <v>58</v>
      </c>
      <c r="B10" s="144" t="s">
        <v>97</v>
      </c>
      <c r="C10" s="145" t="s">
        <v>51</v>
      </c>
      <c r="D10" s="25" t="s">
        <v>86</v>
      </c>
      <c r="E10" s="148" t="s">
        <v>314</v>
      </c>
      <c r="F10" s="148" t="s">
        <v>314</v>
      </c>
      <c r="G10" s="148" t="s">
        <v>314</v>
      </c>
      <c r="H10" s="148" t="s">
        <v>314</v>
      </c>
      <c r="I10" s="148" t="s">
        <v>314</v>
      </c>
      <c r="J10" s="148" t="s">
        <v>314</v>
      </c>
      <c r="K10" s="148" t="s">
        <v>314</v>
      </c>
      <c r="L10" s="148" t="s">
        <v>314</v>
      </c>
      <c r="M10" s="146" t="n">
        <v>3</v>
      </c>
      <c r="N10" s="148" t="s">
        <v>314</v>
      </c>
      <c r="O10" s="148" t="s">
        <v>314</v>
      </c>
      <c r="P10" s="148" t="s">
        <v>314</v>
      </c>
    </row>
    <row r="11" customFormat="false" ht="19.5" hidden="false" customHeight="true" outlineLevel="0" collapsed="false">
      <c r="A11" s="21" t="s">
        <v>75</v>
      </c>
      <c r="B11" s="149" t="s">
        <v>99</v>
      </c>
      <c r="C11" s="145" t="s">
        <v>68</v>
      </c>
      <c r="D11" s="25" t="s">
        <v>100</v>
      </c>
      <c r="E11" s="148" t="s">
        <v>314</v>
      </c>
      <c r="F11" s="148" t="s">
        <v>314</v>
      </c>
      <c r="G11" s="148" t="s">
        <v>314</v>
      </c>
      <c r="H11" s="147" t="n">
        <v>2</v>
      </c>
      <c r="I11" s="148" t="s">
        <v>314</v>
      </c>
      <c r="J11" s="148" t="s">
        <v>314</v>
      </c>
      <c r="K11" s="148" t="s">
        <v>314</v>
      </c>
      <c r="L11" s="148" t="s">
        <v>314</v>
      </c>
      <c r="M11" s="148" t="s">
        <v>314</v>
      </c>
      <c r="N11" s="146" t="n">
        <v>3</v>
      </c>
      <c r="O11" s="148" t="s">
        <v>314</v>
      </c>
      <c r="P11" s="148" t="s">
        <v>314</v>
      </c>
    </row>
  </sheetData>
  <mergeCells count="7">
    <mergeCell ref="A1:U1"/>
    <mergeCell ref="A2:U2"/>
    <mergeCell ref="A4:A5"/>
    <mergeCell ref="B4:B5"/>
    <mergeCell ref="C4:C5"/>
    <mergeCell ref="D4:D5"/>
    <mergeCell ref="E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2026-05-14T07:59:08Z</dcterms:created>
  <dc:creator>openpyxl</dc:creator>
  <dc:description/>
  <dc:language>en-US</dc:language>
  <cp:lastModifiedBy/>
  <dcterms:modified xsi:type="dcterms:W3CDTF">2026-05-14T07:59:09Z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