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 Dashboard" sheetId="1" state="visible" r:id="rId3"/>
    <sheet name="PO Attainment Summary" sheetId="2" state="visible" r:id="rId4"/>
    <sheet name="PO Direct Attainment" sheetId="3" state="visible" r:id="rId5"/>
    <sheet name="CO-PO Mapp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<sst xmlns="http://schemas.openxmlformats.org/spreadsheetml/2006/main" count="191" uniqueCount="87">
  <si>
    <t xml:space="preserve">PO DIRECT ATTAINMENT DASHBOARD — B.Tech CSE  |  Academic Year 2024-25</t>
  </si>
  <si>
    <t xml:space="preserve">NBA / NAAC Accreditation Report  |  Direct Attainment through CIE + SEE  |  All values auto-calculated from CO Attainment × CO-PO Mapping</t>
  </si>
  <si>
    <t xml:space="preserve">Programme Outcome</t>
  </si>
  <si>
    <t xml:space="preserve">Description</t>
  </si>
  <si>
    <t xml:space="preserve">Programme-
Level
Att%</t>
  </si>
  <si>
    <t xml:space="preserve">Target
(60%)</t>
  </si>
  <si>
    <t xml:space="preserve">Level
(3/2/1)</t>
  </si>
  <si>
    <t xml:space="preserve">Gap</t>
  </si>
  <si>
    <t xml:space="preserve">Status</t>
  </si>
  <si>
    <t xml:space="preserve">PO1</t>
  </si>
  <si>
    <t xml:space="preserve">Engineering Knowledge</t>
  </si>
  <si>
    <t xml:space="preserve">PO2</t>
  </si>
  <si>
    <t xml:space="preserve">Problem Analysis</t>
  </si>
  <si>
    <t xml:space="preserve">PO3</t>
  </si>
  <si>
    <t xml:space="preserve">Design/Development of Solutions</t>
  </si>
  <si>
    <t xml:space="preserve">PO4</t>
  </si>
  <si>
    <t xml:space="preserve">Conduct Investigations of Complex Problems</t>
  </si>
  <si>
    <t xml:space="preserve">PO5</t>
  </si>
  <si>
    <t xml:space="preserve">Modern Tool Usage</t>
  </si>
  <si>
    <t xml:space="preserve">PO6</t>
  </si>
  <si>
    <t xml:space="preserve">The Engineer and Society</t>
  </si>
  <si>
    <t xml:space="preserve">PO7</t>
  </si>
  <si>
    <t xml:space="preserve">Environment and Sustainability</t>
  </si>
  <si>
    <t xml:space="preserve">PO8</t>
  </si>
  <si>
    <t xml:space="preserve">Ethics</t>
  </si>
  <si>
    <t xml:space="preserve">PO9</t>
  </si>
  <si>
    <t xml:space="preserve">Individual and Team Work</t>
  </si>
  <si>
    <t xml:space="preserve">PO10</t>
  </si>
  <si>
    <t xml:space="preserve">Communication</t>
  </si>
  <si>
    <t xml:space="preserve">PO11</t>
  </si>
  <si>
    <t xml:space="preserve">Project Management and Finance</t>
  </si>
  <si>
    <t xml:space="preserve">PO12</t>
  </si>
  <si>
    <t xml:space="preserve">Life-long Learning</t>
  </si>
  <si>
    <t xml:space="preserve">PSO1</t>
  </si>
  <si>
    <t xml:space="preserve">Apply core CS concepts to design software systems</t>
  </si>
  <si>
    <t xml:space="preserve">PSO2</t>
  </si>
  <si>
    <t xml:space="preserve">Use modern tools to solve real-world engineering problems</t>
  </si>
  <si>
    <t xml:space="preserve">PSO3</t>
  </si>
  <si>
    <t xml:space="preserve">Demonstrate professional skills for industry/research</t>
  </si>
  <si>
    <t xml:space="preserve">PROGRAMME OVERALL DIRECT ATTAINMENT</t>
  </si>
  <si>
    <t xml:space="preserve">📌 HOW TO USE: (1) Enter CO-PO correlation values (0-3) in 'CO-PO Mapping' sheet yellow cells  (2) Enter CO Attainment % in column D of 'CO-PO Mapping' sheet  (3) All PO attainments, levels, gaps and status update automatically across all sheets.</t>
  </si>
  <si>
    <t xml:space="preserve">PROGRAMME OUTCOME (PO) DIRECT ATTAINMENT SUMMARY — B.Tech Computer Science &amp; Engineering</t>
  </si>
  <si>
    <t xml:space="preserve">PO Attainment = Credit-Weighted Average of Course-wise PO Attainments  |  Target ≥ 60% (Level 3)  |  Academic Year 2024-25</t>
  </si>
  <si>
    <t xml:space="preserve">ATTAINMENT LEVEL LEGEND →</t>
  </si>
  <si>
    <t xml:space="preserve">Level 3 : ≥ 60%  →  HIGH</t>
  </si>
  <si>
    <t xml:space="preserve">Level 2 : 40–59% →  MEDIUM</t>
  </si>
  <si>
    <t xml:space="preserve">Level 1 : &lt; 40%  →  LOW</t>
  </si>
  <si>
    <t xml:space="preserve">#</t>
  </si>
  <si>
    <t xml:space="preserve">Course Name</t>
  </si>
  <si>
    <t xml:space="preserve">Code</t>
  </si>
  <si>
    <t xml:space="preserve">Credits</t>
  </si>
  <si>
    <t xml:space="preserve">PROGRAMME OUTCOMES (PO1–PO12)</t>
  </si>
  <si>
    <t xml:space="preserve">PSOs</t>
  </si>
  <si>
    <t xml:space="preserve">Data Structures &amp; Algorithms</t>
  </si>
  <si>
    <t xml:space="preserve">CS301</t>
  </si>
  <si>
    <t xml:space="preserve">Database Management Systems</t>
  </si>
  <si>
    <t xml:space="preserve">CS302</t>
  </si>
  <si>
    <t xml:space="preserve">Computer Networks</t>
  </si>
  <si>
    <t xml:space="preserve">CS303</t>
  </si>
  <si>
    <t xml:space="preserve">Operating Systems</t>
  </si>
  <si>
    <t xml:space="preserve">CS304</t>
  </si>
  <si>
    <t xml:space="preserve">Machine Learning</t>
  </si>
  <si>
    <t xml:space="preserve">CS305</t>
  </si>
  <si>
    <t xml:space="preserve">CREDIT-WEIGHTED PO ATTAINMENT
(Programme Level)</t>
  </si>
  <si>
    <t xml:space="preserve">ATTAINMENT LEVEL  (3/2/1)</t>
  </si>
  <si>
    <t xml:space="preserve">TARGET (%)</t>
  </si>
  <si>
    <t xml:space="preserve">GAP (Att – Target)</t>
  </si>
  <si>
    <t xml:space="preserve">STATUS</t>
  </si>
  <si>
    <t xml:space="preserve">PO / PSO DIRECT ATTAINMENT — COURSE-WISE  (via CO–PO Mapping × CO Attainment)</t>
  </si>
  <si>
    <t xml:space="preserve">Formula: PO Attainment = Σ(CO_Attainment × CO-PO Correlation) ÷ Σ(CO-PO Correlation)  |  Level: ≥60%=3 (High)  40-59%=2 (Medium)  &lt;40%=1 (Low)</t>
  </si>
  <si>
    <t xml:space="preserve">Course</t>
  </si>
  <si>
    <t xml:space="preserve">PROGRAMME OUTCOMES (PO1 – PO12)</t>
  </si>
  <si>
    <t xml:space="preserve">PROGRAMME SPECIFIC OUTCOMES</t>
  </si>
  <si>
    <t xml:space="preserve">SUMMARY</t>
  </si>
  <si>
    <t xml:space="preserve">Avg PO
Att%</t>
  </si>
  <si>
    <t xml:space="preserve">Avg PSO
Att%</t>
  </si>
  <si>
    <t xml:space="preserve">Overall
Att%</t>
  </si>
  <si>
    <t xml:space="preserve">CO–PO / CO–PSO MAPPING MATRIX   (Correlation: 3=High  2=Medium  1=Low  0=No Relation)</t>
  </si>
  <si>
    <t xml:space="preserve">Enter correlation values (0-3) in yellow cells. PO Attainment sheet reads these values automatically.</t>
  </si>
  <si>
    <t xml:space="preserve">CO</t>
  </si>
  <si>
    <t xml:space="preserve">CO Attainment %</t>
  </si>
  <si>
    <t xml:space="preserve">CO1</t>
  </si>
  <si>
    <t xml:space="preserve">CO2</t>
  </si>
  <si>
    <t xml:space="preserve">CO3</t>
  </si>
  <si>
    <t xml:space="preserve">CO4</t>
  </si>
  <si>
    <t xml:space="preserve">CO5</t>
  </si>
  <si>
    <t xml:space="preserve">CO6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</si>
</sst>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%"/>
    <numFmt numFmtId="167" formatCode="0"/>
    <numFmt numFmtId="168" formatCode="\+0.0%;\-0.0%"/>
    <numFmt numFmtId="169" formatCode="\+0.0%;\-0.0%;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4040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8"/>
      <color rgb="FF404040"/>
      <name val="Arial"/>
      <family val="0"/>
      <charset val="1"/>
    </font>
    <font>
      <sz val="9"/>
      <color rgb="FFAAAAAA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444444"/>
      </patternFill>
    </fill>
    <fill>
      <patternFill patternType="solid">
        <fgColor rgb="FF375623"/>
        <bgColor rgb="FF444444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E2D9F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7030A0"/>
        <bgColor rgb="FF993366"/>
      </patternFill>
    </fill>
    <fill>
      <patternFill patternType="solid">
        <fgColor rgb="FFE2D9F3"/>
        <bgColor rgb="FFDEEAF1"/>
      </patternFill>
    </fill>
    <fill>
      <patternFill patternType="solid">
        <fgColor rgb="FF70AD47"/>
        <bgColor rgb="FF99CC00"/>
      </patternFill>
    </fill>
    <fill>
      <patternFill patternType="solid">
        <fgColor rgb="FFC55A11"/>
        <bgColor rgb="FF993300"/>
      </patternFill>
    </fill>
    <fill>
      <patternFill patternType="solid">
        <fgColor rgb="FFDEEAF1"/>
        <bgColor rgb="FFE2EFDA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D9F3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AAAAAA"/>
      <rgbColor rgb="FF1F3864"/>
      <rgbColor rgb="FF70AD47"/>
      <rgbColor rgb="FF375623"/>
      <rgbColor rgb="FF444444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"/>
    <col collapsed="false" customWidth="true" hidden="false" outlineLevel="0" max="3" min="3" style="0" width="45"/>
    <col collapsed="false" customWidth="true" hidden="false" outlineLevel="0" max="8" min="4" style="0" width="1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/>
      <c r="C4" s="4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customFormat="false" ht="19.5" hidden="false" customHeight="true" outlineLevel="0" collapsed="false">
      <c r="A5" s="3"/>
      <c r="B5" s="3"/>
      <c r="C5" s="4"/>
      <c r="D5" s="5"/>
      <c r="E5" s="5"/>
      <c r="F5" s="5"/>
      <c r="G5" s="5"/>
      <c r="H5" s="5"/>
    </row>
    <row r="6" customFormat="false" ht="19.5" hidden="false" customHeight="true" outlineLevel="0" collapsed="false">
      <c r="A6" s="6" t="s">
        <v>9</v>
      </c>
      <c r="B6" s="7"/>
      <c r="C6" s="8" t="s">
        <v>10</v>
      </c>
      <c r="D6" s="9" t="n">
        <f aca="false">'PO Attainment Summary'!E14</f>
        <v>0.641097435897436</v>
      </c>
      <c r="E6" s="10" t="n">
        <f aca="false">'PO Attainment Summary'!E16</f>
        <v>0.6</v>
      </c>
      <c r="F6" s="11" t="n">
        <f aca="false">IF(D6&gt;=0.6,3,IF(D6&gt;=0.4,2,1))</f>
        <v>3</v>
      </c>
      <c r="G6" s="12" t="n">
        <f aca="false">D6-E6</f>
        <v>0.041097435897436</v>
      </c>
      <c r="H6" s="13" t="str">
        <f aca="false">IF(D6&gt;=E6,"✔ Met","✘ Not Met")</f>
        <v>✔ Met</v>
      </c>
    </row>
    <row r="7" customFormat="false" ht="19.5" hidden="false" customHeight="true" outlineLevel="0" collapsed="false">
      <c r="A7" s="6" t="s">
        <v>11</v>
      </c>
      <c r="B7" s="7"/>
      <c r="C7" s="14" t="s">
        <v>12</v>
      </c>
      <c r="D7" s="9" t="n">
        <f aca="false">'PO Attainment Summary'!F14</f>
        <v>0.641822236586943</v>
      </c>
      <c r="E7" s="10" t="n">
        <f aca="false">'PO Attainment Summary'!F16</f>
        <v>0.6</v>
      </c>
      <c r="F7" s="11" t="n">
        <f aca="false">IF(D7&gt;=0.6,3,IF(D7&gt;=0.4,2,1))</f>
        <v>3</v>
      </c>
      <c r="G7" s="12" t="n">
        <f aca="false">D7-E7</f>
        <v>0.0418222365869425</v>
      </c>
      <c r="H7" s="13" t="str">
        <f aca="false">IF(D7&gt;=E7,"✔ Met","✘ Not Met")</f>
        <v>✔ Met</v>
      </c>
    </row>
    <row r="8" customFormat="false" ht="19.5" hidden="false" customHeight="true" outlineLevel="0" collapsed="false">
      <c r="A8" s="6" t="s">
        <v>13</v>
      </c>
      <c r="B8" s="7"/>
      <c r="C8" s="8" t="s">
        <v>14</v>
      </c>
      <c r="D8" s="9" t="n">
        <f aca="false">'PO Attainment Summary'!G14</f>
        <v>0.639902097902098</v>
      </c>
      <c r="E8" s="10" t="n">
        <f aca="false">'PO Attainment Summary'!G16</f>
        <v>0.6</v>
      </c>
      <c r="F8" s="11" t="n">
        <f aca="false">IF(D8&gt;=0.6,3,IF(D8&gt;=0.4,2,1))</f>
        <v>3</v>
      </c>
      <c r="G8" s="12" t="n">
        <f aca="false">D8-E8</f>
        <v>0.039902097902098</v>
      </c>
      <c r="H8" s="13" t="str">
        <f aca="false">IF(D8&gt;=E8,"✔ Met","✘ Not Met")</f>
        <v>✔ Met</v>
      </c>
    </row>
    <row r="9" customFormat="false" ht="19.5" hidden="false" customHeight="true" outlineLevel="0" collapsed="false">
      <c r="A9" s="6" t="s">
        <v>15</v>
      </c>
      <c r="B9" s="7"/>
      <c r="C9" s="14" t="s">
        <v>16</v>
      </c>
      <c r="D9" s="9" t="n">
        <f aca="false">'PO Attainment Summary'!H14</f>
        <v>0.639357142857143</v>
      </c>
      <c r="E9" s="10" t="n">
        <f aca="false">'PO Attainment Summary'!H16</f>
        <v>0.6</v>
      </c>
      <c r="F9" s="11" t="n">
        <f aca="false">IF(D9&gt;=0.6,3,IF(D9&gt;=0.4,2,1))</f>
        <v>3</v>
      </c>
      <c r="G9" s="12" t="n">
        <f aca="false">D9-E9</f>
        <v>0.0393571428571429</v>
      </c>
      <c r="H9" s="13" t="str">
        <f aca="false">IF(D9&gt;=E9,"✔ Met","✘ Not Met")</f>
        <v>✔ Met</v>
      </c>
    </row>
    <row r="10" customFormat="false" ht="19.5" hidden="false" customHeight="true" outlineLevel="0" collapsed="false">
      <c r="A10" s="6" t="s">
        <v>17</v>
      </c>
      <c r="B10" s="7"/>
      <c r="C10" s="8" t="s">
        <v>18</v>
      </c>
      <c r="D10" s="9" t="n">
        <f aca="false">'PO Attainment Summary'!I14</f>
        <v>0.653090368455074</v>
      </c>
      <c r="E10" s="10" t="n">
        <f aca="false">'PO Attainment Summary'!I16</f>
        <v>0.6</v>
      </c>
      <c r="F10" s="11" t="n">
        <f aca="false">IF(D10&gt;=0.6,3,IF(D10&gt;=0.4,2,1))</f>
        <v>3</v>
      </c>
      <c r="G10" s="12" t="n">
        <f aca="false">D10-E10</f>
        <v>0.0530903684550744</v>
      </c>
      <c r="H10" s="13" t="str">
        <f aca="false">IF(D10&gt;=E10,"✔ Met","✘ Not Met")</f>
        <v>✔ Met</v>
      </c>
    </row>
    <row r="11" customFormat="false" ht="19.5" hidden="false" customHeight="true" outlineLevel="0" collapsed="false">
      <c r="A11" s="6" t="s">
        <v>19</v>
      </c>
      <c r="B11" s="7"/>
      <c r="C11" s="14" t="s">
        <v>20</v>
      </c>
      <c r="D11" s="9" t="n">
        <f aca="false">'PO Attainment Summary'!J14</f>
        <v>0.277333333333333</v>
      </c>
      <c r="E11" s="10" t="n">
        <f aca="false">'PO Attainment Summary'!J16</f>
        <v>0.6</v>
      </c>
      <c r="F11" s="11" t="n">
        <f aca="false">IF(D11&gt;=0.6,3,IF(D11&gt;=0.4,2,1))</f>
        <v>1</v>
      </c>
      <c r="G11" s="12" t="n">
        <f aca="false">D11-E11</f>
        <v>-0.322666666666667</v>
      </c>
      <c r="H11" s="13" t="str">
        <f aca="false">IF(D11&gt;=E11,"✔ Met","✘ Not Met")</f>
        <v>✘ Not Met</v>
      </c>
    </row>
    <row r="12" customFormat="false" ht="19.5" hidden="false" customHeight="true" outlineLevel="0" collapsed="false">
      <c r="A12" s="6" t="s">
        <v>21</v>
      </c>
      <c r="B12" s="7"/>
      <c r="C12" s="8" t="s">
        <v>22</v>
      </c>
      <c r="D12" s="9" t="n">
        <f aca="false">'PO Attainment Summary'!K14</f>
        <v>0.13</v>
      </c>
      <c r="E12" s="10" t="n">
        <f aca="false">'PO Attainment Summary'!K16</f>
        <v>0.6</v>
      </c>
      <c r="F12" s="11" t="n">
        <f aca="false">IF(D12&gt;=0.6,3,IF(D12&gt;=0.4,2,1))</f>
        <v>1</v>
      </c>
      <c r="G12" s="12" t="n">
        <f aca="false">D12-E12</f>
        <v>-0.47</v>
      </c>
      <c r="H12" s="13" t="str">
        <f aca="false">IF(D12&gt;=E12,"✔ Met","✘ Not Met")</f>
        <v>✘ Not Met</v>
      </c>
    </row>
    <row r="13" customFormat="false" ht="19.5" hidden="false" customHeight="true" outlineLevel="0" collapsed="false">
      <c r="A13" s="6" t="s">
        <v>23</v>
      </c>
      <c r="B13" s="7"/>
      <c r="C13" s="14" t="s">
        <v>24</v>
      </c>
      <c r="D13" s="9" t="n">
        <f aca="false">'PO Attainment Summary'!L14</f>
        <v>0</v>
      </c>
      <c r="E13" s="10" t="n">
        <f aca="false">'PO Attainment Summary'!L16</f>
        <v>0.6</v>
      </c>
      <c r="F13" s="11" t="n">
        <f aca="false">IF(D13&gt;=0.6,3,IF(D13&gt;=0.4,2,1))</f>
        <v>1</v>
      </c>
      <c r="G13" s="12" t="n">
        <f aca="false">D13-E13</f>
        <v>-0.6</v>
      </c>
      <c r="H13" s="13" t="str">
        <f aca="false">IF(D13&gt;=E13,"✔ Met","✘ Not Met")</f>
        <v>✘ Not Met</v>
      </c>
    </row>
    <row r="14" customFormat="false" ht="19.5" hidden="false" customHeight="true" outlineLevel="0" collapsed="false">
      <c r="A14" s="6" t="s">
        <v>25</v>
      </c>
      <c r="B14" s="7"/>
      <c r="C14" s="8" t="s">
        <v>26</v>
      </c>
      <c r="D14" s="9" t="n">
        <f aca="false">'PO Attainment Summary'!M14</f>
        <v>0.633333333333333</v>
      </c>
      <c r="E14" s="10" t="n">
        <f aca="false">'PO Attainment Summary'!M16</f>
        <v>0.6</v>
      </c>
      <c r="F14" s="11" t="n">
        <f aca="false">IF(D14&gt;=0.6,3,IF(D14&gt;=0.4,2,1))</f>
        <v>3</v>
      </c>
      <c r="G14" s="12" t="n">
        <f aca="false">D14-E14</f>
        <v>0.0333333333333333</v>
      </c>
      <c r="H14" s="13" t="str">
        <f aca="false">IF(D14&gt;=E14,"✔ Met","✘ Not Met")</f>
        <v>✔ Met</v>
      </c>
    </row>
    <row r="15" customFormat="false" ht="19.5" hidden="false" customHeight="true" outlineLevel="0" collapsed="false">
      <c r="A15" s="6" t="s">
        <v>27</v>
      </c>
      <c r="B15" s="7"/>
      <c r="C15" s="14" t="s">
        <v>28</v>
      </c>
      <c r="D15" s="9" t="n">
        <f aca="false">'PO Attainment Summary'!N14</f>
        <v>0.647333333333333</v>
      </c>
      <c r="E15" s="10" t="n">
        <f aca="false">'PO Attainment Summary'!N16</f>
        <v>0.6</v>
      </c>
      <c r="F15" s="11" t="n">
        <f aca="false">IF(D15&gt;=0.6,3,IF(D15&gt;=0.4,2,1))</f>
        <v>3</v>
      </c>
      <c r="G15" s="12" t="n">
        <f aca="false">D15-E15</f>
        <v>0.0473333333333333</v>
      </c>
      <c r="H15" s="13" t="str">
        <f aca="false">IF(D15&gt;=E15,"✔ Met","✘ Not Met")</f>
        <v>✔ Met</v>
      </c>
    </row>
    <row r="16" customFormat="false" ht="19.5" hidden="false" customHeight="true" outlineLevel="0" collapsed="false">
      <c r="A16" s="6" t="s">
        <v>29</v>
      </c>
      <c r="B16" s="7"/>
      <c r="C16" s="8" t="s">
        <v>30</v>
      </c>
      <c r="D16" s="9" t="n">
        <f aca="false">'PO Attainment Summary'!O14</f>
        <v>0.094</v>
      </c>
      <c r="E16" s="10" t="n">
        <f aca="false">'PO Attainment Summary'!O16</f>
        <v>0.6</v>
      </c>
      <c r="F16" s="11" t="n">
        <f aca="false">IF(D16&gt;=0.6,3,IF(D16&gt;=0.4,2,1))</f>
        <v>1</v>
      </c>
      <c r="G16" s="12" t="n">
        <f aca="false">D16-E16</f>
        <v>-0.506</v>
      </c>
      <c r="H16" s="13" t="str">
        <f aca="false">IF(D16&gt;=E16,"✔ Met","✘ Not Met")</f>
        <v>✘ Not Met</v>
      </c>
    </row>
    <row r="17" customFormat="false" ht="19.5" hidden="false" customHeight="true" outlineLevel="0" collapsed="false">
      <c r="A17" s="6" t="s">
        <v>31</v>
      </c>
      <c r="B17" s="7"/>
      <c r="C17" s="14" t="s">
        <v>32</v>
      </c>
      <c r="D17" s="9" t="n">
        <f aca="false">'PO Attainment Summary'!P14</f>
        <v>0.64568253968254</v>
      </c>
      <c r="E17" s="10" t="n">
        <f aca="false">'PO Attainment Summary'!P16</f>
        <v>0.6</v>
      </c>
      <c r="F17" s="11" t="n">
        <f aca="false">IF(D17&gt;=0.6,3,IF(D17&gt;=0.4,2,1))</f>
        <v>3</v>
      </c>
      <c r="G17" s="12" t="n">
        <f aca="false">D17-E17</f>
        <v>0.0456825396825397</v>
      </c>
      <c r="H17" s="13" t="str">
        <f aca="false">IF(D17&gt;=E17,"✔ Met","✘ Not Met")</f>
        <v>✔ Met</v>
      </c>
    </row>
    <row r="18" customFormat="false" ht="7.5" hidden="false" customHeight="true" outlineLevel="0" collapsed="false"/>
    <row r="19" customFormat="false" ht="19.5" hidden="false" customHeight="true" outlineLevel="0" collapsed="false">
      <c r="A19" s="15" t="s">
        <v>33</v>
      </c>
      <c r="B19" s="16"/>
      <c r="C19" s="17" t="s">
        <v>34</v>
      </c>
      <c r="D19" s="9" t="n">
        <f aca="false">'PO Attainment Summary'!Q14</f>
        <v>0.641533333333333</v>
      </c>
      <c r="E19" s="10" t="n">
        <f aca="false">'PO Attainment Summary'!Q16</f>
        <v>0.6</v>
      </c>
      <c r="F19" s="18" t="n">
        <f aca="false">IF(D19&gt;=0.6,3,IF(D19&gt;=0.4,2,1))</f>
        <v>3</v>
      </c>
      <c r="G19" s="12" t="n">
        <f aca="false">D19-E19</f>
        <v>0.0415333333333333</v>
      </c>
      <c r="H19" s="13" t="str">
        <f aca="false">IF(D19&gt;=E19,"✔ Met","✘ Not Met")</f>
        <v>✔ Met</v>
      </c>
    </row>
    <row r="20" customFormat="false" ht="19.5" hidden="false" customHeight="true" outlineLevel="0" collapsed="false">
      <c r="A20" s="15" t="s">
        <v>35</v>
      </c>
      <c r="B20" s="16"/>
      <c r="C20" s="17" t="s">
        <v>36</v>
      </c>
      <c r="D20" s="9" t="n">
        <f aca="false">'PO Attainment Summary'!R14</f>
        <v>0.647076923076923</v>
      </c>
      <c r="E20" s="10" t="n">
        <f aca="false">'PO Attainment Summary'!R16</f>
        <v>0.6</v>
      </c>
      <c r="F20" s="18" t="n">
        <f aca="false">IF(D20&gt;=0.6,3,IF(D20&gt;=0.4,2,1))</f>
        <v>3</v>
      </c>
      <c r="G20" s="12" t="n">
        <f aca="false">D20-E20</f>
        <v>0.047076923076923</v>
      </c>
      <c r="H20" s="13" t="str">
        <f aca="false">IF(D20&gt;=E20,"✔ Met","✘ Not Met")</f>
        <v>✔ Met</v>
      </c>
    </row>
    <row r="21" customFormat="false" ht="19.5" hidden="false" customHeight="true" outlineLevel="0" collapsed="false">
      <c r="A21" s="15" t="s">
        <v>37</v>
      </c>
      <c r="B21" s="16"/>
      <c r="C21" s="17" t="s">
        <v>38</v>
      </c>
      <c r="D21" s="9" t="n">
        <f aca="false">'PO Attainment Summary'!S14</f>
        <v>0.644918253968254</v>
      </c>
      <c r="E21" s="10" t="n">
        <f aca="false">'PO Attainment Summary'!S16</f>
        <v>0.6</v>
      </c>
      <c r="F21" s="18" t="n">
        <f aca="false">IF(D21&gt;=0.6,3,IF(D21&gt;=0.4,2,1))</f>
        <v>3</v>
      </c>
      <c r="G21" s="12" t="n">
        <f aca="false">D21-E21</f>
        <v>0.0449182539682539</v>
      </c>
      <c r="H21" s="13" t="str">
        <f aca="false">IF(D21&gt;=E21,"✔ Met","✘ Not Met")</f>
        <v>✔ Met</v>
      </c>
    </row>
    <row r="23" customFormat="false" ht="24" hidden="false" customHeight="true" outlineLevel="0" collapsed="false">
      <c r="A23" s="19" t="s">
        <v>39</v>
      </c>
      <c r="B23" s="19"/>
      <c r="C23" s="19"/>
      <c r="D23" s="20" t="n">
        <f aca="false">AVERAGE(D6:D17,D19:D21)</f>
        <v>0.505098688783983</v>
      </c>
      <c r="E23" s="21" t="n">
        <v>0.6</v>
      </c>
      <c r="F23" s="22" t="n">
        <f aca="false">IF(D23&gt;=0.6,3,IF(D23&gt;=0.4,2,1))</f>
        <v>2</v>
      </c>
      <c r="G23" s="23" t="n">
        <f aca="false">D23-E23</f>
        <v>-0.0949013112160171</v>
      </c>
      <c r="H23" s="24" t="str">
        <f aca="false">IF(D23&gt;=E23,"✔ Met","✘ Not Met")</f>
        <v>✘ Not Met</v>
      </c>
    </row>
    <row r="25" customFormat="false" ht="15" hidden="false" customHeight="false" outlineLevel="0" collapsed="false">
      <c r="A25" s="25" t="s">
        <v>40</v>
      </c>
      <c r="B25" s="25"/>
      <c r="C25" s="25"/>
      <c r="D25" s="25"/>
      <c r="E25" s="25"/>
      <c r="F25" s="25"/>
      <c r="G25" s="25"/>
      <c r="H25" s="25"/>
    </row>
  </sheetData>
  <mergeCells count="11">
    <mergeCell ref="A1:S1"/>
    <mergeCell ref="A2:S2"/>
    <mergeCell ref="A4:B5"/>
    <mergeCell ref="C4:C5"/>
    <mergeCell ref="D4:D5"/>
    <mergeCell ref="E4:E5"/>
    <mergeCell ref="F4:F5"/>
    <mergeCell ref="G4:G5"/>
    <mergeCell ref="H4:H5"/>
    <mergeCell ref="A23:C23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8"/>
    <col collapsed="false" customWidth="true" hidden="false" outlineLevel="0" max="19" min="5" style="0" width="9"/>
  </cols>
  <sheetData>
    <row r="1" customFormat="false" ht="39.75" hidden="false" customHeight="true" outlineLevel="0" collapsed="false">
      <c r="A1" s="26" t="s">
        <v>41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customFormat="false" ht="15.75" hidden="false" customHeight="true" outlineLevel="0" collapsed="false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7.5" hidden="false" customHeight="true" outlineLevel="0" collapsed="false"/>
    <row r="4" customFormat="false" ht="19.5" hidden="false" customHeight="true" outlineLevel="0" collapsed="false">
      <c r="A4" s="27" t="s">
        <v>43</v>
      </c>
      <c r="B4" s="27"/>
      <c r="C4" s="27"/>
      <c r="D4" s="28" t="s">
        <v>44</v>
      </c>
      <c r="E4" s="29" t="s">
        <v>45</v>
      </c>
      <c r="F4" s="30" t="s">
        <v>46</v>
      </c>
    </row>
    <row r="6" customFormat="false" ht="27.75" hidden="false" customHeight="true" outlineLevel="0" collapsed="false">
      <c r="A6" s="31" t="s">
        <v>47</v>
      </c>
      <c r="B6" s="31" t="s">
        <v>48</v>
      </c>
      <c r="C6" s="31" t="s">
        <v>49</v>
      </c>
      <c r="D6" s="31" t="s">
        <v>50</v>
      </c>
      <c r="E6" s="32" t="s">
        <v>51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3" t="s">
        <v>52</v>
      </c>
      <c r="R6" s="33"/>
      <c r="S6" s="33"/>
    </row>
    <row r="7" customFormat="false" ht="19.5" hidden="false" customHeight="true" outlineLevel="0" collapsed="false">
      <c r="A7" s="31"/>
      <c r="B7" s="31"/>
      <c r="C7" s="31"/>
      <c r="D7" s="31"/>
      <c r="E7" s="34" t="s">
        <v>9</v>
      </c>
      <c r="F7" s="34" t="s">
        <v>11</v>
      </c>
      <c r="G7" s="34" t="s">
        <v>13</v>
      </c>
      <c r="H7" s="34" t="s">
        <v>15</v>
      </c>
      <c r="I7" s="34" t="s">
        <v>17</v>
      </c>
      <c r="J7" s="34" t="s">
        <v>19</v>
      </c>
      <c r="K7" s="34" t="s">
        <v>21</v>
      </c>
      <c r="L7" s="34" t="s">
        <v>23</v>
      </c>
      <c r="M7" s="34" t="s">
        <v>25</v>
      </c>
      <c r="N7" s="34" t="s">
        <v>27</v>
      </c>
      <c r="O7" s="34" t="s">
        <v>29</v>
      </c>
      <c r="P7" s="34" t="s">
        <v>31</v>
      </c>
      <c r="Q7" s="35" t="s">
        <v>33</v>
      </c>
      <c r="R7" s="35" t="s">
        <v>35</v>
      </c>
      <c r="S7" s="35" t="s">
        <v>37</v>
      </c>
    </row>
    <row r="8" customFormat="false" ht="19.5" hidden="false" customHeight="true" outlineLevel="0" collapsed="false">
      <c r="A8" s="36" t="n">
        <v>1</v>
      </c>
      <c r="B8" s="8" t="s">
        <v>53</v>
      </c>
      <c r="C8" s="37" t="s">
        <v>54</v>
      </c>
      <c r="D8" s="38" t="n">
        <v>4</v>
      </c>
      <c r="E8" s="39" t="n">
        <f aca="false">'PO Direct Attainment'!D6</f>
        <v>0.709230769230769</v>
      </c>
      <c r="F8" s="39" t="n">
        <f aca="false">'PO Direct Attainment'!E6</f>
        <v>0.71</v>
      </c>
      <c r="G8" s="39" t="n">
        <f aca="false">'PO Direct Attainment'!F6</f>
        <v>0.717692307692308</v>
      </c>
      <c r="H8" s="39" t="n">
        <f aca="false">'PO Direct Attainment'!G6</f>
        <v>0.726</v>
      </c>
      <c r="I8" s="39" t="n">
        <f aca="false">'PO Direct Attainment'!H6</f>
        <v>0.755714285714286</v>
      </c>
      <c r="J8" s="39" t="n">
        <f aca="false">'PO Direct Attainment'!I6</f>
        <v>0</v>
      </c>
      <c r="K8" s="39" t="n">
        <f aca="false">'PO Direct Attainment'!J6</f>
        <v>0</v>
      </c>
      <c r="L8" s="39" t="n">
        <f aca="false">'PO Direct Attainment'!K6</f>
        <v>0</v>
      </c>
      <c r="M8" s="39" t="n">
        <f aca="false">'PO Direct Attainment'!L6</f>
        <v>0.703333333333333</v>
      </c>
      <c r="N8" s="39" t="n">
        <f aca="false">'PO Direct Attainment'!M6</f>
        <v>0.72</v>
      </c>
      <c r="O8" s="39" t="n">
        <f aca="false">'PO Direct Attainment'!N6</f>
        <v>0</v>
      </c>
      <c r="P8" s="39" t="n">
        <f aca="false">'PO Direct Attainment'!O6</f>
        <v>0.717777777777778</v>
      </c>
      <c r="Q8" s="39" t="n">
        <f aca="false">'PO Direct Attainment'!P6</f>
        <v>0.71</v>
      </c>
      <c r="R8" s="39" t="n">
        <f aca="false">'PO Direct Attainment'!Q6</f>
        <v>0.7275</v>
      </c>
      <c r="S8" s="39" t="n">
        <f aca="false">'PO Direct Attainment'!R6</f>
        <v>0.734285714285714</v>
      </c>
    </row>
    <row r="9" customFormat="false" ht="19.5" hidden="false" customHeight="true" outlineLevel="0" collapsed="false">
      <c r="A9" s="40" t="n">
        <v>2</v>
      </c>
      <c r="B9" s="14" t="s">
        <v>55</v>
      </c>
      <c r="C9" s="41" t="s">
        <v>56</v>
      </c>
      <c r="D9" s="38" t="n">
        <v>4</v>
      </c>
      <c r="E9" s="42" t="n">
        <f aca="false">'PO Direct Attainment'!D7</f>
        <v>0.482307692307692</v>
      </c>
      <c r="F9" s="42" t="n">
        <f aca="false">'PO Direct Attainment'!E7</f>
        <v>0.489230769230769</v>
      </c>
      <c r="G9" s="42" t="n">
        <f aca="false">'PO Direct Attainment'!F7</f>
        <v>0.491818181818182</v>
      </c>
      <c r="H9" s="42" t="n">
        <f aca="false">'PO Direct Attainment'!G7</f>
        <v>0.487</v>
      </c>
      <c r="I9" s="42" t="n">
        <f aca="false">'PO Direct Attainment'!H7</f>
        <v>0.486</v>
      </c>
      <c r="J9" s="42" t="n">
        <f aca="false">'PO Direct Attainment'!I7</f>
        <v>0</v>
      </c>
      <c r="K9" s="42" t="n">
        <f aca="false">'PO Direct Attainment'!J7</f>
        <v>0</v>
      </c>
      <c r="L9" s="42" t="n">
        <f aca="false">'PO Direct Attainment'!K7</f>
        <v>0</v>
      </c>
      <c r="M9" s="42" t="n">
        <f aca="false">'PO Direct Attainment'!L7</f>
        <v>0.475</v>
      </c>
      <c r="N9" s="42" t="n">
        <f aca="false">'PO Direct Attainment'!M7</f>
        <v>0.505</v>
      </c>
      <c r="O9" s="42" t="n">
        <f aca="false">'PO Direct Attainment'!N7</f>
        <v>0.47</v>
      </c>
      <c r="P9" s="42" t="n">
        <f aca="false">'PO Direct Attainment'!O7</f>
        <v>0.492857142857143</v>
      </c>
      <c r="Q9" s="42" t="n">
        <f aca="false">'PO Direct Attainment'!P7</f>
        <v>0.482307692307692</v>
      </c>
      <c r="R9" s="42" t="n">
        <f aca="false">'PO Direct Attainment'!Q7</f>
        <v>0.49</v>
      </c>
      <c r="S9" s="42" t="n">
        <f aca="false">'PO Direct Attainment'!R7</f>
        <v>0.48875</v>
      </c>
    </row>
    <row r="10" customFormat="false" ht="19.5" hidden="false" customHeight="true" outlineLevel="0" collapsed="false">
      <c r="A10" s="36" t="n">
        <v>3</v>
      </c>
      <c r="B10" s="8" t="s">
        <v>57</v>
      </c>
      <c r="C10" s="37" t="s">
        <v>58</v>
      </c>
      <c r="D10" s="38" t="n">
        <v>4</v>
      </c>
      <c r="E10" s="39" t="n">
        <f aca="false">'PO Direct Attainment'!D8</f>
        <v>0.666923076923077</v>
      </c>
      <c r="F10" s="39" t="n">
        <f aca="false">'PO Direct Attainment'!E8</f>
        <v>0.675384615384615</v>
      </c>
      <c r="G10" s="39" t="n">
        <f aca="false">'PO Direct Attainment'!F8</f>
        <v>0.67</v>
      </c>
      <c r="H10" s="39" t="n">
        <f aca="false">'PO Direct Attainment'!G8</f>
        <v>0.667</v>
      </c>
      <c r="I10" s="39" t="n">
        <f aca="false">'PO Direct Attainment'!H8</f>
        <v>0.675384615384615</v>
      </c>
      <c r="J10" s="39" t="n">
        <f aca="false">'PO Direct Attainment'!I8</f>
        <v>0.666666666666667</v>
      </c>
      <c r="K10" s="39" t="n">
        <f aca="false">'PO Direct Attainment'!J8</f>
        <v>0.65</v>
      </c>
      <c r="L10" s="39" t="n">
        <f aca="false">'PO Direct Attainment'!K8</f>
        <v>0</v>
      </c>
      <c r="M10" s="39" t="n">
        <f aca="false">'PO Direct Attainment'!L8</f>
        <v>0.66</v>
      </c>
      <c r="N10" s="39" t="n">
        <f aca="false">'PO Direct Attainment'!M8</f>
        <v>0.676666666666667</v>
      </c>
      <c r="O10" s="39" t="n">
        <f aca="false">'PO Direct Attainment'!N8</f>
        <v>0</v>
      </c>
      <c r="P10" s="39" t="n">
        <f aca="false">'PO Direct Attainment'!O8</f>
        <v>0.672222222222222</v>
      </c>
      <c r="Q10" s="39" t="n">
        <f aca="false">'PO Direct Attainment'!P8</f>
        <v>0.668333333333333</v>
      </c>
      <c r="R10" s="39" t="n">
        <f aca="false">'PO Direct Attainment'!Q8</f>
        <v>0.675384615384615</v>
      </c>
      <c r="S10" s="39" t="n">
        <f aca="false">'PO Direct Attainment'!R8</f>
        <v>0.675555555555556</v>
      </c>
    </row>
    <row r="11" customFormat="false" ht="19.5" hidden="false" customHeight="true" outlineLevel="0" collapsed="false">
      <c r="A11" s="40" t="n">
        <v>4</v>
      </c>
      <c r="B11" s="14" t="s">
        <v>59</v>
      </c>
      <c r="C11" s="41" t="s">
        <v>60</v>
      </c>
      <c r="D11" s="38" t="n">
        <v>4</v>
      </c>
      <c r="E11" s="42" t="n">
        <f aca="false">'PO Direct Attainment'!D9</f>
        <v>0.637692307692308</v>
      </c>
      <c r="F11" s="42" t="n">
        <f aca="false">'PO Direct Attainment'!E9</f>
        <v>0.632142857142857</v>
      </c>
      <c r="G11" s="42" t="n">
        <f aca="false">'PO Direct Attainment'!F9</f>
        <v>0.618</v>
      </c>
      <c r="H11" s="42" t="n">
        <f aca="false">'PO Direct Attainment'!G9</f>
        <v>0.6175</v>
      </c>
      <c r="I11" s="42" t="n">
        <f aca="false">'PO Direct Attainment'!H9</f>
        <v>0.636</v>
      </c>
      <c r="J11" s="42" t="n">
        <f aca="false">'PO Direct Attainment'!I9</f>
        <v>0</v>
      </c>
      <c r="K11" s="42" t="n">
        <f aca="false">'PO Direct Attainment'!J9</f>
        <v>0</v>
      </c>
      <c r="L11" s="42" t="n">
        <f aca="false">'PO Direct Attainment'!K9</f>
        <v>0</v>
      </c>
      <c r="M11" s="42" t="n">
        <f aca="false">'PO Direct Attainment'!L9</f>
        <v>0.635</v>
      </c>
      <c r="N11" s="42" t="n">
        <f aca="false">'PO Direct Attainment'!M9</f>
        <v>0.56</v>
      </c>
      <c r="O11" s="42" t="n">
        <f aca="false">'PO Direct Attainment'!N9</f>
        <v>0</v>
      </c>
      <c r="P11" s="42" t="n">
        <f aca="false">'PO Direct Attainment'!O9</f>
        <v>0.635555555555556</v>
      </c>
      <c r="Q11" s="42" t="n">
        <f aca="false">'PO Direct Attainment'!P9</f>
        <v>0.637692307692308</v>
      </c>
      <c r="R11" s="42" t="n">
        <f aca="false">'PO Direct Attainment'!Q9</f>
        <v>0.635833333333333</v>
      </c>
      <c r="S11" s="42" t="n">
        <f aca="false">'PO Direct Attainment'!R9</f>
        <v>0.62</v>
      </c>
    </row>
    <row r="12" customFormat="false" ht="19.5" hidden="false" customHeight="true" outlineLevel="0" collapsed="false">
      <c r="A12" s="36" t="n">
        <v>5</v>
      </c>
      <c r="B12" s="8" t="s">
        <v>61</v>
      </c>
      <c r="C12" s="37" t="s">
        <v>62</v>
      </c>
      <c r="D12" s="38" t="n">
        <v>4</v>
      </c>
      <c r="E12" s="39" t="n">
        <f aca="false">'PO Direct Attainment'!D10</f>
        <v>0.709333333333333</v>
      </c>
      <c r="F12" s="39" t="n">
        <f aca="false">'PO Direct Attainment'!E10</f>
        <v>0.702352941176471</v>
      </c>
      <c r="G12" s="39" t="n">
        <f aca="false">'PO Direct Attainment'!F10</f>
        <v>0.702</v>
      </c>
      <c r="H12" s="39" t="n">
        <f aca="false">'PO Direct Attainment'!G10</f>
        <v>0.699285714285714</v>
      </c>
      <c r="I12" s="39" t="n">
        <f aca="false">'PO Direct Attainment'!H10</f>
        <v>0.712352941176471</v>
      </c>
      <c r="J12" s="39" t="n">
        <f aca="false">'PO Direct Attainment'!I10</f>
        <v>0.72</v>
      </c>
      <c r="K12" s="39" t="n">
        <f aca="false">'PO Direct Attainment'!J10</f>
        <v>0</v>
      </c>
      <c r="L12" s="39" t="n">
        <f aca="false">'PO Direct Attainment'!K10</f>
        <v>0</v>
      </c>
      <c r="M12" s="39" t="n">
        <f aca="false">'PO Direct Attainment'!L10</f>
        <v>0.693333333333333</v>
      </c>
      <c r="N12" s="39" t="n">
        <f aca="false">'PO Direct Attainment'!M10</f>
        <v>0.775</v>
      </c>
      <c r="O12" s="39" t="n">
        <f aca="false">'PO Direct Attainment'!N10</f>
        <v>0</v>
      </c>
      <c r="P12" s="39" t="n">
        <f aca="false">'PO Direct Attainment'!O10</f>
        <v>0.71</v>
      </c>
      <c r="Q12" s="39" t="n">
        <f aca="false">'PO Direct Attainment'!P10</f>
        <v>0.709333333333333</v>
      </c>
      <c r="R12" s="39" t="n">
        <f aca="false">'PO Direct Attainment'!Q10</f>
        <v>0.706666666666667</v>
      </c>
      <c r="S12" s="39" t="n">
        <f aca="false">'PO Direct Attainment'!R10</f>
        <v>0.706</v>
      </c>
    </row>
    <row r="14" customFormat="false" ht="25.5" hidden="false" customHeight="true" outlineLevel="0" collapsed="false">
      <c r="A14" s="43" t="s">
        <v>63</v>
      </c>
      <c r="B14" s="43"/>
      <c r="C14" s="43"/>
      <c r="D14" s="43"/>
      <c r="E14" s="44" t="n">
        <f aca="false">IFERROR(SUMPRODUCT(D8:D12,E8:E12)/SUM(D8:D12),0)</f>
        <v>0.641097435897436</v>
      </c>
      <c r="F14" s="44" t="n">
        <f aca="false">IFERROR(SUMPRODUCT(D8:D12,F8:F12)/SUM(D8:D12),0)</f>
        <v>0.641822236586943</v>
      </c>
      <c r="G14" s="44" t="n">
        <f aca="false">IFERROR(SUMPRODUCT(D8:D12,G8:G12)/SUM(D8:D12),0)</f>
        <v>0.639902097902098</v>
      </c>
      <c r="H14" s="44" t="n">
        <f aca="false">IFERROR(SUMPRODUCT(D8:D12,H8:H12)/SUM(D8:D12),0)</f>
        <v>0.639357142857143</v>
      </c>
      <c r="I14" s="44" t="n">
        <f aca="false">IFERROR(SUMPRODUCT(D8:D12,I8:I12)/SUM(D8:D12),0)</f>
        <v>0.653090368455074</v>
      </c>
      <c r="J14" s="44" t="n">
        <f aca="false">IFERROR(SUMPRODUCT(D8:D12,J8:J12)/SUM(D8:D12),0)</f>
        <v>0.277333333333333</v>
      </c>
      <c r="K14" s="44" t="n">
        <f aca="false">IFERROR(SUMPRODUCT(D8:D12,K8:K12)/SUM(D8:D12),0)</f>
        <v>0.13</v>
      </c>
      <c r="L14" s="44" t="n">
        <f aca="false">IFERROR(SUMPRODUCT(D8:D12,L8:L12)/SUM(D8:D12),0)</f>
        <v>0</v>
      </c>
      <c r="M14" s="44" t="n">
        <f aca="false">IFERROR(SUMPRODUCT(D8:D12,M8:M12)/SUM(D8:D12),0)</f>
        <v>0.633333333333333</v>
      </c>
      <c r="N14" s="44" t="n">
        <f aca="false">IFERROR(SUMPRODUCT(D8:D12,N8:N12)/SUM(D8:D12),0)</f>
        <v>0.647333333333333</v>
      </c>
      <c r="O14" s="44" t="n">
        <f aca="false">IFERROR(SUMPRODUCT(D8:D12,O8:O12)/SUM(D8:D12),0)</f>
        <v>0.094</v>
      </c>
      <c r="P14" s="44" t="n">
        <f aca="false">IFERROR(SUMPRODUCT(D8:D12,P8:P12)/SUM(D8:D12),0)</f>
        <v>0.64568253968254</v>
      </c>
      <c r="Q14" s="45" t="n">
        <f aca="false">IFERROR(SUMPRODUCT(D8:D12,Q8:Q12)/SUM(D8:D12),0)</f>
        <v>0.641533333333333</v>
      </c>
      <c r="R14" s="45" t="n">
        <f aca="false">IFERROR(SUMPRODUCT(D8:D12,R8:R12)/SUM(D8:D12),0)</f>
        <v>0.647076923076923</v>
      </c>
      <c r="S14" s="45" t="n">
        <f aca="false">IFERROR(SUMPRODUCT(D8:D12,S8:S12)/SUM(D8:D12),0)</f>
        <v>0.644918253968254</v>
      </c>
    </row>
    <row r="15" customFormat="false" ht="21.75" hidden="false" customHeight="true" outlineLevel="0" collapsed="false">
      <c r="A15" s="32" t="s">
        <v>64</v>
      </c>
      <c r="B15" s="32"/>
      <c r="C15" s="32"/>
      <c r="D15" s="32"/>
      <c r="E15" s="46" t="n">
        <f aca="false">IF(E14&gt;=0.6,3,IF(E14&gt;=0.4,2,1))</f>
        <v>3</v>
      </c>
      <c r="F15" s="46" t="n">
        <f aca="false">IF(F14&gt;=0.6,3,IF(F14&gt;=0.4,2,1))</f>
        <v>3</v>
      </c>
      <c r="G15" s="46" t="n">
        <f aca="false">IF(G14&gt;=0.6,3,IF(G14&gt;=0.4,2,1))</f>
        <v>3</v>
      </c>
      <c r="H15" s="46" t="n">
        <f aca="false">IF(H14&gt;=0.6,3,IF(H14&gt;=0.4,2,1))</f>
        <v>3</v>
      </c>
      <c r="I15" s="46" t="n">
        <f aca="false">IF(I14&gt;=0.6,3,IF(I14&gt;=0.4,2,1))</f>
        <v>3</v>
      </c>
      <c r="J15" s="46" t="n">
        <f aca="false">IF(J14&gt;=0.6,3,IF(J14&gt;=0.4,2,1))</f>
        <v>1</v>
      </c>
      <c r="K15" s="46" t="n">
        <f aca="false">IF(K14&gt;=0.6,3,IF(K14&gt;=0.4,2,1))</f>
        <v>1</v>
      </c>
      <c r="L15" s="46" t="n">
        <f aca="false">IF(L14&gt;=0.6,3,IF(L14&gt;=0.4,2,1))</f>
        <v>1</v>
      </c>
      <c r="M15" s="46" t="n">
        <f aca="false">IF(M14&gt;=0.6,3,IF(M14&gt;=0.4,2,1))</f>
        <v>3</v>
      </c>
      <c r="N15" s="46" t="n">
        <f aca="false">IF(N14&gt;=0.6,3,IF(N14&gt;=0.4,2,1))</f>
        <v>3</v>
      </c>
      <c r="O15" s="46" t="n">
        <f aca="false">IF(O14&gt;=0.6,3,IF(O14&gt;=0.4,2,1))</f>
        <v>1</v>
      </c>
      <c r="P15" s="46" t="n">
        <f aca="false">IF(P14&gt;=0.6,3,IF(P14&gt;=0.4,2,1))</f>
        <v>3</v>
      </c>
      <c r="Q15" s="47" t="n">
        <f aca="false">IF(Q14&gt;=0.6,3,IF(Q14&gt;=0.4,2,1))</f>
        <v>3</v>
      </c>
      <c r="R15" s="47" t="n">
        <f aca="false">IF(R14&gt;=0.6,3,IF(R14&gt;=0.4,2,1))</f>
        <v>3</v>
      </c>
      <c r="S15" s="47" t="n">
        <f aca="false">IF(S14&gt;=0.6,3,IF(S14&gt;=0.4,2,1))</f>
        <v>3</v>
      </c>
    </row>
    <row r="16" customFormat="false" ht="18" hidden="false" customHeight="true" outlineLevel="0" collapsed="false">
      <c r="A16" s="48" t="s">
        <v>65</v>
      </c>
      <c r="B16" s="48"/>
      <c r="C16" s="48"/>
      <c r="D16" s="48"/>
      <c r="E16" s="49" t="n">
        <v>0.6</v>
      </c>
      <c r="F16" s="49" t="n">
        <v>0.6</v>
      </c>
      <c r="G16" s="49" t="n">
        <v>0.6</v>
      </c>
      <c r="H16" s="49" t="n">
        <v>0.6</v>
      </c>
      <c r="I16" s="49" t="n">
        <v>0.6</v>
      </c>
      <c r="J16" s="49" t="n">
        <v>0.6</v>
      </c>
      <c r="K16" s="49" t="n">
        <v>0.6</v>
      </c>
      <c r="L16" s="49" t="n">
        <v>0.6</v>
      </c>
      <c r="M16" s="49" t="n">
        <v>0.6</v>
      </c>
      <c r="N16" s="49" t="n">
        <v>0.6</v>
      </c>
      <c r="O16" s="49" t="n">
        <v>0.6</v>
      </c>
      <c r="P16" s="49" t="n">
        <v>0.6</v>
      </c>
      <c r="Q16" s="49" t="n">
        <v>0.6</v>
      </c>
      <c r="R16" s="49" t="n">
        <v>0.6</v>
      </c>
      <c r="S16" s="49" t="n">
        <v>0.6</v>
      </c>
    </row>
    <row r="17" customFormat="false" ht="18" hidden="false" customHeight="true" outlineLevel="0" collapsed="false">
      <c r="A17" s="48" t="s">
        <v>66</v>
      </c>
      <c r="B17" s="48"/>
      <c r="C17" s="48"/>
      <c r="D17" s="48"/>
      <c r="E17" s="50" t="n">
        <f aca="false">E14-E16</f>
        <v>0.041097435897436</v>
      </c>
      <c r="F17" s="50" t="n">
        <f aca="false">F14-F16</f>
        <v>0.0418222365869425</v>
      </c>
      <c r="G17" s="50" t="n">
        <f aca="false">G14-G16</f>
        <v>0.039902097902098</v>
      </c>
      <c r="H17" s="50" t="n">
        <f aca="false">H14-H16</f>
        <v>0.0393571428571429</v>
      </c>
      <c r="I17" s="50" t="n">
        <f aca="false">I14-I16</f>
        <v>0.0530903684550744</v>
      </c>
      <c r="J17" s="50" t="n">
        <f aca="false">J14-J16</f>
        <v>-0.322666666666667</v>
      </c>
      <c r="K17" s="50" t="n">
        <f aca="false">K14-K16</f>
        <v>-0.47</v>
      </c>
      <c r="L17" s="50" t="n">
        <f aca="false">L14-L16</f>
        <v>-0.6</v>
      </c>
      <c r="M17" s="50" t="n">
        <f aca="false">M14-M16</f>
        <v>0.0333333333333333</v>
      </c>
      <c r="N17" s="50" t="n">
        <f aca="false">N14-N16</f>
        <v>0.0473333333333333</v>
      </c>
      <c r="O17" s="50" t="n">
        <f aca="false">O14-O16</f>
        <v>-0.506</v>
      </c>
      <c r="P17" s="50" t="n">
        <f aca="false">P14-P16</f>
        <v>0.0456825396825397</v>
      </c>
      <c r="Q17" s="50" t="n">
        <f aca="false">Q14-Q16</f>
        <v>0.0415333333333333</v>
      </c>
      <c r="R17" s="50" t="n">
        <f aca="false">R14-R16</f>
        <v>0.047076923076923</v>
      </c>
      <c r="S17" s="50" t="n">
        <f aca="false">S14-S16</f>
        <v>0.0449182539682539</v>
      </c>
    </row>
    <row r="18" customFormat="false" ht="19.5" hidden="false" customHeight="true" outlineLevel="0" collapsed="false">
      <c r="A18" s="48" t="s">
        <v>67</v>
      </c>
      <c r="B18" s="48"/>
      <c r="C18" s="48"/>
      <c r="D18" s="48"/>
      <c r="E18" s="51" t="str">
        <f aca="false">IF(E14&gt;=E16,"✔","✘")</f>
        <v>✔</v>
      </c>
      <c r="F18" s="51" t="str">
        <f aca="false">IF(F14&gt;=F16,"✔","✘")</f>
        <v>✔</v>
      </c>
      <c r="G18" s="51" t="str">
        <f aca="false">IF(G14&gt;=G16,"✔","✘")</f>
        <v>✔</v>
      </c>
      <c r="H18" s="51" t="str">
        <f aca="false">IF(H14&gt;=H16,"✔","✘")</f>
        <v>✔</v>
      </c>
      <c r="I18" s="51" t="str">
        <f aca="false">IF(I14&gt;=I16,"✔","✘")</f>
        <v>✔</v>
      </c>
      <c r="J18" s="51" t="str">
        <f aca="false">IF(J14&gt;=J16,"✔","✘")</f>
        <v>✘</v>
      </c>
      <c r="K18" s="51" t="str">
        <f aca="false">IF(K14&gt;=K16,"✔","✘")</f>
        <v>✘</v>
      </c>
      <c r="L18" s="51" t="str">
        <f aca="false">IF(L14&gt;=L16,"✔","✘")</f>
        <v>✘</v>
      </c>
      <c r="M18" s="51" t="str">
        <f aca="false">IF(M14&gt;=M16,"✔","✘")</f>
        <v>✔</v>
      </c>
      <c r="N18" s="51" t="str">
        <f aca="false">IF(N14&gt;=N16,"✔","✘")</f>
        <v>✔</v>
      </c>
      <c r="O18" s="51" t="str">
        <f aca="false">IF(O14&gt;=O16,"✔","✘")</f>
        <v>✘</v>
      </c>
      <c r="P18" s="51" t="str">
        <f aca="false">IF(P14&gt;=P16,"✔","✘")</f>
        <v>✔</v>
      </c>
      <c r="Q18" s="51" t="str">
        <f aca="false">IF(Q14&gt;=Q16,"✔","✘")</f>
        <v>✔</v>
      </c>
      <c r="R18" s="51" t="str">
        <f aca="false">IF(R14&gt;=R16,"✔","✘")</f>
        <v>✔</v>
      </c>
      <c r="S18" s="51" t="str">
        <f aca="false">IF(S14&gt;=S16,"✔","✘")</f>
        <v>✔</v>
      </c>
    </row>
  </sheetData>
  <mergeCells count="14">
    <mergeCell ref="A1:T1"/>
    <mergeCell ref="A2:T2"/>
    <mergeCell ref="A4:C4"/>
    <mergeCell ref="A6:A7"/>
    <mergeCell ref="B6:B7"/>
    <mergeCell ref="C6:C7"/>
    <mergeCell ref="D6:D7"/>
    <mergeCell ref="E6:P6"/>
    <mergeCell ref="Q6:S6"/>
    <mergeCell ref="A14:D14"/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21" min="4" style="0" width="9"/>
  </cols>
  <sheetData>
    <row r="1" customFormat="false" ht="37.5" hidden="false" customHeight="true" outlineLevel="0" collapsed="false">
      <c r="A1" s="52" t="s">
        <v>68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customFormat="false" ht="15.75" hidden="false" customHeight="true" outlineLevel="0" collapsed="false">
      <c r="A2" s="53" t="s">
        <v>69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</row>
    <row r="3" customFormat="false" ht="7.5" hidden="false" customHeight="true" outlineLevel="0" collapsed="false"/>
    <row r="4" customFormat="false" ht="30" hidden="false" customHeight="true" outlineLevel="0" collapsed="false">
      <c r="A4" s="31" t="s">
        <v>47</v>
      </c>
      <c r="B4" s="31" t="s">
        <v>70</v>
      </c>
      <c r="C4" s="31" t="s">
        <v>49</v>
      </c>
      <c r="D4" s="32" t="s">
        <v>71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3" t="s">
        <v>72</v>
      </c>
      <c r="Q4" s="33"/>
      <c r="R4" s="33"/>
      <c r="S4" s="54" t="s">
        <v>73</v>
      </c>
      <c r="T4" s="54"/>
      <c r="U4" s="54"/>
    </row>
    <row r="5" customFormat="false" ht="21.75" hidden="false" customHeight="true" outlineLevel="0" collapsed="false">
      <c r="A5" s="31"/>
      <c r="B5" s="31"/>
      <c r="C5" s="31"/>
      <c r="D5" s="34" t="s">
        <v>9</v>
      </c>
      <c r="E5" s="34" t="s">
        <v>11</v>
      </c>
      <c r="F5" s="34" t="s">
        <v>13</v>
      </c>
      <c r="G5" s="34" t="s">
        <v>15</v>
      </c>
      <c r="H5" s="34" t="s">
        <v>17</v>
      </c>
      <c r="I5" s="34" t="s">
        <v>19</v>
      </c>
      <c r="J5" s="34" t="s">
        <v>21</v>
      </c>
      <c r="K5" s="34" t="s">
        <v>23</v>
      </c>
      <c r="L5" s="34" t="s">
        <v>25</v>
      </c>
      <c r="M5" s="34" t="s">
        <v>27</v>
      </c>
      <c r="N5" s="34" t="s">
        <v>29</v>
      </c>
      <c r="O5" s="34" t="s">
        <v>31</v>
      </c>
      <c r="P5" s="35" t="s">
        <v>33</v>
      </c>
      <c r="Q5" s="35" t="s">
        <v>35</v>
      </c>
      <c r="R5" s="35" t="s">
        <v>37</v>
      </c>
      <c r="S5" s="55" t="s">
        <v>74</v>
      </c>
      <c r="T5" s="56" t="s">
        <v>75</v>
      </c>
      <c r="U5" s="57" t="s">
        <v>76</v>
      </c>
    </row>
    <row r="6" customFormat="false" ht="19.5" hidden="false" customHeight="true" outlineLevel="0" collapsed="false">
      <c r="A6" s="36" t="n">
        <v>1</v>
      </c>
      <c r="B6" s="8" t="s">
        <v>53</v>
      </c>
      <c r="C6" s="37" t="s">
        <v>54</v>
      </c>
      <c r="D6" s="39" t="n">
        <f aca="false">IFERROR(SUMPRODUCT(('CO-PO Mapping'!D5:D9)*('CO-PO Mapping'!E5:E9))/SUMIF('CO-PO Mapping'!E5:E9,"&gt;0"),0)</f>
        <v>0.709230769230769</v>
      </c>
      <c r="E6" s="39" t="n">
        <f aca="false">IFERROR(SUMPRODUCT(('CO-PO Mapping'!D5:D9)*('CO-PO Mapping'!F5:F9))/SUMIF('CO-PO Mapping'!F5:F9,"&gt;0"),0)</f>
        <v>0.71</v>
      </c>
      <c r="F6" s="39" t="n">
        <f aca="false">IFERROR(SUMPRODUCT(('CO-PO Mapping'!D5:D9)*('CO-PO Mapping'!G5:G9))/SUMIF('CO-PO Mapping'!G5:G9,"&gt;0"),0)</f>
        <v>0.717692307692308</v>
      </c>
      <c r="G6" s="39" t="n">
        <f aca="false">IFERROR(SUMPRODUCT(('CO-PO Mapping'!D5:D9)*('CO-PO Mapping'!H5:H9))/SUMIF('CO-PO Mapping'!H5:H9,"&gt;0"),0)</f>
        <v>0.726</v>
      </c>
      <c r="H6" s="39" t="n">
        <f aca="false">IFERROR(SUMPRODUCT(('CO-PO Mapping'!D5:D9)*('CO-PO Mapping'!I5:I9))/SUMIF('CO-PO Mapping'!I5:I9,"&gt;0"),0)</f>
        <v>0.755714285714286</v>
      </c>
      <c r="I6" s="39" t="n">
        <f aca="false">IFERROR(SUMPRODUCT(('CO-PO Mapping'!D5:D9)*('CO-PO Mapping'!J5:J9))/SUMIF('CO-PO Mapping'!J5:J9,"&gt;0"),0)</f>
        <v>0</v>
      </c>
      <c r="J6" s="39" t="n">
        <f aca="false">IFERROR(SUMPRODUCT(('CO-PO Mapping'!D5:D9)*('CO-PO Mapping'!K5:K9))/SUMIF('CO-PO Mapping'!K5:K9,"&gt;0"),0)</f>
        <v>0</v>
      </c>
      <c r="K6" s="39" t="n">
        <f aca="false">IFERROR(SUMPRODUCT(('CO-PO Mapping'!D5:D9)*('CO-PO Mapping'!L5:L9))/SUMIF('CO-PO Mapping'!L5:L9,"&gt;0"),0)</f>
        <v>0</v>
      </c>
      <c r="L6" s="39" t="n">
        <f aca="false">IFERROR(SUMPRODUCT(('CO-PO Mapping'!D5:D9)*('CO-PO Mapping'!M5:M9))/SUMIF('CO-PO Mapping'!M5:M9,"&gt;0"),0)</f>
        <v>0.703333333333333</v>
      </c>
      <c r="M6" s="39" t="n">
        <f aca="false">IFERROR(SUMPRODUCT(('CO-PO Mapping'!D5:D9)*('CO-PO Mapping'!N5:N9))/SUMIF('CO-PO Mapping'!N5:N9,"&gt;0"),0)</f>
        <v>0.72</v>
      </c>
      <c r="N6" s="39" t="n">
        <f aca="false">IFERROR(SUMPRODUCT(('CO-PO Mapping'!D5:D9)*('CO-PO Mapping'!O5:O9))/SUMIF('CO-PO Mapping'!O5:O9,"&gt;0"),0)</f>
        <v>0</v>
      </c>
      <c r="O6" s="39" t="n">
        <f aca="false">IFERROR(SUMPRODUCT(('CO-PO Mapping'!D5:D9)*('CO-PO Mapping'!P5:P9))/SUMIF('CO-PO Mapping'!P5:P9,"&gt;0"),0)</f>
        <v>0.717777777777778</v>
      </c>
      <c r="P6" s="39" t="n">
        <f aca="false">IFERROR(SUMPRODUCT(('CO-PO Mapping'!D5:D9)*('CO-PO Mapping'!Q5:Q9))/SUMIF('CO-PO Mapping'!Q5:Q9,"&gt;0"),0)</f>
        <v>0.71</v>
      </c>
      <c r="Q6" s="39" t="n">
        <f aca="false">IFERROR(SUMPRODUCT(('CO-PO Mapping'!D5:D9)*('CO-PO Mapping'!R5:R9))/SUMIF('CO-PO Mapping'!R5:R9,"&gt;0"),0)</f>
        <v>0.7275</v>
      </c>
      <c r="R6" s="39" t="n">
        <f aca="false">IFERROR(SUMPRODUCT(('CO-PO Mapping'!D5:D9)*('CO-PO Mapping'!S5:S9))/SUMIF('CO-PO Mapping'!S5:S9,"&gt;0"),0)</f>
        <v>0.734285714285714</v>
      </c>
      <c r="S6" s="58" t="n">
        <f aca="false">AVERAGE(D6:O6)</f>
        <v>0.479979039479039</v>
      </c>
      <c r="T6" s="59" t="n">
        <f aca="false">AVERAGE(P6:R6)</f>
        <v>0.723928571428571</v>
      </c>
      <c r="U6" s="60" t="n">
        <f aca="false">(S6+T6)/2</f>
        <v>0.601953805453805</v>
      </c>
    </row>
    <row r="7" customFormat="false" ht="19.5" hidden="false" customHeight="true" outlineLevel="0" collapsed="false">
      <c r="A7" s="40" t="n">
        <v>2</v>
      </c>
      <c r="B7" s="14" t="s">
        <v>55</v>
      </c>
      <c r="C7" s="41" t="s">
        <v>56</v>
      </c>
      <c r="D7" s="42" t="n">
        <f aca="false">IFERROR(SUMPRODUCT(('CO-PO Mapping'!D10:D14)*('CO-PO Mapping'!E10:E14))/SUMIF('CO-PO Mapping'!E10:E14,"&gt;0"),0)</f>
        <v>0.482307692307692</v>
      </c>
      <c r="E7" s="42" t="n">
        <f aca="false">IFERROR(SUMPRODUCT(('CO-PO Mapping'!D10:D14)*('CO-PO Mapping'!F10:F14))/SUMIF('CO-PO Mapping'!F10:F14,"&gt;0"),0)</f>
        <v>0.489230769230769</v>
      </c>
      <c r="F7" s="42" t="n">
        <f aca="false">IFERROR(SUMPRODUCT(('CO-PO Mapping'!D10:D14)*('CO-PO Mapping'!G10:G14))/SUMIF('CO-PO Mapping'!G10:G14,"&gt;0"),0)</f>
        <v>0.491818181818182</v>
      </c>
      <c r="G7" s="42" t="n">
        <f aca="false">IFERROR(SUMPRODUCT(('CO-PO Mapping'!D10:D14)*('CO-PO Mapping'!H10:H14))/SUMIF('CO-PO Mapping'!H10:H14,"&gt;0"),0)</f>
        <v>0.487</v>
      </c>
      <c r="H7" s="42" t="n">
        <f aca="false">IFERROR(SUMPRODUCT(('CO-PO Mapping'!D10:D14)*('CO-PO Mapping'!I10:I14))/SUMIF('CO-PO Mapping'!I10:I14,"&gt;0"),0)</f>
        <v>0.486</v>
      </c>
      <c r="I7" s="42" t="n">
        <f aca="false">IFERROR(SUMPRODUCT(('CO-PO Mapping'!D10:D14)*('CO-PO Mapping'!J10:J14))/SUMIF('CO-PO Mapping'!J10:J14,"&gt;0"),0)</f>
        <v>0</v>
      </c>
      <c r="J7" s="42" t="n">
        <f aca="false">IFERROR(SUMPRODUCT(('CO-PO Mapping'!D10:D14)*('CO-PO Mapping'!K10:K14))/SUMIF('CO-PO Mapping'!K10:K14,"&gt;0"),0)</f>
        <v>0</v>
      </c>
      <c r="K7" s="42" t="n">
        <f aca="false">IFERROR(SUMPRODUCT(('CO-PO Mapping'!D10:D14)*('CO-PO Mapping'!L10:L14))/SUMIF('CO-PO Mapping'!L10:L14,"&gt;0"),0)</f>
        <v>0</v>
      </c>
      <c r="L7" s="42" t="n">
        <f aca="false">IFERROR(SUMPRODUCT(('CO-PO Mapping'!D10:D14)*('CO-PO Mapping'!M10:M14))/SUMIF('CO-PO Mapping'!M10:M14,"&gt;0"),0)</f>
        <v>0.475</v>
      </c>
      <c r="M7" s="42" t="n">
        <f aca="false">IFERROR(SUMPRODUCT(('CO-PO Mapping'!D10:D14)*('CO-PO Mapping'!N10:N14))/SUMIF('CO-PO Mapping'!N10:N14,"&gt;0"),0)</f>
        <v>0.505</v>
      </c>
      <c r="N7" s="42" t="n">
        <f aca="false">IFERROR(SUMPRODUCT(('CO-PO Mapping'!D10:D14)*('CO-PO Mapping'!O10:O14))/SUMIF('CO-PO Mapping'!O10:O14,"&gt;0"),0)</f>
        <v>0.47</v>
      </c>
      <c r="O7" s="42" t="n">
        <f aca="false">IFERROR(SUMPRODUCT(('CO-PO Mapping'!D10:D14)*('CO-PO Mapping'!P10:P14))/SUMIF('CO-PO Mapping'!P10:P14,"&gt;0"),0)</f>
        <v>0.492857142857143</v>
      </c>
      <c r="P7" s="42" t="n">
        <f aca="false">IFERROR(SUMPRODUCT(('CO-PO Mapping'!D10:D14)*('CO-PO Mapping'!Q10:Q14))/SUMIF('CO-PO Mapping'!Q10:Q14,"&gt;0"),0)</f>
        <v>0.482307692307692</v>
      </c>
      <c r="Q7" s="42" t="n">
        <f aca="false">IFERROR(SUMPRODUCT(('CO-PO Mapping'!D10:D14)*('CO-PO Mapping'!R10:R14))/SUMIF('CO-PO Mapping'!R10:R14,"&gt;0"),0)</f>
        <v>0.49</v>
      </c>
      <c r="R7" s="42" t="n">
        <f aca="false">IFERROR(SUMPRODUCT(('CO-PO Mapping'!D10:D14)*('CO-PO Mapping'!S10:S14))/SUMIF('CO-PO Mapping'!S10:S14,"&gt;0"),0)</f>
        <v>0.48875</v>
      </c>
      <c r="S7" s="58" t="n">
        <f aca="false">AVERAGE(D7:O7)</f>
        <v>0.364934482184482</v>
      </c>
      <c r="T7" s="59" t="n">
        <f aca="false">AVERAGE(P7:R7)</f>
        <v>0.487019230769231</v>
      </c>
      <c r="U7" s="60" t="n">
        <f aca="false">(S7+T7)/2</f>
        <v>0.425976856476856</v>
      </c>
    </row>
    <row r="8" customFormat="false" ht="19.5" hidden="false" customHeight="true" outlineLevel="0" collapsed="false">
      <c r="A8" s="36" t="n">
        <v>3</v>
      </c>
      <c r="B8" s="8" t="s">
        <v>57</v>
      </c>
      <c r="C8" s="37" t="s">
        <v>58</v>
      </c>
      <c r="D8" s="39" t="n">
        <f aca="false">IFERROR(SUMPRODUCT(('CO-PO Mapping'!D15:D19)*('CO-PO Mapping'!E15:E19))/SUMIF('CO-PO Mapping'!E15:E19,"&gt;0"),0)</f>
        <v>0.666923076923077</v>
      </c>
      <c r="E8" s="39" t="n">
        <f aca="false">IFERROR(SUMPRODUCT(('CO-PO Mapping'!D15:D19)*('CO-PO Mapping'!F15:F19))/SUMIF('CO-PO Mapping'!F15:F19,"&gt;0"),0)</f>
        <v>0.675384615384615</v>
      </c>
      <c r="F8" s="39" t="n">
        <f aca="false">IFERROR(SUMPRODUCT(('CO-PO Mapping'!D15:D19)*('CO-PO Mapping'!G15:G19))/SUMIF('CO-PO Mapping'!G15:G19,"&gt;0"),0)</f>
        <v>0.67</v>
      </c>
      <c r="G8" s="39" t="n">
        <f aca="false">IFERROR(SUMPRODUCT(('CO-PO Mapping'!D15:D19)*('CO-PO Mapping'!H15:H19))/SUMIF('CO-PO Mapping'!H15:H19,"&gt;0"),0)</f>
        <v>0.667</v>
      </c>
      <c r="H8" s="39" t="n">
        <f aca="false">IFERROR(SUMPRODUCT(('CO-PO Mapping'!D15:D19)*('CO-PO Mapping'!I15:I19))/SUMIF('CO-PO Mapping'!I15:I19,"&gt;0"),0)</f>
        <v>0.675384615384615</v>
      </c>
      <c r="I8" s="39" t="n">
        <f aca="false">IFERROR(SUMPRODUCT(('CO-PO Mapping'!D15:D19)*('CO-PO Mapping'!J15:J19))/SUMIF('CO-PO Mapping'!J15:J19,"&gt;0"),0)</f>
        <v>0.666666666666667</v>
      </c>
      <c r="J8" s="39" t="n">
        <f aca="false">IFERROR(SUMPRODUCT(('CO-PO Mapping'!D15:D19)*('CO-PO Mapping'!K15:K19))/SUMIF('CO-PO Mapping'!K15:K19,"&gt;0"),0)</f>
        <v>0.65</v>
      </c>
      <c r="K8" s="39" t="n">
        <f aca="false">IFERROR(SUMPRODUCT(('CO-PO Mapping'!D15:D19)*('CO-PO Mapping'!L15:L19))/SUMIF('CO-PO Mapping'!L15:L19,"&gt;0"),0)</f>
        <v>0</v>
      </c>
      <c r="L8" s="39" t="n">
        <f aca="false">IFERROR(SUMPRODUCT(('CO-PO Mapping'!D15:D19)*('CO-PO Mapping'!M15:M19))/SUMIF('CO-PO Mapping'!M15:M19,"&gt;0"),0)</f>
        <v>0.66</v>
      </c>
      <c r="M8" s="39" t="n">
        <f aca="false">IFERROR(SUMPRODUCT(('CO-PO Mapping'!D15:D19)*('CO-PO Mapping'!N15:N19))/SUMIF('CO-PO Mapping'!N15:N19,"&gt;0"),0)</f>
        <v>0.676666666666667</v>
      </c>
      <c r="N8" s="39" t="n">
        <f aca="false">IFERROR(SUMPRODUCT(('CO-PO Mapping'!D15:D19)*('CO-PO Mapping'!O15:O19))/SUMIF('CO-PO Mapping'!O15:O19,"&gt;0"),0)</f>
        <v>0</v>
      </c>
      <c r="O8" s="39" t="n">
        <f aca="false">IFERROR(SUMPRODUCT(('CO-PO Mapping'!D15:D19)*('CO-PO Mapping'!P15:P19))/SUMIF('CO-PO Mapping'!P15:P19,"&gt;0"),0)</f>
        <v>0.672222222222222</v>
      </c>
      <c r="P8" s="39" t="n">
        <f aca="false">IFERROR(SUMPRODUCT(('CO-PO Mapping'!D15:D19)*('CO-PO Mapping'!Q15:Q19))/SUMIF('CO-PO Mapping'!Q15:Q19,"&gt;0"),0)</f>
        <v>0.668333333333333</v>
      </c>
      <c r="Q8" s="39" t="n">
        <f aca="false">IFERROR(SUMPRODUCT(('CO-PO Mapping'!D15:D19)*('CO-PO Mapping'!R15:R19))/SUMIF('CO-PO Mapping'!R15:R19,"&gt;0"),0)</f>
        <v>0.675384615384615</v>
      </c>
      <c r="R8" s="39" t="n">
        <f aca="false">IFERROR(SUMPRODUCT(('CO-PO Mapping'!D15:D19)*('CO-PO Mapping'!S15:S19))/SUMIF('CO-PO Mapping'!S15:S19,"&gt;0"),0)</f>
        <v>0.675555555555556</v>
      </c>
      <c r="S8" s="58" t="n">
        <f aca="false">AVERAGE(D8:O8)</f>
        <v>0.556687321937322</v>
      </c>
      <c r="T8" s="59" t="n">
        <f aca="false">AVERAGE(P8:R8)</f>
        <v>0.673091168091168</v>
      </c>
      <c r="U8" s="60" t="n">
        <f aca="false">(S8+T8)/2</f>
        <v>0.614889245014245</v>
      </c>
    </row>
    <row r="9" customFormat="false" ht="19.5" hidden="false" customHeight="true" outlineLevel="0" collapsed="false">
      <c r="A9" s="40" t="n">
        <v>4</v>
      </c>
      <c r="B9" s="14" t="s">
        <v>59</v>
      </c>
      <c r="C9" s="41" t="s">
        <v>60</v>
      </c>
      <c r="D9" s="42" t="n">
        <f aca="false">IFERROR(SUMPRODUCT(('CO-PO Mapping'!D20:D24)*('CO-PO Mapping'!E20:E24))/SUMIF('CO-PO Mapping'!E20:E24,"&gt;0"),0)</f>
        <v>0.637692307692308</v>
      </c>
      <c r="E9" s="42" t="n">
        <f aca="false">IFERROR(SUMPRODUCT(('CO-PO Mapping'!D20:D24)*('CO-PO Mapping'!F20:F24))/SUMIF('CO-PO Mapping'!F20:F24,"&gt;0"),0)</f>
        <v>0.632142857142857</v>
      </c>
      <c r="F9" s="42" t="n">
        <f aca="false">IFERROR(SUMPRODUCT(('CO-PO Mapping'!D20:D24)*('CO-PO Mapping'!G20:G24))/SUMIF('CO-PO Mapping'!G20:G24,"&gt;0"),0)</f>
        <v>0.618</v>
      </c>
      <c r="G9" s="42" t="n">
        <f aca="false">IFERROR(SUMPRODUCT(('CO-PO Mapping'!D20:D24)*('CO-PO Mapping'!H20:H24))/SUMIF('CO-PO Mapping'!H20:H24,"&gt;0"),0)</f>
        <v>0.6175</v>
      </c>
      <c r="H9" s="42" t="n">
        <f aca="false">IFERROR(SUMPRODUCT(('CO-PO Mapping'!D20:D24)*('CO-PO Mapping'!I20:I24))/SUMIF('CO-PO Mapping'!I20:I24,"&gt;0"),0)</f>
        <v>0.636</v>
      </c>
      <c r="I9" s="42" t="n">
        <f aca="false">IFERROR(SUMPRODUCT(('CO-PO Mapping'!D20:D24)*('CO-PO Mapping'!J20:J24))/SUMIF('CO-PO Mapping'!J20:J24,"&gt;0"),0)</f>
        <v>0</v>
      </c>
      <c r="J9" s="42" t="n">
        <f aca="false">IFERROR(SUMPRODUCT(('CO-PO Mapping'!D20:D24)*('CO-PO Mapping'!K20:K24))/SUMIF('CO-PO Mapping'!K20:K24,"&gt;0"),0)</f>
        <v>0</v>
      </c>
      <c r="K9" s="42" t="n">
        <f aca="false">IFERROR(SUMPRODUCT(('CO-PO Mapping'!D20:D24)*('CO-PO Mapping'!L20:L24))/SUMIF('CO-PO Mapping'!L20:L24,"&gt;0"),0)</f>
        <v>0</v>
      </c>
      <c r="L9" s="42" t="n">
        <f aca="false">IFERROR(SUMPRODUCT(('CO-PO Mapping'!D20:D24)*('CO-PO Mapping'!M20:M24))/SUMIF('CO-PO Mapping'!M20:M24,"&gt;0"),0)</f>
        <v>0.635</v>
      </c>
      <c r="M9" s="42" t="n">
        <f aca="false">IFERROR(SUMPRODUCT(('CO-PO Mapping'!D20:D24)*('CO-PO Mapping'!N20:N24))/SUMIF('CO-PO Mapping'!N20:N24,"&gt;0"),0)</f>
        <v>0.56</v>
      </c>
      <c r="N9" s="42" t="n">
        <f aca="false">IFERROR(SUMPRODUCT(('CO-PO Mapping'!D20:D24)*('CO-PO Mapping'!O20:O24))/SUMIF('CO-PO Mapping'!O20:O24,"&gt;0"),0)</f>
        <v>0</v>
      </c>
      <c r="O9" s="42" t="n">
        <f aca="false">IFERROR(SUMPRODUCT(('CO-PO Mapping'!D20:D24)*('CO-PO Mapping'!P20:P24))/SUMIF('CO-PO Mapping'!P20:P24,"&gt;0"),0)</f>
        <v>0.635555555555556</v>
      </c>
      <c r="P9" s="42" t="n">
        <f aca="false">IFERROR(SUMPRODUCT(('CO-PO Mapping'!D20:D24)*('CO-PO Mapping'!Q20:Q24))/SUMIF('CO-PO Mapping'!Q20:Q24,"&gt;0"),0)</f>
        <v>0.637692307692308</v>
      </c>
      <c r="Q9" s="42" t="n">
        <f aca="false">IFERROR(SUMPRODUCT(('CO-PO Mapping'!D20:D24)*('CO-PO Mapping'!R20:R24))/SUMIF('CO-PO Mapping'!R20:R24,"&gt;0"),0)</f>
        <v>0.635833333333333</v>
      </c>
      <c r="R9" s="42" t="n">
        <f aca="false">IFERROR(SUMPRODUCT(('CO-PO Mapping'!D20:D24)*('CO-PO Mapping'!S20:S24))/SUMIF('CO-PO Mapping'!S20:S24,"&gt;0"),0)</f>
        <v>0.62</v>
      </c>
      <c r="S9" s="58" t="n">
        <f aca="false">AVERAGE(D9:O9)</f>
        <v>0.414324226699227</v>
      </c>
      <c r="T9" s="59" t="n">
        <f aca="false">AVERAGE(P9:R9)</f>
        <v>0.631175213675214</v>
      </c>
      <c r="U9" s="60" t="n">
        <f aca="false">(S9+T9)/2</f>
        <v>0.52274972018722</v>
      </c>
    </row>
    <row r="10" customFormat="false" ht="19.5" hidden="false" customHeight="true" outlineLevel="0" collapsed="false">
      <c r="A10" s="36" t="n">
        <v>5</v>
      </c>
      <c r="B10" s="8" t="s">
        <v>61</v>
      </c>
      <c r="C10" s="37" t="s">
        <v>62</v>
      </c>
      <c r="D10" s="39" t="n">
        <f aca="false">IFERROR(SUMPRODUCT(('CO-PO Mapping'!D25:D30)*('CO-PO Mapping'!E25:E30))/SUMIF('CO-PO Mapping'!E25:E30,"&gt;0"),0)</f>
        <v>0.709333333333333</v>
      </c>
      <c r="E10" s="39" t="n">
        <f aca="false">IFERROR(SUMPRODUCT(('CO-PO Mapping'!D25:D30)*('CO-PO Mapping'!F25:F30))/SUMIF('CO-PO Mapping'!F25:F30,"&gt;0"),0)</f>
        <v>0.702352941176471</v>
      </c>
      <c r="F10" s="39" t="n">
        <f aca="false">IFERROR(SUMPRODUCT(('CO-PO Mapping'!D25:D30)*('CO-PO Mapping'!G25:G30))/SUMIF('CO-PO Mapping'!G25:G30,"&gt;0"),0)</f>
        <v>0.702</v>
      </c>
      <c r="G10" s="39" t="n">
        <f aca="false">IFERROR(SUMPRODUCT(('CO-PO Mapping'!D25:D30)*('CO-PO Mapping'!H25:H30))/SUMIF('CO-PO Mapping'!H25:H30,"&gt;0"),0)</f>
        <v>0.699285714285714</v>
      </c>
      <c r="H10" s="39" t="n">
        <f aca="false">IFERROR(SUMPRODUCT(('CO-PO Mapping'!D25:D30)*('CO-PO Mapping'!I25:I30))/SUMIF('CO-PO Mapping'!I25:I30,"&gt;0"),0)</f>
        <v>0.712352941176471</v>
      </c>
      <c r="I10" s="39" t="n">
        <f aca="false">IFERROR(SUMPRODUCT(('CO-PO Mapping'!D25:D30)*('CO-PO Mapping'!J25:J30))/SUMIF('CO-PO Mapping'!J25:J30,"&gt;0"),0)</f>
        <v>0.72</v>
      </c>
      <c r="J10" s="39" t="n">
        <f aca="false">IFERROR(SUMPRODUCT(('CO-PO Mapping'!D25:D30)*('CO-PO Mapping'!K25:K30))/SUMIF('CO-PO Mapping'!K25:K30,"&gt;0"),0)</f>
        <v>0</v>
      </c>
      <c r="K10" s="39" t="n">
        <f aca="false">IFERROR(SUMPRODUCT(('CO-PO Mapping'!D25:D30)*('CO-PO Mapping'!L25:L30))/SUMIF('CO-PO Mapping'!L25:L30,"&gt;0"),0)</f>
        <v>0</v>
      </c>
      <c r="L10" s="39" t="n">
        <f aca="false">IFERROR(SUMPRODUCT(('CO-PO Mapping'!D25:D30)*('CO-PO Mapping'!M25:M30))/SUMIF('CO-PO Mapping'!M25:M30,"&gt;0"),0)</f>
        <v>0.693333333333333</v>
      </c>
      <c r="M10" s="39" t="n">
        <f aca="false">IFERROR(SUMPRODUCT(('CO-PO Mapping'!D25:D30)*('CO-PO Mapping'!N25:N30))/SUMIF('CO-PO Mapping'!N25:N30,"&gt;0"),0)</f>
        <v>0.775</v>
      </c>
      <c r="N10" s="39" t="n">
        <f aca="false">IFERROR(SUMPRODUCT(('CO-PO Mapping'!D25:D30)*('CO-PO Mapping'!O25:O30))/SUMIF('CO-PO Mapping'!O25:O30,"&gt;0"),0)</f>
        <v>0</v>
      </c>
      <c r="O10" s="39" t="n">
        <f aca="false">IFERROR(SUMPRODUCT(('CO-PO Mapping'!D25:D30)*('CO-PO Mapping'!P25:P30))/SUMIF('CO-PO Mapping'!P25:P30,"&gt;0"),0)</f>
        <v>0.71</v>
      </c>
      <c r="P10" s="39" t="n">
        <f aca="false">IFERROR(SUMPRODUCT(('CO-PO Mapping'!D25:D30)*('CO-PO Mapping'!Q25:Q30))/SUMIF('CO-PO Mapping'!Q25:Q30,"&gt;0"),0)</f>
        <v>0.709333333333333</v>
      </c>
      <c r="Q10" s="39" t="n">
        <f aca="false">IFERROR(SUMPRODUCT(('CO-PO Mapping'!D25:D30)*('CO-PO Mapping'!R25:R30))/SUMIF('CO-PO Mapping'!R25:R30,"&gt;0"),0)</f>
        <v>0.706666666666667</v>
      </c>
      <c r="R10" s="39" t="n">
        <f aca="false">IFERROR(SUMPRODUCT(('CO-PO Mapping'!D25:D30)*('CO-PO Mapping'!S25:S30))/SUMIF('CO-PO Mapping'!S25:S30,"&gt;0"),0)</f>
        <v>0.706</v>
      </c>
      <c r="S10" s="58" t="n">
        <f aca="false">AVERAGE(D10:O10)</f>
        <v>0.535304855275444</v>
      </c>
      <c r="T10" s="59" t="n">
        <f aca="false">AVERAGE(P10:R10)</f>
        <v>0.707333333333333</v>
      </c>
      <c r="U10" s="60" t="n">
        <f aca="false">(S10+T10)/2</f>
        <v>0.621319094304388</v>
      </c>
    </row>
  </sheetData>
  <mergeCells count="8">
    <mergeCell ref="A1:U1"/>
    <mergeCell ref="A2:U2"/>
    <mergeCell ref="A4:A5"/>
    <mergeCell ref="B4:B5"/>
    <mergeCell ref="C4:C5"/>
    <mergeCell ref="D4:O4"/>
    <mergeCell ref="P4:R4"/>
    <mergeCell ref="S4:U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16" min="5" style="0" width="8"/>
    <col collapsed="false" customWidth="true" hidden="false" outlineLevel="0" max="19" min="17" style="0" width="10"/>
  </cols>
  <sheetData>
    <row r="1" customFormat="false" ht="37.5" hidden="false" customHeight="true" outlineLevel="0" collapsed="false">
      <c r="A1" s="52" t="s">
        <v>77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customFormat="false" ht="15" hidden="false" customHeight="false" outlineLevel="0" collapsed="false">
      <c r="A2" s="53" t="s">
        <v>78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</row>
    <row r="3" customFormat="false" ht="30" hidden="false" customHeight="true" outlineLevel="0" collapsed="false">
      <c r="A3" s="61"/>
      <c r="B3" s="61"/>
      <c r="C3" s="61"/>
      <c r="D3" s="61"/>
      <c r="E3" s="62" t="s">
        <v>10</v>
      </c>
      <c r="F3" s="62" t="s">
        <v>12</v>
      </c>
      <c r="G3" s="62" t="s">
        <v>14</v>
      </c>
      <c r="H3" s="62" t="s">
        <v>16</v>
      </c>
      <c r="I3" s="62" t="s">
        <v>18</v>
      </c>
      <c r="J3" s="62" t="s">
        <v>20</v>
      </c>
      <c r="K3" s="62" t="s">
        <v>22</v>
      </c>
      <c r="L3" s="62" t="s">
        <v>24</v>
      </c>
      <c r="M3" s="62" t="s">
        <v>26</v>
      </c>
      <c r="N3" s="62" t="s">
        <v>28</v>
      </c>
      <c r="O3" s="62" t="s">
        <v>30</v>
      </c>
      <c r="P3" s="62" t="s">
        <v>32</v>
      </c>
      <c r="Q3" s="63" t="s">
        <v>34</v>
      </c>
      <c r="R3" s="63" t="s">
        <v>36</v>
      </c>
      <c r="S3" s="63" t="s">
        <v>38</v>
      </c>
    </row>
    <row r="4" customFormat="false" ht="25.5" hidden="false" customHeight="true" outlineLevel="0" collapsed="false">
      <c r="A4" s="64" t="s">
        <v>70</v>
      </c>
      <c r="B4" s="64" t="s">
        <v>49</v>
      </c>
      <c r="C4" s="64" t="s">
        <v>79</v>
      </c>
      <c r="D4" s="64" t="s">
        <v>80</v>
      </c>
      <c r="E4" s="34" t="s">
        <v>9</v>
      </c>
      <c r="F4" s="34" t="s">
        <v>11</v>
      </c>
      <c r="G4" s="34" t="s">
        <v>13</v>
      </c>
      <c r="H4" s="34" t="s">
        <v>15</v>
      </c>
      <c r="I4" s="34" t="s">
        <v>17</v>
      </c>
      <c r="J4" s="34" t="s">
        <v>19</v>
      </c>
      <c r="K4" s="34" t="s">
        <v>21</v>
      </c>
      <c r="L4" s="34" t="s">
        <v>23</v>
      </c>
      <c r="M4" s="34" t="s">
        <v>25</v>
      </c>
      <c r="N4" s="34" t="s">
        <v>27</v>
      </c>
      <c r="O4" s="34" t="s">
        <v>29</v>
      </c>
      <c r="P4" s="34" t="s">
        <v>31</v>
      </c>
      <c r="Q4" s="35" t="s">
        <v>33</v>
      </c>
      <c r="R4" s="35" t="s">
        <v>35</v>
      </c>
      <c r="S4" s="35" t="s">
        <v>37</v>
      </c>
    </row>
    <row r="5" customFormat="false" ht="18" hidden="false" customHeight="true" outlineLevel="0" collapsed="false">
      <c r="A5" s="65" t="s">
        <v>53</v>
      </c>
      <c r="B5" s="66" t="s">
        <v>54</v>
      </c>
      <c r="C5" s="34" t="s">
        <v>81</v>
      </c>
      <c r="D5" s="67" t="n">
        <v>0.68</v>
      </c>
      <c r="E5" s="29" t="n">
        <v>3</v>
      </c>
      <c r="F5" s="29" t="n">
        <v>3</v>
      </c>
      <c r="G5" s="29" t="n">
        <v>2</v>
      </c>
      <c r="H5" s="29" t="n">
        <v>1</v>
      </c>
      <c r="I5" s="68" t="n">
        <v>0</v>
      </c>
      <c r="J5" s="68" t="n">
        <v>0</v>
      </c>
      <c r="K5" s="68" t="n">
        <v>0</v>
      </c>
      <c r="L5" s="68" t="n">
        <v>0</v>
      </c>
      <c r="M5" s="29" t="n">
        <v>1</v>
      </c>
      <c r="N5" s="68" t="n">
        <v>0</v>
      </c>
      <c r="O5" s="68" t="n">
        <v>0</v>
      </c>
      <c r="P5" s="29" t="n">
        <v>2</v>
      </c>
      <c r="Q5" s="69" t="n">
        <v>3</v>
      </c>
      <c r="R5" s="69" t="n">
        <v>2</v>
      </c>
      <c r="S5" s="69" t="n">
        <v>1</v>
      </c>
    </row>
    <row r="6" customFormat="false" ht="18" hidden="false" customHeight="true" outlineLevel="0" collapsed="false">
      <c r="A6" s="65"/>
      <c r="B6" s="65"/>
      <c r="C6" s="34" t="s">
        <v>82</v>
      </c>
      <c r="D6" s="67" t="n">
        <v>0.6</v>
      </c>
      <c r="E6" s="29" t="n">
        <v>3</v>
      </c>
      <c r="F6" s="29" t="n">
        <v>3</v>
      </c>
      <c r="G6" s="29" t="n">
        <v>3</v>
      </c>
      <c r="H6" s="29" t="n">
        <v>2</v>
      </c>
      <c r="I6" s="29" t="n">
        <v>1</v>
      </c>
      <c r="J6" s="68" t="n">
        <v>0</v>
      </c>
      <c r="K6" s="68" t="n">
        <v>0</v>
      </c>
      <c r="L6" s="68" t="n">
        <v>0</v>
      </c>
      <c r="M6" s="29" t="n">
        <v>1</v>
      </c>
      <c r="N6" s="68" t="n">
        <v>0</v>
      </c>
      <c r="O6" s="68" t="n">
        <v>0</v>
      </c>
      <c r="P6" s="29" t="n">
        <v>2</v>
      </c>
      <c r="Q6" s="69" t="n">
        <v>3</v>
      </c>
      <c r="R6" s="69" t="n">
        <v>2</v>
      </c>
      <c r="S6" s="69" t="n">
        <v>1</v>
      </c>
    </row>
    <row r="7" customFormat="false" ht="18" hidden="false" customHeight="true" outlineLevel="0" collapsed="false">
      <c r="A7" s="65"/>
      <c r="B7" s="65"/>
      <c r="C7" s="34" t="s">
        <v>83</v>
      </c>
      <c r="D7" s="67" t="n">
        <v>0.72</v>
      </c>
      <c r="E7" s="29" t="n">
        <v>2</v>
      </c>
      <c r="F7" s="29" t="n">
        <v>3</v>
      </c>
      <c r="G7" s="29" t="n">
        <v>3</v>
      </c>
      <c r="H7" s="29" t="n">
        <v>2</v>
      </c>
      <c r="I7" s="29" t="n">
        <v>2</v>
      </c>
      <c r="J7" s="68" t="n">
        <v>0</v>
      </c>
      <c r="K7" s="68" t="n">
        <v>0</v>
      </c>
      <c r="L7" s="68" t="n">
        <v>0</v>
      </c>
      <c r="M7" s="68" t="n">
        <v>0</v>
      </c>
      <c r="N7" s="29" t="n">
        <v>1</v>
      </c>
      <c r="O7" s="68" t="n">
        <v>0</v>
      </c>
      <c r="P7" s="29" t="n">
        <v>1</v>
      </c>
      <c r="Q7" s="69" t="n">
        <v>3</v>
      </c>
      <c r="R7" s="69" t="n">
        <v>3</v>
      </c>
      <c r="S7" s="69" t="n">
        <v>2</v>
      </c>
    </row>
    <row r="8" customFormat="false" ht="18" hidden="false" customHeight="true" outlineLevel="0" collapsed="false">
      <c r="A8" s="65"/>
      <c r="B8" s="65"/>
      <c r="C8" s="34" t="s">
        <v>84</v>
      </c>
      <c r="D8" s="67" t="n">
        <v>0.76</v>
      </c>
      <c r="E8" s="29" t="n">
        <v>3</v>
      </c>
      <c r="F8" s="29" t="n">
        <v>3</v>
      </c>
      <c r="G8" s="29" t="n">
        <v>2</v>
      </c>
      <c r="H8" s="29" t="n">
        <v>3</v>
      </c>
      <c r="I8" s="29" t="n">
        <v>1</v>
      </c>
      <c r="J8" s="68" t="n">
        <v>0</v>
      </c>
      <c r="K8" s="68" t="n">
        <v>0</v>
      </c>
      <c r="L8" s="68" t="n">
        <v>0</v>
      </c>
      <c r="M8" s="68" t="n">
        <v>0</v>
      </c>
      <c r="N8" s="68" t="n">
        <v>0</v>
      </c>
      <c r="O8" s="68" t="n">
        <v>0</v>
      </c>
      <c r="P8" s="29" t="n">
        <v>2</v>
      </c>
      <c r="Q8" s="69" t="n">
        <v>3</v>
      </c>
      <c r="R8" s="69" t="n">
        <v>2</v>
      </c>
      <c r="S8" s="69" t="n">
        <v>1</v>
      </c>
    </row>
    <row r="9" customFormat="false" ht="18" hidden="false" customHeight="true" outlineLevel="0" collapsed="false">
      <c r="A9" s="65"/>
      <c r="B9" s="65"/>
      <c r="C9" s="34" t="s">
        <v>85</v>
      </c>
      <c r="D9" s="67" t="n">
        <v>0.83</v>
      </c>
      <c r="E9" s="29" t="n">
        <v>2</v>
      </c>
      <c r="F9" s="29" t="n">
        <v>2</v>
      </c>
      <c r="G9" s="29" t="n">
        <v>3</v>
      </c>
      <c r="H9" s="29" t="n">
        <v>2</v>
      </c>
      <c r="I9" s="29" t="n">
        <v>3</v>
      </c>
      <c r="J9" s="68" t="n">
        <v>0</v>
      </c>
      <c r="K9" s="68" t="n">
        <v>0</v>
      </c>
      <c r="L9" s="68" t="n">
        <v>0</v>
      </c>
      <c r="M9" s="29" t="n">
        <v>1</v>
      </c>
      <c r="N9" s="68" t="n">
        <v>0</v>
      </c>
      <c r="O9" s="68" t="n">
        <v>0</v>
      </c>
      <c r="P9" s="29" t="n">
        <v>2</v>
      </c>
      <c r="Q9" s="69" t="n">
        <v>2</v>
      </c>
      <c r="R9" s="69" t="n">
        <v>3</v>
      </c>
      <c r="S9" s="69" t="n">
        <v>2</v>
      </c>
    </row>
    <row r="10" customFormat="false" ht="18" hidden="false" customHeight="true" outlineLevel="0" collapsed="false">
      <c r="A10" s="65" t="s">
        <v>55</v>
      </c>
      <c r="B10" s="66" t="s">
        <v>56</v>
      </c>
      <c r="C10" s="34" t="s">
        <v>81</v>
      </c>
      <c r="D10" s="67" t="n">
        <v>0.46</v>
      </c>
      <c r="E10" s="29" t="n">
        <v>3</v>
      </c>
      <c r="F10" s="29" t="n">
        <v>2</v>
      </c>
      <c r="G10" s="29" t="n">
        <v>2</v>
      </c>
      <c r="H10" s="29" t="n">
        <v>1</v>
      </c>
      <c r="I10" s="29" t="n">
        <v>2</v>
      </c>
      <c r="J10" s="68" t="n">
        <v>0</v>
      </c>
      <c r="K10" s="68" t="n">
        <v>0</v>
      </c>
      <c r="L10" s="68" t="n">
        <v>0</v>
      </c>
      <c r="M10" s="68" t="n">
        <v>0</v>
      </c>
      <c r="N10" s="29" t="n">
        <v>1</v>
      </c>
      <c r="O10" s="68" t="n">
        <v>0</v>
      </c>
      <c r="P10" s="29" t="n">
        <v>1</v>
      </c>
      <c r="Q10" s="69" t="n">
        <v>3</v>
      </c>
      <c r="R10" s="69" t="n">
        <v>2</v>
      </c>
      <c r="S10" s="69" t="n">
        <v>2</v>
      </c>
    </row>
    <row r="11" customFormat="false" ht="18" hidden="false" customHeight="true" outlineLevel="0" collapsed="false">
      <c r="A11" s="65"/>
      <c r="B11" s="65"/>
      <c r="C11" s="34" t="s">
        <v>82</v>
      </c>
      <c r="D11" s="67" t="n">
        <v>0.48</v>
      </c>
      <c r="E11" s="29" t="n">
        <v>3</v>
      </c>
      <c r="F11" s="29" t="n">
        <v>3</v>
      </c>
      <c r="G11" s="29" t="n">
        <v>2</v>
      </c>
      <c r="H11" s="29" t="n">
        <v>2</v>
      </c>
      <c r="I11" s="29" t="n">
        <v>2</v>
      </c>
      <c r="J11" s="68" t="n">
        <v>0</v>
      </c>
      <c r="K11" s="68" t="n">
        <v>0</v>
      </c>
      <c r="L11" s="68" t="n">
        <v>0</v>
      </c>
      <c r="M11" s="29" t="n">
        <v>1</v>
      </c>
      <c r="N11" s="68" t="n">
        <v>0</v>
      </c>
      <c r="O11" s="68" t="n">
        <v>0</v>
      </c>
      <c r="P11" s="29" t="n">
        <v>1</v>
      </c>
      <c r="Q11" s="69" t="n">
        <v>3</v>
      </c>
      <c r="R11" s="69" t="n">
        <v>2</v>
      </c>
      <c r="S11" s="69" t="n">
        <v>1</v>
      </c>
    </row>
    <row r="12" customFormat="false" ht="18" hidden="false" customHeight="true" outlineLevel="0" collapsed="false">
      <c r="A12" s="65"/>
      <c r="B12" s="65"/>
      <c r="C12" s="34" t="s">
        <v>83</v>
      </c>
      <c r="D12" s="67" t="n">
        <v>0.55</v>
      </c>
      <c r="E12" s="29" t="n">
        <v>2</v>
      </c>
      <c r="F12" s="29" t="n">
        <v>3</v>
      </c>
      <c r="G12" s="29" t="n">
        <v>3</v>
      </c>
      <c r="H12" s="29" t="n">
        <v>2</v>
      </c>
      <c r="I12" s="29" t="n">
        <v>2</v>
      </c>
      <c r="J12" s="68" t="n">
        <v>0</v>
      </c>
      <c r="K12" s="68" t="n">
        <v>0</v>
      </c>
      <c r="L12" s="68" t="n">
        <v>0</v>
      </c>
      <c r="M12" s="68" t="n">
        <v>0</v>
      </c>
      <c r="N12" s="29" t="n">
        <v>1</v>
      </c>
      <c r="O12" s="68" t="n">
        <v>0</v>
      </c>
      <c r="P12" s="29" t="n">
        <v>2</v>
      </c>
      <c r="Q12" s="69" t="n">
        <v>2</v>
      </c>
      <c r="R12" s="69" t="n">
        <v>3</v>
      </c>
      <c r="S12" s="69" t="n">
        <v>2</v>
      </c>
    </row>
    <row r="13" customFormat="false" ht="18" hidden="false" customHeight="true" outlineLevel="0" collapsed="false">
      <c r="A13" s="65"/>
      <c r="B13" s="65"/>
      <c r="C13" s="34" t="s">
        <v>84</v>
      </c>
      <c r="D13" s="67" t="n">
        <v>0.47</v>
      </c>
      <c r="E13" s="29" t="n">
        <v>2</v>
      </c>
      <c r="F13" s="29" t="n">
        <v>2</v>
      </c>
      <c r="G13" s="29" t="n">
        <v>2</v>
      </c>
      <c r="H13" s="29" t="n">
        <v>3</v>
      </c>
      <c r="I13" s="29" t="n">
        <v>1</v>
      </c>
      <c r="J13" s="68" t="n">
        <v>0</v>
      </c>
      <c r="K13" s="68" t="n">
        <v>0</v>
      </c>
      <c r="L13" s="68" t="n">
        <v>0</v>
      </c>
      <c r="M13" s="29" t="n">
        <v>1</v>
      </c>
      <c r="N13" s="68" t="n">
        <v>0</v>
      </c>
      <c r="O13" s="29" t="n">
        <v>1</v>
      </c>
      <c r="P13" s="29" t="n">
        <v>1</v>
      </c>
      <c r="Q13" s="69" t="n">
        <v>3</v>
      </c>
      <c r="R13" s="69" t="n">
        <v>2</v>
      </c>
      <c r="S13" s="69" t="n">
        <v>1</v>
      </c>
    </row>
    <row r="14" customFormat="false" ht="18" hidden="false" customHeight="true" outlineLevel="0" collapsed="false">
      <c r="A14" s="65"/>
      <c r="B14" s="65"/>
      <c r="C14" s="34" t="s">
        <v>85</v>
      </c>
      <c r="D14" s="67" t="n">
        <v>0.47</v>
      </c>
      <c r="E14" s="29" t="n">
        <v>3</v>
      </c>
      <c r="F14" s="29" t="n">
        <v>3</v>
      </c>
      <c r="G14" s="29" t="n">
        <v>2</v>
      </c>
      <c r="H14" s="29" t="n">
        <v>2</v>
      </c>
      <c r="I14" s="29" t="n">
        <v>3</v>
      </c>
      <c r="J14" s="68" t="n">
        <v>0</v>
      </c>
      <c r="K14" s="68" t="n">
        <v>0</v>
      </c>
      <c r="L14" s="68" t="n">
        <v>0</v>
      </c>
      <c r="M14" s="68" t="n">
        <v>0</v>
      </c>
      <c r="N14" s="68" t="n">
        <v>0</v>
      </c>
      <c r="O14" s="68" t="n">
        <v>0</v>
      </c>
      <c r="P14" s="29" t="n">
        <v>2</v>
      </c>
      <c r="Q14" s="69" t="n">
        <v>2</v>
      </c>
      <c r="R14" s="69" t="n">
        <v>3</v>
      </c>
      <c r="S14" s="69" t="n">
        <v>2</v>
      </c>
    </row>
    <row r="15" customFormat="false" ht="18" hidden="false" customHeight="true" outlineLevel="0" collapsed="false">
      <c r="A15" s="65" t="s">
        <v>57</v>
      </c>
      <c r="B15" s="66" t="s">
        <v>58</v>
      </c>
      <c r="C15" s="34" t="s">
        <v>81</v>
      </c>
      <c r="D15" s="67" t="n">
        <v>0.65</v>
      </c>
      <c r="E15" s="29" t="n">
        <v>3</v>
      </c>
      <c r="F15" s="29" t="n">
        <v>2</v>
      </c>
      <c r="G15" s="29" t="n">
        <v>1</v>
      </c>
      <c r="H15" s="29" t="n">
        <v>1</v>
      </c>
      <c r="I15" s="29" t="n">
        <v>3</v>
      </c>
      <c r="J15" s="29" t="n">
        <v>1</v>
      </c>
      <c r="K15" s="68" t="n">
        <v>0</v>
      </c>
      <c r="L15" s="68" t="n">
        <v>0</v>
      </c>
      <c r="M15" s="68" t="n">
        <v>0</v>
      </c>
      <c r="N15" s="29" t="n">
        <v>1</v>
      </c>
      <c r="O15" s="68" t="n">
        <v>0</v>
      </c>
      <c r="P15" s="29" t="n">
        <v>2</v>
      </c>
      <c r="Q15" s="69" t="n">
        <v>2</v>
      </c>
      <c r="R15" s="69" t="n">
        <v>3</v>
      </c>
      <c r="S15" s="69" t="n">
        <v>2</v>
      </c>
    </row>
    <row r="16" customFormat="false" ht="18" hidden="false" customHeight="true" outlineLevel="0" collapsed="false">
      <c r="A16" s="65"/>
      <c r="B16" s="65"/>
      <c r="C16" s="34" t="s">
        <v>82</v>
      </c>
      <c r="D16" s="67" t="n">
        <v>0.7</v>
      </c>
      <c r="E16" s="29" t="n">
        <v>3</v>
      </c>
      <c r="F16" s="29" t="n">
        <v>3</v>
      </c>
      <c r="G16" s="29" t="n">
        <v>2</v>
      </c>
      <c r="H16" s="29" t="n">
        <v>2</v>
      </c>
      <c r="I16" s="29" t="n">
        <v>3</v>
      </c>
      <c r="J16" s="29" t="n">
        <v>1</v>
      </c>
      <c r="K16" s="68" t="n">
        <v>0</v>
      </c>
      <c r="L16" s="68" t="n">
        <v>0</v>
      </c>
      <c r="M16" s="29" t="n">
        <v>1</v>
      </c>
      <c r="N16" s="68" t="n">
        <v>0</v>
      </c>
      <c r="O16" s="68" t="n">
        <v>0</v>
      </c>
      <c r="P16" s="29" t="n">
        <v>2</v>
      </c>
      <c r="Q16" s="69" t="n">
        <v>3</v>
      </c>
      <c r="R16" s="69" t="n">
        <v>3</v>
      </c>
      <c r="S16" s="69" t="n">
        <v>2</v>
      </c>
    </row>
    <row r="17" customFormat="false" ht="18" hidden="false" customHeight="true" outlineLevel="0" collapsed="false">
      <c r="A17" s="65"/>
      <c r="B17" s="65"/>
      <c r="C17" s="34" t="s">
        <v>83</v>
      </c>
      <c r="D17" s="67" t="n">
        <v>0.65</v>
      </c>
      <c r="E17" s="29" t="n">
        <v>2</v>
      </c>
      <c r="F17" s="29" t="n">
        <v>3</v>
      </c>
      <c r="G17" s="29" t="n">
        <v>3</v>
      </c>
      <c r="H17" s="29" t="n">
        <v>2</v>
      </c>
      <c r="I17" s="29" t="n">
        <v>2</v>
      </c>
      <c r="J17" s="29" t="n">
        <v>1</v>
      </c>
      <c r="K17" s="29" t="n">
        <v>1</v>
      </c>
      <c r="L17" s="68" t="n">
        <v>0</v>
      </c>
      <c r="M17" s="68" t="n">
        <v>0</v>
      </c>
      <c r="N17" s="29" t="n">
        <v>1</v>
      </c>
      <c r="O17" s="68" t="n">
        <v>0</v>
      </c>
      <c r="P17" s="29" t="n">
        <v>1</v>
      </c>
      <c r="Q17" s="69" t="n">
        <v>2</v>
      </c>
      <c r="R17" s="69" t="n">
        <v>2</v>
      </c>
      <c r="S17" s="69" t="n">
        <v>2</v>
      </c>
    </row>
    <row r="18" customFormat="false" ht="18" hidden="false" customHeight="true" outlineLevel="0" collapsed="false">
      <c r="A18" s="65"/>
      <c r="B18" s="65"/>
      <c r="C18" s="34" t="s">
        <v>84</v>
      </c>
      <c r="D18" s="67" t="n">
        <v>0.62</v>
      </c>
      <c r="E18" s="29" t="n">
        <v>3</v>
      </c>
      <c r="F18" s="29" t="n">
        <v>2</v>
      </c>
      <c r="G18" s="29" t="n">
        <v>2</v>
      </c>
      <c r="H18" s="29" t="n">
        <v>3</v>
      </c>
      <c r="I18" s="29" t="n">
        <v>2</v>
      </c>
      <c r="J18" s="68" t="n">
        <v>0</v>
      </c>
      <c r="K18" s="68" t="n">
        <v>0</v>
      </c>
      <c r="L18" s="68" t="n">
        <v>0</v>
      </c>
      <c r="M18" s="29" t="n">
        <v>1</v>
      </c>
      <c r="N18" s="68" t="n">
        <v>0</v>
      </c>
      <c r="O18" s="68" t="n">
        <v>0</v>
      </c>
      <c r="P18" s="29" t="n">
        <v>2</v>
      </c>
      <c r="Q18" s="69" t="n">
        <v>3</v>
      </c>
      <c r="R18" s="69" t="n">
        <v>2</v>
      </c>
      <c r="S18" s="69" t="n">
        <v>1</v>
      </c>
    </row>
    <row r="19" customFormat="false" ht="18" hidden="false" customHeight="true" outlineLevel="0" collapsed="false">
      <c r="A19" s="65"/>
      <c r="B19" s="65"/>
      <c r="C19" s="34" t="s">
        <v>85</v>
      </c>
      <c r="D19" s="67" t="n">
        <v>0.73</v>
      </c>
      <c r="E19" s="29" t="n">
        <v>2</v>
      </c>
      <c r="F19" s="29" t="n">
        <v>3</v>
      </c>
      <c r="G19" s="29" t="n">
        <v>2</v>
      </c>
      <c r="H19" s="29" t="n">
        <v>2</v>
      </c>
      <c r="I19" s="29" t="n">
        <v>3</v>
      </c>
      <c r="J19" s="68" t="n">
        <v>0</v>
      </c>
      <c r="K19" s="68" t="n">
        <v>0</v>
      </c>
      <c r="L19" s="68" t="n">
        <v>0</v>
      </c>
      <c r="M19" s="68" t="n">
        <v>0</v>
      </c>
      <c r="N19" s="29" t="n">
        <v>1</v>
      </c>
      <c r="O19" s="68" t="n">
        <v>0</v>
      </c>
      <c r="P19" s="29" t="n">
        <v>2</v>
      </c>
      <c r="Q19" s="69" t="n">
        <v>2</v>
      </c>
      <c r="R19" s="69" t="n">
        <v>3</v>
      </c>
      <c r="S19" s="69" t="n">
        <v>2</v>
      </c>
    </row>
    <row r="20" customFormat="false" ht="18" hidden="false" customHeight="true" outlineLevel="0" collapsed="false">
      <c r="A20" s="65" t="s">
        <v>59</v>
      </c>
      <c r="B20" s="66" t="s">
        <v>60</v>
      </c>
      <c r="C20" s="34" t="s">
        <v>81</v>
      </c>
      <c r="D20" s="67" t="n">
        <v>0.66</v>
      </c>
      <c r="E20" s="29" t="n">
        <v>3</v>
      </c>
      <c r="F20" s="29" t="n">
        <v>3</v>
      </c>
      <c r="G20" s="29" t="n">
        <v>1</v>
      </c>
      <c r="H20" s="29" t="n">
        <v>2</v>
      </c>
      <c r="I20" s="29" t="n">
        <v>2</v>
      </c>
      <c r="J20" s="68" t="n">
        <v>0</v>
      </c>
      <c r="K20" s="68" t="n">
        <v>0</v>
      </c>
      <c r="L20" s="68" t="n">
        <v>0</v>
      </c>
      <c r="M20" s="68" t="n">
        <v>0</v>
      </c>
      <c r="N20" s="68" t="n">
        <v>0</v>
      </c>
      <c r="O20" s="68" t="n">
        <v>0</v>
      </c>
      <c r="P20" s="29" t="n">
        <v>2</v>
      </c>
      <c r="Q20" s="69" t="n">
        <v>3</v>
      </c>
      <c r="R20" s="69" t="n">
        <v>2</v>
      </c>
      <c r="S20" s="69" t="n">
        <v>2</v>
      </c>
    </row>
    <row r="21" customFormat="false" ht="18" hidden="false" customHeight="true" outlineLevel="0" collapsed="false">
      <c r="A21" s="65"/>
      <c r="B21" s="65"/>
      <c r="C21" s="34" t="s">
        <v>82</v>
      </c>
      <c r="D21" s="67" t="n">
        <v>0.7</v>
      </c>
      <c r="E21" s="29" t="n">
        <v>3</v>
      </c>
      <c r="F21" s="29" t="n">
        <v>3</v>
      </c>
      <c r="G21" s="29" t="n">
        <v>2</v>
      </c>
      <c r="H21" s="29" t="n">
        <v>2</v>
      </c>
      <c r="I21" s="29" t="n">
        <v>2</v>
      </c>
      <c r="J21" s="68" t="n">
        <v>0</v>
      </c>
      <c r="K21" s="68" t="n">
        <v>0</v>
      </c>
      <c r="L21" s="68" t="n">
        <v>0</v>
      </c>
      <c r="M21" s="29" t="n">
        <v>1</v>
      </c>
      <c r="N21" s="68" t="n">
        <v>0</v>
      </c>
      <c r="O21" s="68" t="n">
        <v>0</v>
      </c>
      <c r="P21" s="29" t="n">
        <v>2</v>
      </c>
      <c r="Q21" s="69" t="n">
        <v>3</v>
      </c>
      <c r="R21" s="69" t="n">
        <v>3</v>
      </c>
      <c r="S21" s="69" t="n">
        <v>1</v>
      </c>
    </row>
    <row r="22" customFormat="false" ht="18" hidden="false" customHeight="true" outlineLevel="0" collapsed="false">
      <c r="A22" s="65"/>
      <c r="B22" s="65"/>
      <c r="C22" s="34" t="s">
        <v>83</v>
      </c>
      <c r="D22" s="67" t="n">
        <v>0.56</v>
      </c>
      <c r="E22" s="29" t="n">
        <v>2</v>
      </c>
      <c r="F22" s="29" t="n">
        <v>3</v>
      </c>
      <c r="G22" s="29" t="n">
        <v>3</v>
      </c>
      <c r="H22" s="29" t="n">
        <v>3</v>
      </c>
      <c r="I22" s="29" t="n">
        <v>2</v>
      </c>
      <c r="J22" s="68" t="n">
        <v>0</v>
      </c>
      <c r="K22" s="68" t="n">
        <v>0</v>
      </c>
      <c r="L22" s="68" t="n">
        <v>0</v>
      </c>
      <c r="M22" s="68" t="n">
        <v>0</v>
      </c>
      <c r="N22" s="29" t="n">
        <v>1</v>
      </c>
      <c r="O22" s="68" t="n">
        <v>0</v>
      </c>
      <c r="P22" s="29" t="n">
        <v>1</v>
      </c>
      <c r="Q22" s="69" t="n">
        <v>2</v>
      </c>
      <c r="R22" s="69" t="n">
        <v>2</v>
      </c>
      <c r="S22" s="69" t="n">
        <v>2</v>
      </c>
    </row>
    <row r="23" customFormat="false" ht="18" hidden="false" customHeight="true" outlineLevel="0" collapsed="false">
      <c r="A23" s="65"/>
      <c r="B23" s="65"/>
      <c r="C23" s="34" t="s">
        <v>84</v>
      </c>
      <c r="D23" s="67" t="n">
        <v>0.57</v>
      </c>
      <c r="E23" s="29" t="n">
        <v>2</v>
      </c>
      <c r="F23" s="29" t="n">
        <v>2</v>
      </c>
      <c r="G23" s="29" t="n">
        <v>2</v>
      </c>
      <c r="H23" s="29" t="n">
        <v>3</v>
      </c>
      <c r="I23" s="29" t="n">
        <v>1</v>
      </c>
      <c r="J23" s="68" t="n">
        <v>0</v>
      </c>
      <c r="K23" s="68" t="n">
        <v>0</v>
      </c>
      <c r="L23" s="68" t="n">
        <v>0</v>
      </c>
      <c r="M23" s="29" t="n">
        <v>1</v>
      </c>
      <c r="N23" s="68" t="n">
        <v>0</v>
      </c>
      <c r="O23" s="68" t="n">
        <v>0</v>
      </c>
      <c r="P23" s="29" t="n">
        <v>2</v>
      </c>
      <c r="Q23" s="69" t="n">
        <v>2</v>
      </c>
      <c r="R23" s="69" t="n">
        <v>2</v>
      </c>
      <c r="S23" s="69" t="n">
        <v>2</v>
      </c>
    </row>
    <row r="24" customFormat="false" ht="18" hidden="false" customHeight="true" outlineLevel="0" collapsed="false">
      <c r="A24" s="65"/>
      <c r="B24" s="65"/>
      <c r="C24" s="34" t="s">
        <v>85</v>
      </c>
      <c r="D24" s="67" t="n">
        <v>0.65</v>
      </c>
      <c r="E24" s="29" t="n">
        <v>3</v>
      </c>
      <c r="F24" s="29" t="n">
        <v>3</v>
      </c>
      <c r="G24" s="29" t="n">
        <v>2</v>
      </c>
      <c r="H24" s="29" t="n">
        <v>2</v>
      </c>
      <c r="I24" s="29" t="n">
        <v>3</v>
      </c>
      <c r="J24" s="68" t="n">
        <v>0</v>
      </c>
      <c r="K24" s="68" t="n">
        <v>0</v>
      </c>
      <c r="L24" s="68" t="n">
        <v>0</v>
      </c>
      <c r="M24" s="68" t="n">
        <v>0</v>
      </c>
      <c r="N24" s="68" t="n">
        <v>0</v>
      </c>
      <c r="O24" s="68" t="n">
        <v>0</v>
      </c>
      <c r="P24" s="29" t="n">
        <v>2</v>
      </c>
      <c r="Q24" s="69" t="n">
        <v>3</v>
      </c>
      <c r="R24" s="69" t="n">
        <v>3</v>
      </c>
      <c r="S24" s="69" t="n">
        <v>2</v>
      </c>
    </row>
    <row r="25" customFormat="false" ht="18" hidden="false" customHeight="true" outlineLevel="0" collapsed="false">
      <c r="A25" s="65" t="s">
        <v>61</v>
      </c>
      <c r="B25" s="66" t="s">
        <v>62</v>
      </c>
      <c r="C25" s="34" t="s">
        <v>81</v>
      </c>
      <c r="D25" s="67" t="n">
        <v>0.77</v>
      </c>
      <c r="E25" s="29" t="n">
        <v>3</v>
      </c>
      <c r="F25" s="29" t="n">
        <v>3</v>
      </c>
      <c r="G25" s="29" t="n">
        <v>2</v>
      </c>
      <c r="H25" s="29" t="n">
        <v>2</v>
      </c>
      <c r="I25" s="29" t="n">
        <v>3</v>
      </c>
      <c r="J25" s="68" t="n">
        <v>0</v>
      </c>
      <c r="K25" s="68" t="n">
        <v>0</v>
      </c>
      <c r="L25" s="68" t="n">
        <v>0</v>
      </c>
      <c r="M25" s="68" t="n">
        <v>0</v>
      </c>
      <c r="N25" s="29" t="n">
        <v>1</v>
      </c>
      <c r="O25" s="68" t="n">
        <v>0</v>
      </c>
      <c r="P25" s="29" t="n">
        <v>3</v>
      </c>
      <c r="Q25" s="69" t="n">
        <v>3</v>
      </c>
      <c r="R25" s="69" t="n">
        <v>3</v>
      </c>
      <c r="S25" s="69" t="n">
        <v>2</v>
      </c>
    </row>
    <row r="26" customFormat="false" ht="18" hidden="false" customHeight="true" outlineLevel="0" collapsed="false">
      <c r="A26" s="65"/>
      <c r="B26" s="65"/>
      <c r="C26" s="34" t="s">
        <v>82</v>
      </c>
      <c r="D26" s="67" t="n">
        <v>0.66</v>
      </c>
      <c r="E26" s="29" t="n">
        <v>2</v>
      </c>
      <c r="F26" s="29" t="n">
        <v>3</v>
      </c>
      <c r="G26" s="29" t="n">
        <v>3</v>
      </c>
      <c r="H26" s="29" t="n">
        <v>2</v>
      </c>
      <c r="I26" s="29" t="n">
        <v>3</v>
      </c>
      <c r="J26" s="68" t="n">
        <v>0</v>
      </c>
      <c r="K26" s="68" t="n">
        <v>0</v>
      </c>
      <c r="L26" s="68" t="n">
        <v>0</v>
      </c>
      <c r="M26" s="29" t="n">
        <v>1</v>
      </c>
      <c r="N26" s="68" t="n">
        <v>0</v>
      </c>
      <c r="O26" s="68" t="n">
        <v>0</v>
      </c>
      <c r="P26" s="29" t="n">
        <v>2</v>
      </c>
      <c r="Q26" s="69" t="n">
        <v>2</v>
      </c>
      <c r="R26" s="69" t="n">
        <v>3</v>
      </c>
      <c r="S26" s="69" t="n">
        <v>2</v>
      </c>
    </row>
    <row r="27" customFormat="false" ht="18" hidden="false" customHeight="true" outlineLevel="0" collapsed="false">
      <c r="A27" s="65"/>
      <c r="B27" s="65"/>
      <c r="C27" s="34" t="s">
        <v>83</v>
      </c>
      <c r="D27" s="67" t="n">
        <v>0.61</v>
      </c>
      <c r="E27" s="29" t="n">
        <v>3</v>
      </c>
      <c r="F27" s="29" t="n">
        <v>3</v>
      </c>
      <c r="G27" s="29" t="n">
        <v>3</v>
      </c>
      <c r="H27" s="29" t="n">
        <v>3</v>
      </c>
      <c r="I27" s="29" t="n">
        <v>2</v>
      </c>
      <c r="J27" s="68" t="n">
        <v>0</v>
      </c>
      <c r="K27" s="68" t="n">
        <v>0</v>
      </c>
      <c r="L27" s="68" t="n">
        <v>0</v>
      </c>
      <c r="M27" s="68" t="n">
        <v>0</v>
      </c>
      <c r="N27" s="68" t="n">
        <v>0</v>
      </c>
      <c r="O27" s="68" t="n">
        <v>0</v>
      </c>
      <c r="P27" s="29" t="n">
        <v>3</v>
      </c>
      <c r="Q27" s="69" t="n">
        <v>3</v>
      </c>
      <c r="R27" s="69" t="n">
        <v>3</v>
      </c>
      <c r="S27" s="69" t="n">
        <v>3</v>
      </c>
    </row>
    <row r="28" customFormat="false" ht="18" hidden="false" customHeight="true" outlineLevel="0" collapsed="false">
      <c r="A28" s="65"/>
      <c r="B28" s="65"/>
      <c r="C28" s="34" t="s">
        <v>84</v>
      </c>
      <c r="D28" s="67" t="n">
        <v>0.7</v>
      </c>
      <c r="E28" s="29" t="n">
        <v>2</v>
      </c>
      <c r="F28" s="29" t="n">
        <v>3</v>
      </c>
      <c r="G28" s="29" t="n">
        <v>2</v>
      </c>
      <c r="H28" s="29" t="n">
        <v>3</v>
      </c>
      <c r="I28" s="29" t="n">
        <v>3</v>
      </c>
      <c r="J28" s="68" t="n">
        <v>0</v>
      </c>
      <c r="K28" s="68" t="n">
        <v>0</v>
      </c>
      <c r="L28" s="68" t="n">
        <v>0</v>
      </c>
      <c r="M28" s="29" t="n">
        <v>1</v>
      </c>
      <c r="N28" s="68" t="n">
        <v>0</v>
      </c>
      <c r="O28" s="68" t="n">
        <v>0</v>
      </c>
      <c r="P28" s="29" t="n">
        <v>2</v>
      </c>
      <c r="Q28" s="69" t="n">
        <v>2</v>
      </c>
      <c r="R28" s="69" t="n">
        <v>3</v>
      </c>
      <c r="S28" s="69" t="n">
        <v>2</v>
      </c>
    </row>
    <row r="29" customFormat="false" ht="18" hidden="false" customHeight="true" outlineLevel="0" collapsed="false">
      <c r="A29" s="65"/>
      <c r="B29" s="65"/>
      <c r="C29" s="34" t="s">
        <v>85</v>
      </c>
      <c r="D29" s="67" t="n">
        <v>0.78</v>
      </c>
      <c r="E29" s="29" t="n">
        <v>3</v>
      </c>
      <c r="F29" s="29" t="n">
        <v>2</v>
      </c>
      <c r="G29" s="29" t="n">
        <v>3</v>
      </c>
      <c r="H29" s="29" t="n">
        <v>2</v>
      </c>
      <c r="I29" s="29" t="n">
        <v>3</v>
      </c>
      <c r="J29" s="68" t="n">
        <v>0</v>
      </c>
      <c r="K29" s="68" t="n">
        <v>0</v>
      </c>
      <c r="L29" s="68" t="n">
        <v>0</v>
      </c>
      <c r="M29" s="68" t="n">
        <v>0</v>
      </c>
      <c r="N29" s="29" t="n">
        <v>1</v>
      </c>
      <c r="O29" s="68" t="n">
        <v>0</v>
      </c>
      <c r="P29" s="29" t="n">
        <v>3</v>
      </c>
      <c r="Q29" s="69" t="n">
        <v>3</v>
      </c>
      <c r="R29" s="69" t="n">
        <v>3</v>
      </c>
      <c r="S29" s="69" t="n">
        <v>3</v>
      </c>
    </row>
    <row r="30" customFormat="false" ht="18" hidden="false" customHeight="true" outlineLevel="0" collapsed="false">
      <c r="A30" s="65"/>
      <c r="B30" s="65"/>
      <c r="C30" s="34" t="s">
        <v>86</v>
      </c>
      <c r="D30" s="67" t="n">
        <v>0.72</v>
      </c>
      <c r="E30" s="29" t="n">
        <v>2</v>
      </c>
      <c r="F30" s="29" t="n">
        <v>3</v>
      </c>
      <c r="G30" s="29" t="n">
        <v>2</v>
      </c>
      <c r="H30" s="29" t="n">
        <v>2</v>
      </c>
      <c r="I30" s="29" t="n">
        <v>3</v>
      </c>
      <c r="J30" s="29" t="n">
        <v>1</v>
      </c>
      <c r="K30" s="68" t="n">
        <v>0</v>
      </c>
      <c r="L30" s="68" t="n">
        <v>0</v>
      </c>
      <c r="M30" s="29" t="n">
        <v>1</v>
      </c>
      <c r="N30" s="68" t="n">
        <v>0</v>
      </c>
      <c r="O30" s="68" t="n">
        <v>0</v>
      </c>
      <c r="P30" s="29" t="n">
        <v>3</v>
      </c>
      <c r="Q30" s="69" t="n">
        <v>2</v>
      </c>
      <c r="R30" s="69" t="n">
        <v>3</v>
      </c>
      <c r="S30" s="69" t="n">
        <v>3</v>
      </c>
    </row>
  </sheetData>
  <mergeCells count="12">
    <mergeCell ref="A1:S1"/>
    <mergeCell ref="A2:S2"/>
    <mergeCell ref="A5:A9"/>
    <mergeCell ref="B5:B9"/>
    <mergeCell ref="A10:A14"/>
    <mergeCell ref="B10:B14"/>
    <mergeCell ref="A15:A19"/>
    <mergeCell ref="B15:B19"/>
    <mergeCell ref="A20:A24"/>
    <mergeCell ref="B20:B24"/>
    <mergeCell ref="A25:A30"/>
    <mergeCell ref="B25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2026-04-25T06:34:17Z</dcterms:created>
  <dc:creator>openpyxl</dc:creator>
  <dc:description/>
  <dc:language>en-US</dc:language>
  <cp:lastModifiedBy/>
  <dcterms:modified xsi:type="dcterms:W3CDTF">2026-04-25T06:34:17Z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