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Config" sheetId="1" state="visible" r:id="rId1"/>
    <sheet xmlns:r="http://schemas.openxmlformats.org/officeDocument/2006/relationships" name="Thresholds" sheetId="2" state="visible" r:id="rId2"/>
    <sheet xmlns:r="http://schemas.openxmlformats.org/officeDocument/2006/relationships" name="CO_Definition" sheetId="3" state="visible" r:id="rId3"/>
    <sheet xmlns:r="http://schemas.openxmlformats.org/officeDocument/2006/relationships" name="CO_PO_Input" sheetId="4" state="visible" r:id="rId4"/>
    <sheet xmlns:r="http://schemas.openxmlformats.org/officeDocument/2006/relationships" name="CO_PO_Mapping" sheetId="5" state="visible" r:id="rId5"/>
    <sheet xmlns:r="http://schemas.openxmlformats.org/officeDocument/2006/relationships" name="Summary_Matrix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Weeks</t>
        </is>
      </c>
      <c r="B2" s="2" t="n">
        <v>12</v>
      </c>
      <c r="C2" s="2" t="inlineStr">
        <is>
          <t>Edit as needed</t>
        </is>
      </c>
    </row>
    <row r="3">
      <c r="A3" s="2" t="inlineStr">
        <is>
          <t>L_per_week (hrs)</t>
        </is>
      </c>
      <c r="B3" s="2" t="n">
        <v>3</v>
      </c>
      <c r="C3" s="2" t="inlineStr">
        <is>
          <t>Lecture hours per week</t>
        </is>
      </c>
    </row>
    <row r="4">
      <c r="A4" s="2" t="inlineStr">
        <is>
          <t>T_per_week (hrs)</t>
        </is>
      </c>
      <c r="B4" s="2" t="n">
        <v>1</v>
      </c>
      <c r="C4" s="2" t="inlineStr">
        <is>
          <t>Tutorial hours per week</t>
        </is>
      </c>
    </row>
    <row r="5">
      <c r="A5" s="2" t="inlineStr">
        <is>
          <t>P_per_week (hrs)</t>
        </is>
      </c>
      <c r="B5" s="2" t="n">
        <v>2</v>
      </c>
      <c r="C5" s="2" t="inlineStr">
        <is>
          <t>Practical/Lab hours per week</t>
        </is>
      </c>
    </row>
    <row r="6">
      <c r="A6" s="2" t="inlineStr">
        <is>
          <t>S_per_week (hrs)</t>
        </is>
      </c>
      <c r="B6" s="2" t="n">
        <v>0</v>
      </c>
      <c r="C6" s="2" t="inlineStr">
        <is>
          <t>Skilling/Project hrs per week (if any)</t>
        </is>
      </c>
    </row>
    <row r="7">
      <c r="A7" s="2" t="inlineStr">
        <is>
          <t>Total_Course_Hours</t>
        </is>
      </c>
      <c r="B7" s="2" t="n"/>
      <c r="C7" s="2">
        <f> (L+T+P+S) × Weeks (auto)</f>
        <v/>
      </c>
    </row>
    <row r="8">
      <c r="A8" s="2" t="inlineStr">
        <is>
          <t>Total_Course_Hours</t>
        </is>
      </c>
      <c r="B8" s="2">
        <f>B2*(B3+B4+B5+B6)</f>
        <v/>
      </c>
      <c r="C8" s="2" t="inlineStr">
        <is>
          <t>Auto-calculated</t>
        </is>
      </c>
    </row>
    <row r="10">
      <c r="A10" s="1" t="inlineStr">
        <is>
          <t>Named References</t>
        </is>
      </c>
      <c r="B10" s="1" t="inlineStr"/>
      <c r="C10" s="1" t="inlineStr">
        <is>
          <t>(Do not edit)</t>
        </is>
      </c>
    </row>
    <row r="11">
      <c r="A11" s="2" t="inlineStr">
        <is>
          <t>TotalHours</t>
        </is>
      </c>
      <c r="B11" s="2">
        <f>B8</f>
        <v/>
      </c>
      <c r="C11" s="2" t="n"/>
    </row>
    <row r="12">
      <c r="A12" s="2" t="inlineStr">
        <is>
          <t>Weeks_ref</t>
        </is>
      </c>
      <c r="B12" s="2">
        <f>B2</f>
        <v/>
      </c>
      <c r="C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</cols>
  <sheetData>
    <row r="1">
      <c r="A1" s="1" t="inlineStr">
        <is>
          <t>Level</t>
        </is>
      </c>
      <c r="B1" s="1" t="inlineStr">
        <is>
          <t>Contact Hours Percentage</t>
        </is>
      </c>
      <c r="C1" s="1" t="inlineStr">
        <is>
          <t>Mapping Value</t>
        </is>
      </c>
    </row>
    <row r="2">
      <c r="A2" s="2" t="inlineStr">
        <is>
          <t>No Mapping (–)</t>
        </is>
      </c>
      <c r="B2" s="2" t="inlineStr">
        <is>
          <t>&lt; 5%</t>
        </is>
      </c>
      <c r="C2" s="2" t="inlineStr">
        <is>
          <t>–</t>
        </is>
      </c>
    </row>
    <row r="3">
      <c r="A3" s="2" t="inlineStr">
        <is>
          <t>Low (1)</t>
        </is>
      </c>
      <c r="B3" s="2" t="inlineStr">
        <is>
          <t>5% – 15%</t>
        </is>
      </c>
      <c r="C3" s="2" t="n">
        <v>1</v>
      </c>
    </row>
    <row r="4">
      <c r="A4" s="2" t="inlineStr">
        <is>
          <t>Medium (2)</t>
        </is>
      </c>
      <c r="B4" s="2" t="inlineStr">
        <is>
          <t>15% – 25%</t>
        </is>
      </c>
      <c r="C4" s="2" t="n">
        <v>2</v>
      </c>
    </row>
    <row r="5">
      <c r="A5" s="2" t="inlineStr">
        <is>
          <t>High (3)</t>
        </is>
      </c>
      <c r="B5" s="2" t="inlineStr">
        <is>
          <t>&gt; 25%</t>
        </is>
      </c>
      <c r="C5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4" customWidth="1" min="7" max="7"/>
    <col width="36" customWidth="1" min="8" max="8"/>
  </cols>
  <sheetData>
    <row r="1">
      <c r="A1" s="1" t="inlineStr">
        <is>
          <t>CO</t>
        </is>
      </c>
      <c r="B1" s="1" t="inlineStr">
        <is>
          <t>L hours</t>
        </is>
      </c>
      <c r="C1" s="1" t="inlineStr">
        <is>
          <t>T hours</t>
        </is>
      </c>
      <c r="D1" s="1" t="inlineStr">
        <is>
          <t>P hours</t>
        </is>
      </c>
      <c r="E1" s="1" t="inlineStr">
        <is>
          <t>S hours</t>
        </is>
      </c>
      <c r="F1" s="1" t="inlineStr">
        <is>
          <t>CO Total Hours</t>
        </is>
      </c>
      <c r="G1" s="1" t="inlineStr">
        <is>
          <t>CO % of Total Course Hours</t>
        </is>
      </c>
      <c r="H1" s="1" t="inlineStr">
        <is>
          <t>Notes</t>
        </is>
      </c>
    </row>
    <row r="2">
      <c r="A2" s="2" t="inlineStr">
        <is>
          <t>CO1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>
        <f>SUM(B2:E2)</f>
        <v/>
      </c>
      <c r="G2" s="3">
        <f>IF('Course_Config'!B8&gt;0, F2/'Course_Config'!B8, 0)</f>
        <v/>
      </c>
      <c r="H2" s="2" t="inlineStr">
        <is>
          <t>Enter hours that directly support this CO (from L/T/P/S)</t>
        </is>
      </c>
    </row>
    <row r="3">
      <c r="A3" s="2" t="inlineStr">
        <is>
          <t>CO2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>
        <f>SUM(B3:E3)</f>
        <v/>
      </c>
      <c r="G3" s="3">
        <f>IF('Course_Config'!B8&gt;0, F3/'Course_Config'!B8, 0)</f>
        <v/>
      </c>
      <c r="H3" s="2" t="inlineStr">
        <is>
          <t>Enter hours that directly support this CO (from L/T/P/S)</t>
        </is>
      </c>
    </row>
    <row r="4">
      <c r="A4" s="2" t="inlineStr">
        <is>
          <t>CO3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>
        <f>SUM(B4:E4)</f>
        <v/>
      </c>
      <c r="G4" s="3">
        <f>IF('Course_Config'!B8&gt;0, F4/'Course_Config'!B8, 0)</f>
        <v/>
      </c>
      <c r="H4" s="2" t="inlineStr">
        <is>
          <t>Enter hours that directly support this CO (from L/T/P/S)</t>
        </is>
      </c>
    </row>
    <row r="5">
      <c r="A5" s="2" t="inlineStr">
        <is>
          <t>CO4</t>
        </is>
      </c>
      <c r="B5" s="2" t="n">
        <v>0</v>
      </c>
      <c r="C5" s="2" t="n">
        <v>0</v>
      </c>
      <c r="D5" s="2" t="n">
        <v>0</v>
      </c>
      <c r="E5" s="2" t="n">
        <v>0</v>
      </c>
      <c r="F5" s="2">
        <f>SUM(B5:E5)</f>
        <v/>
      </c>
      <c r="G5" s="3">
        <f>IF('Course_Config'!B8&gt;0, F5/'Course_Config'!B8, 0)</f>
        <v/>
      </c>
      <c r="H5" s="2" t="inlineStr">
        <is>
          <t>Enter hours that directly support this CO (from L/T/P/S)</t>
        </is>
      </c>
    </row>
    <row r="6">
      <c r="A6" s="2" t="inlineStr">
        <is>
          <t>CO5</t>
        </is>
      </c>
      <c r="B6" s="2" t="n">
        <v>0</v>
      </c>
      <c r="C6" s="2" t="n">
        <v>0</v>
      </c>
      <c r="D6" s="2" t="n">
        <v>0</v>
      </c>
      <c r="E6" s="2" t="n">
        <v>0</v>
      </c>
      <c r="F6" s="2">
        <f>SUM(B6:E6)</f>
        <v/>
      </c>
      <c r="G6" s="3">
        <f>IF('Course_Config'!B8&gt;0, F6/'Course_Config'!B8, 0)</f>
        <v/>
      </c>
      <c r="H6" s="2" t="inlineStr">
        <is>
          <t>Enter hours that directly support this CO (from L/T/P/S)</t>
        </is>
      </c>
    </row>
    <row r="7">
      <c r="A7" s="2" t="inlineStr">
        <is>
          <t>CO6</t>
        </is>
      </c>
      <c r="B7" s="2" t="n">
        <v>0</v>
      </c>
      <c r="C7" s="2" t="n">
        <v>0</v>
      </c>
      <c r="D7" s="2" t="n">
        <v>0</v>
      </c>
      <c r="E7" s="2" t="n">
        <v>0</v>
      </c>
      <c r="F7" s="2">
        <f>SUM(B7:E7)</f>
        <v/>
      </c>
      <c r="G7" s="3">
        <f>IF('Course_Config'!B8&gt;0, F7/'Course_Config'!B8, 0)</f>
        <v/>
      </c>
      <c r="H7" s="2" t="inlineStr">
        <is>
          <t>Enter hours that directly support this CO (from L/T/P/S)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  <c r="N1" s="2" t="n"/>
    </row>
    <row r="2">
      <c r="A2" s="2" t="inlineStr">
        <is>
          <t>CO1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/>
    </row>
    <row r="3">
      <c r="A3" s="2" t="inlineStr">
        <is>
          <t>CO2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/>
    </row>
    <row r="4">
      <c r="A4" s="2" t="inlineStr">
        <is>
          <t>CO3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/>
    </row>
    <row r="5">
      <c r="A5" s="2" t="inlineStr">
        <is>
          <t>CO4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/>
    </row>
    <row r="6">
      <c r="A6" s="2" t="inlineStr">
        <is>
          <t>CO5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/>
    </row>
    <row r="7">
      <c r="A7" s="2" t="inlineStr">
        <is>
          <t>CO6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/>
    </row>
    <row r="10">
      <c r="A10" s="4" t="inlineStr">
        <is>
          <t>Guidance:</t>
        </is>
      </c>
    </row>
    <row r="11">
      <c r="A11" t="inlineStr">
        <is>
          <t>Enter the *hours* (from L/T/P/S) that specifically contribute to each PO, per CO.</t>
        </is>
      </c>
    </row>
    <row r="12">
      <c r="A12" t="inlineStr">
        <is>
          <t>These should be a subset of total course hours (see Course_Config!B8).</t>
        </is>
      </c>
    </row>
  </sheetData>
  <mergeCells count="2">
    <mergeCell ref="A11:N11"/>
    <mergeCell ref="A12:N12"/>
  </mergeCells>
  <dataValidations count="1">
    <dataValidation sqref="B2 C2 D2 E2 F2 G2 H2 I2 J2 K2 L2 M2 B3 C3 D3 E3 F3 G3 H3 I3 J3 K3 L3 M3 B4 C4 D4 E4 F4 G4 H4 I4 J4 K4 L4 M4 B5 C5 D5 E5 F5 G5 H5 I5 J5 K5 L5 M5 B6 C6 D6 E6 F6 G6 H6 I6 J6 K6 L6 M6 B7 C7 D7 E7 F7 G7 H7 I7 J7 K7 L7 M7" showErrorMessage="1" showInputMessage="1" allowBlank="1" errorTitle="Invalid input" error="Please enter a non-negative number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4" customWidth="1" min="4" max="4"/>
    <col width="26" customWidth="1" min="5" max="5"/>
  </cols>
  <sheetData>
    <row r="1">
      <c r="A1" s="1" t="inlineStr">
        <is>
          <t>CO</t>
        </is>
      </c>
      <c r="B1" s="1" t="inlineStr">
        <is>
          <t>PO</t>
        </is>
      </c>
      <c r="C1" s="1" t="inlineStr">
        <is>
          <t>Hours for this CO–PO (ref)</t>
        </is>
      </c>
      <c r="D1" s="1" t="inlineStr">
        <is>
          <t>% of Total Course Hours</t>
        </is>
      </c>
      <c r="E1" s="1" t="inlineStr">
        <is>
          <t>Mapping Value (–/1/2/3)</t>
        </is>
      </c>
    </row>
    <row r="2">
      <c r="A2" s="2" t="inlineStr">
        <is>
          <t>CO1</t>
        </is>
      </c>
      <c r="B2" s="2" t="inlineStr">
        <is>
          <t>PO1</t>
        </is>
      </c>
      <c r="C2" s="2">
        <f>'CO_PO_Input'!B2</f>
        <v/>
      </c>
      <c r="D2" s="3">
        <f>IF('Course_Config'!B8&gt;0, C2/'Course_Config'!B8, 0)</f>
        <v/>
      </c>
      <c r="E2" s="5">
        <f>IF(D2&lt;0.05,"–", IF(D2&lt;=0.15,1, IF(D2&lt;=0.25,2,3)))</f>
        <v/>
      </c>
    </row>
    <row r="3">
      <c r="A3" s="2" t="inlineStr">
        <is>
          <t>CO1</t>
        </is>
      </c>
      <c r="B3" s="2" t="inlineStr">
        <is>
          <t>PO2</t>
        </is>
      </c>
      <c r="C3" s="2">
        <f>'CO_PO_Input'!C2</f>
        <v/>
      </c>
      <c r="D3" s="3">
        <f>IF('Course_Config'!B8&gt;0, C3/'Course_Config'!B8, 0)</f>
        <v/>
      </c>
      <c r="E3" s="5">
        <f>IF(D3&lt;0.05,"–", IF(D3&lt;=0.15,1, IF(D3&lt;=0.25,2,3)))</f>
        <v/>
      </c>
    </row>
    <row r="4">
      <c r="A4" s="2" t="inlineStr">
        <is>
          <t>CO1</t>
        </is>
      </c>
      <c r="B4" s="2" t="inlineStr">
        <is>
          <t>PO3</t>
        </is>
      </c>
      <c r="C4" s="2">
        <f>'CO_PO_Input'!D2</f>
        <v/>
      </c>
      <c r="D4" s="3">
        <f>IF('Course_Config'!B8&gt;0, C4/'Course_Config'!B8, 0)</f>
        <v/>
      </c>
      <c r="E4" s="5">
        <f>IF(D4&lt;0.05,"–", IF(D4&lt;=0.15,1, IF(D4&lt;=0.25,2,3)))</f>
        <v/>
      </c>
    </row>
    <row r="5">
      <c r="A5" s="2" t="inlineStr">
        <is>
          <t>CO1</t>
        </is>
      </c>
      <c r="B5" s="2" t="inlineStr">
        <is>
          <t>PO4</t>
        </is>
      </c>
      <c r="C5" s="2">
        <f>'CO_PO_Input'!E2</f>
        <v/>
      </c>
      <c r="D5" s="3">
        <f>IF('Course_Config'!B8&gt;0, C5/'Course_Config'!B8, 0)</f>
        <v/>
      </c>
      <c r="E5" s="5">
        <f>IF(D5&lt;0.05,"–", IF(D5&lt;=0.15,1, IF(D5&lt;=0.25,2,3)))</f>
        <v/>
      </c>
    </row>
    <row r="6">
      <c r="A6" s="2" t="inlineStr">
        <is>
          <t>CO1</t>
        </is>
      </c>
      <c r="B6" s="2" t="inlineStr">
        <is>
          <t>PO5</t>
        </is>
      </c>
      <c r="C6" s="2">
        <f>'CO_PO_Input'!F2</f>
        <v/>
      </c>
      <c r="D6" s="3">
        <f>IF('Course_Config'!B8&gt;0, C6/'Course_Config'!B8, 0)</f>
        <v/>
      </c>
      <c r="E6" s="5">
        <f>IF(D6&lt;0.05,"–", IF(D6&lt;=0.15,1, IF(D6&lt;=0.25,2,3)))</f>
        <v/>
      </c>
    </row>
    <row r="7">
      <c r="A7" s="2" t="inlineStr">
        <is>
          <t>CO1</t>
        </is>
      </c>
      <c r="B7" s="2" t="inlineStr">
        <is>
          <t>PO6</t>
        </is>
      </c>
      <c r="C7" s="2">
        <f>'CO_PO_Input'!G2</f>
        <v/>
      </c>
      <c r="D7" s="3">
        <f>IF('Course_Config'!B8&gt;0, C7/'Course_Config'!B8, 0)</f>
        <v/>
      </c>
      <c r="E7" s="5">
        <f>IF(D7&lt;0.05,"–", IF(D7&lt;=0.15,1, IF(D7&lt;=0.25,2,3)))</f>
        <v/>
      </c>
    </row>
    <row r="8">
      <c r="A8" s="2" t="inlineStr">
        <is>
          <t>CO1</t>
        </is>
      </c>
      <c r="B8" s="2" t="inlineStr">
        <is>
          <t>PO7</t>
        </is>
      </c>
      <c r="C8" s="2">
        <f>'CO_PO_Input'!H2</f>
        <v/>
      </c>
      <c r="D8" s="3">
        <f>IF('Course_Config'!B8&gt;0, C8/'Course_Config'!B8, 0)</f>
        <v/>
      </c>
      <c r="E8" s="5">
        <f>IF(D8&lt;0.05,"–", IF(D8&lt;=0.15,1, IF(D8&lt;=0.25,2,3)))</f>
        <v/>
      </c>
    </row>
    <row r="9">
      <c r="A9" s="2" t="inlineStr">
        <is>
          <t>CO1</t>
        </is>
      </c>
      <c r="B9" s="2" t="inlineStr">
        <is>
          <t>PO8</t>
        </is>
      </c>
      <c r="C9" s="2">
        <f>'CO_PO_Input'!I2</f>
        <v/>
      </c>
      <c r="D9" s="3">
        <f>IF('Course_Config'!B8&gt;0, C9/'Course_Config'!B8, 0)</f>
        <v/>
      </c>
      <c r="E9" s="5">
        <f>IF(D9&lt;0.05,"–", IF(D9&lt;=0.15,1, IF(D9&lt;=0.25,2,3)))</f>
        <v/>
      </c>
    </row>
    <row r="10">
      <c r="A10" s="2" t="inlineStr">
        <is>
          <t>CO1</t>
        </is>
      </c>
      <c r="B10" s="2" t="inlineStr">
        <is>
          <t>PO9</t>
        </is>
      </c>
      <c r="C10" s="2">
        <f>'CO_PO_Input'!J2</f>
        <v/>
      </c>
      <c r="D10" s="3">
        <f>IF('Course_Config'!B8&gt;0, C10/'Course_Config'!B8, 0)</f>
        <v/>
      </c>
      <c r="E10" s="5">
        <f>IF(D10&lt;0.05,"–", IF(D10&lt;=0.15,1, IF(D10&lt;=0.25,2,3)))</f>
        <v/>
      </c>
    </row>
    <row r="11">
      <c r="A11" s="2" t="inlineStr">
        <is>
          <t>CO1</t>
        </is>
      </c>
      <c r="B11" s="2" t="inlineStr">
        <is>
          <t>PO10</t>
        </is>
      </c>
      <c r="C11" s="2">
        <f>'CO_PO_Input'!K2</f>
        <v/>
      </c>
      <c r="D11" s="3">
        <f>IF('Course_Config'!B8&gt;0, C11/'Course_Config'!B8, 0)</f>
        <v/>
      </c>
      <c r="E11" s="5">
        <f>IF(D11&lt;0.05,"–", IF(D11&lt;=0.15,1, IF(D11&lt;=0.25,2,3)))</f>
        <v/>
      </c>
    </row>
    <row r="12">
      <c r="A12" s="2" t="inlineStr">
        <is>
          <t>CO1</t>
        </is>
      </c>
      <c r="B12" s="2" t="inlineStr">
        <is>
          <t>PO11</t>
        </is>
      </c>
      <c r="C12" s="2">
        <f>'CO_PO_Input'!L2</f>
        <v/>
      </c>
      <c r="D12" s="3">
        <f>IF('Course_Config'!B8&gt;0, C12/'Course_Config'!B8, 0)</f>
        <v/>
      </c>
      <c r="E12" s="5">
        <f>IF(D12&lt;0.05,"–", IF(D12&lt;=0.15,1, IF(D12&lt;=0.25,2,3)))</f>
        <v/>
      </c>
    </row>
    <row r="13">
      <c r="A13" s="2" t="inlineStr">
        <is>
          <t>CO1</t>
        </is>
      </c>
      <c r="B13" s="2" t="inlineStr">
        <is>
          <t>PO12</t>
        </is>
      </c>
      <c r="C13" s="2">
        <f>'CO_PO_Input'!M2</f>
        <v/>
      </c>
      <c r="D13" s="3">
        <f>IF('Course_Config'!B8&gt;0, C13/'Course_Config'!B8, 0)</f>
        <v/>
      </c>
      <c r="E13" s="5">
        <f>IF(D13&lt;0.05,"–", IF(D13&lt;=0.15,1, IF(D13&lt;=0.25,2,3)))</f>
        <v/>
      </c>
    </row>
    <row r="14">
      <c r="A14" s="2" t="inlineStr">
        <is>
          <t>CO2</t>
        </is>
      </c>
      <c r="B14" s="2" t="inlineStr">
        <is>
          <t>PO1</t>
        </is>
      </c>
      <c r="C14" s="2">
        <f>'CO_PO_Input'!B3</f>
        <v/>
      </c>
      <c r="D14" s="3">
        <f>IF('Course_Config'!B8&gt;0, C14/'Course_Config'!B8, 0)</f>
        <v/>
      </c>
      <c r="E14" s="5">
        <f>IF(D14&lt;0.05,"–", IF(D14&lt;=0.15,1, IF(D14&lt;=0.25,2,3)))</f>
        <v/>
      </c>
    </row>
    <row r="15">
      <c r="A15" s="2" t="inlineStr">
        <is>
          <t>CO2</t>
        </is>
      </c>
      <c r="B15" s="2" t="inlineStr">
        <is>
          <t>PO2</t>
        </is>
      </c>
      <c r="C15" s="2">
        <f>'CO_PO_Input'!C3</f>
        <v/>
      </c>
      <c r="D15" s="3">
        <f>IF('Course_Config'!B8&gt;0, C15/'Course_Config'!B8, 0)</f>
        <v/>
      </c>
      <c r="E15" s="5">
        <f>IF(D15&lt;0.05,"–", IF(D15&lt;=0.15,1, IF(D15&lt;=0.25,2,3)))</f>
        <v/>
      </c>
    </row>
    <row r="16">
      <c r="A16" s="2" t="inlineStr">
        <is>
          <t>CO2</t>
        </is>
      </c>
      <c r="B16" s="2" t="inlineStr">
        <is>
          <t>PO3</t>
        </is>
      </c>
      <c r="C16" s="2">
        <f>'CO_PO_Input'!D3</f>
        <v/>
      </c>
      <c r="D16" s="3">
        <f>IF('Course_Config'!B8&gt;0, C16/'Course_Config'!B8, 0)</f>
        <v/>
      </c>
      <c r="E16" s="5">
        <f>IF(D16&lt;0.05,"–", IF(D16&lt;=0.15,1, IF(D16&lt;=0.25,2,3)))</f>
        <v/>
      </c>
    </row>
    <row r="17">
      <c r="A17" s="2" t="inlineStr">
        <is>
          <t>CO2</t>
        </is>
      </c>
      <c r="B17" s="2" t="inlineStr">
        <is>
          <t>PO4</t>
        </is>
      </c>
      <c r="C17" s="2">
        <f>'CO_PO_Input'!E3</f>
        <v/>
      </c>
      <c r="D17" s="3">
        <f>IF('Course_Config'!B8&gt;0, C17/'Course_Config'!B8, 0)</f>
        <v/>
      </c>
      <c r="E17" s="5">
        <f>IF(D17&lt;0.05,"–", IF(D17&lt;=0.15,1, IF(D17&lt;=0.25,2,3)))</f>
        <v/>
      </c>
    </row>
    <row r="18">
      <c r="A18" s="2" t="inlineStr">
        <is>
          <t>CO2</t>
        </is>
      </c>
      <c r="B18" s="2" t="inlineStr">
        <is>
          <t>PO5</t>
        </is>
      </c>
      <c r="C18" s="2">
        <f>'CO_PO_Input'!F3</f>
        <v/>
      </c>
      <c r="D18" s="3">
        <f>IF('Course_Config'!B8&gt;0, C18/'Course_Config'!B8, 0)</f>
        <v/>
      </c>
      <c r="E18" s="5">
        <f>IF(D18&lt;0.05,"–", IF(D18&lt;=0.15,1, IF(D18&lt;=0.25,2,3)))</f>
        <v/>
      </c>
    </row>
    <row r="19">
      <c r="A19" s="2" t="inlineStr">
        <is>
          <t>CO2</t>
        </is>
      </c>
      <c r="B19" s="2" t="inlineStr">
        <is>
          <t>PO6</t>
        </is>
      </c>
      <c r="C19" s="2">
        <f>'CO_PO_Input'!G3</f>
        <v/>
      </c>
      <c r="D19" s="3">
        <f>IF('Course_Config'!B8&gt;0, C19/'Course_Config'!B8, 0)</f>
        <v/>
      </c>
      <c r="E19" s="5">
        <f>IF(D19&lt;0.05,"–", IF(D19&lt;=0.15,1, IF(D19&lt;=0.25,2,3)))</f>
        <v/>
      </c>
    </row>
    <row r="20">
      <c r="A20" s="2" t="inlineStr">
        <is>
          <t>CO2</t>
        </is>
      </c>
      <c r="B20" s="2" t="inlineStr">
        <is>
          <t>PO7</t>
        </is>
      </c>
      <c r="C20" s="2">
        <f>'CO_PO_Input'!H3</f>
        <v/>
      </c>
      <c r="D20" s="3">
        <f>IF('Course_Config'!B8&gt;0, C20/'Course_Config'!B8, 0)</f>
        <v/>
      </c>
      <c r="E20" s="5">
        <f>IF(D20&lt;0.05,"–", IF(D20&lt;=0.15,1, IF(D20&lt;=0.25,2,3)))</f>
        <v/>
      </c>
    </row>
    <row r="21">
      <c r="A21" s="2" t="inlineStr">
        <is>
          <t>CO2</t>
        </is>
      </c>
      <c r="B21" s="2" t="inlineStr">
        <is>
          <t>PO8</t>
        </is>
      </c>
      <c r="C21" s="2">
        <f>'CO_PO_Input'!I3</f>
        <v/>
      </c>
      <c r="D21" s="3">
        <f>IF('Course_Config'!B8&gt;0, C21/'Course_Config'!B8, 0)</f>
        <v/>
      </c>
      <c r="E21" s="5">
        <f>IF(D21&lt;0.05,"–", IF(D21&lt;=0.15,1, IF(D21&lt;=0.25,2,3)))</f>
        <v/>
      </c>
    </row>
    <row r="22">
      <c r="A22" s="2" t="inlineStr">
        <is>
          <t>CO2</t>
        </is>
      </c>
      <c r="B22" s="2" t="inlineStr">
        <is>
          <t>PO9</t>
        </is>
      </c>
      <c r="C22" s="2">
        <f>'CO_PO_Input'!J3</f>
        <v/>
      </c>
      <c r="D22" s="3">
        <f>IF('Course_Config'!B8&gt;0, C22/'Course_Config'!B8, 0)</f>
        <v/>
      </c>
      <c r="E22" s="5">
        <f>IF(D22&lt;0.05,"–", IF(D22&lt;=0.15,1, IF(D22&lt;=0.25,2,3)))</f>
        <v/>
      </c>
    </row>
    <row r="23">
      <c r="A23" s="2" t="inlineStr">
        <is>
          <t>CO2</t>
        </is>
      </c>
      <c r="B23" s="2" t="inlineStr">
        <is>
          <t>PO10</t>
        </is>
      </c>
      <c r="C23" s="2">
        <f>'CO_PO_Input'!K3</f>
        <v/>
      </c>
      <c r="D23" s="3">
        <f>IF('Course_Config'!B8&gt;0, C23/'Course_Config'!B8, 0)</f>
        <v/>
      </c>
      <c r="E23" s="5">
        <f>IF(D23&lt;0.05,"–", IF(D23&lt;=0.15,1, IF(D23&lt;=0.25,2,3)))</f>
        <v/>
      </c>
    </row>
    <row r="24">
      <c r="A24" s="2" t="inlineStr">
        <is>
          <t>CO2</t>
        </is>
      </c>
      <c r="B24" s="2" t="inlineStr">
        <is>
          <t>PO11</t>
        </is>
      </c>
      <c r="C24" s="2">
        <f>'CO_PO_Input'!L3</f>
        <v/>
      </c>
      <c r="D24" s="3">
        <f>IF('Course_Config'!B8&gt;0, C24/'Course_Config'!B8, 0)</f>
        <v/>
      </c>
      <c r="E24" s="5">
        <f>IF(D24&lt;0.05,"–", IF(D24&lt;=0.15,1, IF(D24&lt;=0.25,2,3)))</f>
        <v/>
      </c>
    </row>
    <row r="25">
      <c r="A25" s="2" t="inlineStr">
        <is>
          <t>CO2</t>
        </is>
      </c>
      <c r="B25" s="2" t="inlineStr">
        <is>
          <t>PO12</t>
        </is>
      </c>
      <c r="C25" s="2">
        <f>'CO_PO_Input'!M3</f>
        <v/>
      </c>
      <c r="D25" s="3">
        <f>IF('Course_Config'!B8&gt;0, C25/'Course_Config'!B8, 0)</f>
        <v/>
      </c>
      <c r="E25" s="5">
        <f>IF(D25&lt;0.05,"–", IF(D25&lt;=0.15,1, IF(D25&lt;=0.25,2,3)))</f>
        <v/>
      </c>
    </row>
    <row r="26">
      <c r="A26" s="2" t="inlineStr">
        <is>
          <t>CO3</t>
        </is>
      </c>
      <c r="B26" s="2" t="inlineStr">
        <is>
          <t>PO1</t>
        </is>
      </c>
      <c r="C26" s="2">
        <f>'CO_PO_Input'!B4</f>
        <v/>
      </c>
      <c r="D26" s="3">
        <f>IF('Course_Config'!B8&gt;0, C26/'Course_Config'!B8, 0)</f>
        <v/>
      </c>
      <c r="E26" s="5">
        <f>IF(D26&lt;0.05,"–", IF(D26&lt;=0.15,1, IF(D26&lt;=0.25,2,3)))</f>
        <v/>
      </c>
    </row>
    <row r="27">
      <c r="A27" s="2" t="inlineStr">
        <is>
          <t>CO3</t>
        </is>
      </c>
      <c r="B27" s="2" t="inlineStr">
        <is>
          <t>PO2</t>
        </is>
      </c>
      <c r="C27" s="2">
        <f>'CO_PO_Input'!C4</f>
        <v/>
      </c>
      <c r="D27" s="3">
        <f>IF('Course_Config'!B8&gt;0, C27/'Course_Config'!B8, 0)</f>
        <v/>
      </c>
      <c r="E27" s="5">
        <f>IF(D27&lt;0.05,"–", IF(D27&lt;=0.15,1, IF(D27&lt;=0.25,2,3)))</f>
        <v/>
      </c>
    </row>
    <row r="28">
      <c r="A28" s="2" t="inlineStr">
        <is>
          <t>CO3</t>
        </is>
      </c>
      <c r="B28" s="2" t="inlineStr">
        <is>
          <t>PO3</t>
        </is>
      </c>
      <c r="C28" s="2">
        <f>'CO_PO_Input'!D4</f>
        <v/>
      </c>
      <c r="D28" s="3">
        <f>IF('Course_Config'!B8&gt;0, C28/'Course_Config'!B8, 0)</f>
        <v/>
      </c>
      <c r="E28" s="5">
        <f>IF(D28&lt;0.05,"–", IF(D28&lt;=0.15,1, IF(D28&lt;=0.25,2,3)))</f>
        <v/>
      </c>
    </row>
    <row r="29">
      <c r="A29" s="2" t="inlineStr">
        <is>
          <t>CO3</t>
        </is>
      </c>
      <c r="B29" s="2" t="inlineStr">
        <is>
          <t>PO4</t>
        </is>
      </c>
      <c r="C29" s="2">
        <f>'CO_PO_Input'!E4</f>
        <v/>
      </c>
      <c r="D29" s="3">
        <f>IF('Course_Config'!B8&gt;0, C29/'Course_Config'!B8, 0)</f>
        <v/>
      </c>
      <c r="E29" s="5">
        <f>IF(D29&lt;0.05,"–", IF(D29&lt;=0.15,1, IF(D29&lt;=0.25,2,3)))</f>
        <v/>
      </c>
    </row>
    <row r="30">
      <c r="A30" s="2" t="inlineStr">
        <is>
          <t>CO3</t>
        </is>
      </c>
      <c r="B30" s="2" t="inlineStr">
        <is>
          <t>PO5</t>
        </is>
      </c>
      <c r="C30" s="2">
        <f>'CO_PO_Input'!F4</f>
        <v/>
      </c>
      <c r="D30" s="3">
        <f>IF('Course_Config'!B8&gt;0, C30/'Course_Config'!B8, 0)</f>
        <v/>
      </c>
      <c r="E30" s="5">
        <f>IF(D30&lt;0.05,"–", IF(D30&lt;=0.15,1, IF(D30&lt;=0.25,2,3)))</f>
        <v/>
      </c>
    </row>
    <row r="31">
      <c r="A31" s="2" t="inlineStr">
        <is>
          <t>CO3</t>
        </is>
      </c>
      <c r="B31" s="2" t="inlineStr">
        <is>
          <t>PO6</t>
        </is>
      </c>
      <c r="C31" s="2">
        <f>'CO_PO_Input'!G4</f>
        <v/>
      </c>
      <c r="D31" s="3">
        <f>IF('Course_Config'!B8&gt;0, C31/'Course_Config'!B8, 0)</f>
        <v/>
      </c>
      <c r="E31" s="5">
        <f>IF(D31&lt;0.05,"–", IF(D31&lt;=0.15,1, IF(D31&lt;=0.25,2,3)))</f>
        <v/>
      </c>
    </row>
    <row r="32">
      <c r="A32" s="2" t="inlineStr">
        <is>
          <t>CO3</t>
        </is>
      </c>
      <c r="B32" s="2" t="inlineStr">
        <is>
          <t>PO7</t>
        </is>
      </c>
      <c r="C32" s="2">
        <f>'CO_PO_Input'!H4</f>
        <v/>
      </c>
      <c r="D32" s="3">
        <f>IF('Course_Config'!B8&gt;0, C32/'Course_Config'!B8, 0)</f>
        <v/>
      </c>
      <c r="E32" s="5">
        <f>IF(D32&lt;0.05,"–", IF(D32&lt;=0.15,1, IF(D32&lt;=0.25,2,3)))</f>
        <v/>
      </c>
    </row>
    <row r="33">
      <c r="A33" s="2" t="inlineStr">
        <is>
          <t>CO3</t>
        </is>
      </c>
      <c r="B33" s="2" t="inlineStr">
        <is>
          <t>PO8</t>
        </is>
      </c>
      <c r="C33" s="2">
        <f>'CO_PO_Input'!I4</f>
        <v/>
      </c>
      <c r="D33" s="3">
        <f>IF('Course_Config'!B8&gt;0, C33/'Course_Config'!B8, 0)</f>
        <v/>
      </c>
      <c r="E33" s="5">
        <f>IF(D33&lt;0.05,"–", IF(D33&lt;=0.15,1, IF(D33&lt;=0.25,2,3)))</f>
        <v/>
      </c>
    </row>
    <row r="34">
      <c r="A34" s="2" t="inlineStr">
        <is>
          <t>CO3</t>
        </is>
      </c>
      <c r="B34" s="2" t="inlineStr">
        <is>
          <t>PO9</t>
        </is>
      </c>
      <c r="C34" s="2">
        <f>'CO_PO_Input'!J4</f>
        <v/>
      </c>
      <c r="D34" s="3">
        <f>IF('Course_Config'!B8&gt;0, C34/'Course_Config'!B8, 0)</f>
        <v/>
      </c>
      <c r="E34" s="5">
        <f>IF(D34&lt;0.05,"–", IF(D34&lt;=0.15,1, IF(D34&lt;=0.25,2,3)))</f>
        <v/>
      </c>
    </row>
    <row r="35">
      <c r="A35" s="2" t="inlineStr">
        <is>
          <t>CO3</t>
        </is>
      </c>
      <c r="B35" s="2" t="inlineStr">
        <is>
          <t>PO10</t>
        </is>
      </c>
      <c r="C35" s="2">
        <f>'CO_PO_Input'!K4</f>
        <v/>
      </c>
      <c r="D35" s="3">
        <f>IF('Course_Config'!B8&gt;0, C35/'Course_Config'!B8, 0)</f>
        <v/>
      </c>
      <c r="E35" s="5">
        <f>IF(D35&lt;0.05,"–", IF(D35&lt;=0.15,1, IF(D35&lt;=0.25,2,3)))</f>
        <v/>
      </c>
    </row>
    <row r="36">
      <c r="A36" s="2" t="inlineStr">
        <is>
          <t>CO3</t>
        </is>
      </c>
      <c r="B36" s="2" t="inlineStr">
        <is>
          <t>PO11</t>
        </is>
      </c>
      <c r="C36" s="2">
        <f>'CO_PO_Input'!L4</f>
        <v/>
      </c>
      <c r="D36" s="3">
        <f>IF('Course_Config'!B8&gt;0, C36/'Course_Config'!B8, 0)</f>
        <v/>
      </c>
      <c r="E36" s="5">
        <f>IF(D36&lt;0.05,"–", IF(D36&lt;=0.15,1, IF(D36&lt;=0.25,2,3)))</f>
        <v/>
      </c>
    </row>
    <row r="37">
      <c r="A37" s="2" t="inlineStr">
        <is>
          <t>CO3</t>
        </is>
      </c>
      <c r="B37" s="2" t="inlineStr">
        <is>
          <t>PO12</t>
        </is>
      </c>
      <c r="C37" s="2">
        <f>'CO_PO_Input'!M4</f>
        <v/>
      </c>
      <c r="D37" s="3">
        <f>IF('Course_Config'!B8&gt;0, C37/'Course_Config'!B8, 0)</f>
        <v/>
      </c>
      <c r="E37" s="5">
        <f>IF(D37&lt;0.05,"–", IF(D37&lt;=0.15,1, IF(D37&lt;=0.25,2,3)))</f>
        <v/>
      </c>
    </row>
    <row r="38">
      <c r="A38" s="2" t="inlineStr">
        <is>
          <t>CO4</t>
        </is>
      </c>
      <c r="B38" s="2" t="inlineStr">
        <is>
          <t>PO1</t>
        </is>
      </c>
      <c r="C38" s="2">
        <f>'CO_PO_Input'!B5</f>
        <v/>
      </c>
      <c r="D38" s="3">
        <f>IF('Course_Config'!B8&gt;0, C38/'Course_Config'!B8, 0)</f>
        <v/>
      </c>
      <c r="E38" s="5">
        <f>IF(D38&lt;0.05,"–", IF(D38&lt;=0.15,1, IF(D38&lt;=0.25,2,3)))</f>
        <v/>
      </c>
    </row>
    <row r="39">
      <c r="A39" s="2" t="inlineStr">
        <is>
          <t>CO4</t>
        </is>
      </c>
      <c r="B39" s="2" t="inlineStr">
        <is>
          <t>PO2</t>
        </is>
      </c>
      <c r="C39" s="2">
        <f>'CO_PO_Input'!C5</f>
        <v/>
      </c>
      <c r="D39" s="3">
        <f>IF('Course_Config'!B8&gt;0, C39/'Course_Config'!B8, 0)</f>
        <v/>
      </c>
      <c r="E39" s="5">
        <f>IF(D39&lt;0.05,"–", IF(D39&lt;=0.15,1, IF(D39&lt;=0.25,2,3)))</f>
        <v/>
      </c>
    </row>
    <row r="40">
      <c r="A40" s="2" t="inlineStr">
        <is>
          <t>CO4</t>
        </is>
      </c>
      <c r="B40" s="2" t="inlineStr">
        <is>
          <t>PO3</t>
        </is>
      </c>
      <c r="C40" s="2">
        <f>'CO_PO_Input'!D5</f>
        <v/>
      </c>
      <c r="D40" s="3">
        <f>IF('Course_Config'!B8&gt;0, C40/'Course_Config'!B8, 0)</f>
        <v/>
      </c>
      <c r="E40" s="5">
        <f>IF(D40&lt;0.05,"–", IF(D40&lt;=0.15,1, IF(D40&lt;=0.25,2,3)))</f>
        <v/>
      </c>
    </row>
    <row r="41">
      <c r="A41" s="2" t="inlineStr">
        <is>
          <t>CO4</t>
        </is>
      </c>
      <c r="B41" s="2" t="inlineStr">
        <is>
          <t>PO4</t>
        </is>
      </c>
      <c r="C41" s="2">
        <f>'CO_PO_Input'!E5</f>
        <v/>
      </c>
      <c r="D41" s="3">
        <f>IF('Course_Config'!B8&gt;0, C41/'Course_Config'!B8, 0)</f>
        <v/>
      </c>
      <c r="E41" s="5">
        <f>IF(D41&lt;0.05,"–", IF(D41&lt;=0.15,1, IF(D41&lt;=0.25,2,3)))</f>
        <v/>
      </c>
    </row>
    <row r="42">
      <c r="A42" s="2" t="inlineStr">
        <is>
          <t>CO4</t>
        </is>
      </c>
      <c r="B42" s="2" t="inlineStr">
        <is>
          <t>PO5</t>
        </is>
      </c>
      <c r="C42" s="2">
        <f>'CO_PO_Input'!F5</f>
        <v/>
      </c>
      <c r="D42" s="3">
        <f>IF('Course_Config'!B8&gt;0, C42/'Course_Config'!B8, 0)</f>
        <v/>
      </c>
      <c r="E42" s="5">
        <f>IF(D42&lt;0.05,"–", IF(D42&lt;=0.15,1, IF(D42&lt;=0.25,2,3)))</f>
        <v/>
      </c>
    </row>
    <row r="43">
      <c r="A43" s="2" t="inlineStr">
        <is>
          <t>CO4</t>
        </is>
      </c>
      <c r="B43" s="2" t="inlineStr">
        <is>
          <t>PO6</t>
        </is>
      </c>
      <c r="C43" s="2">
        <f>'CO_PO_Input'!G5</f>
        <v/>
      </c>
      <c r="D43" s="3">
        <f>IF('Course_Config'!B8&gt;0, C43/'Course_Config'!B8, 0)</f>
        <v/>
      </c>
      <c r="E43" s="5">
        <f>IF(D43&lt;0.05,"–", IF(D43&lt;=0.15,1, IF(D43&lt;=0.25,2,3)))</f>
        <v/>
      </c>
    </row>
    <row r="44">
      <c r="A44" s="2" t="inlineStr">
        <is>
          <t>CO4</t>
        </is>
      </c>
      <c r="B44" s="2" t="inlineStr">
        <is>
          <t>PO7</t>
        </is>
      </c>
      <c r="C44" s="2">
        <f>'CO_PO_Input'!H5</f>
        <v/>
      </c>
      <c r="D44" s="3">
        <f>IF('Course_Config'!B8&gt;0, C44/'Course_Config'!B8, 0)</f>
        <v/>
      </c>
      <c r="E44" s="5">
        <f>IF(D44&lt;0.05,"–", IF(D44&lt;=0.15,1, IF(D44&lt;=0.25,2,3)))</f>
        <v/>
      </c>
    </row>
    <row r="45">
      <c r="A45" s="2" t="inlineStr">
        <is>
          <t>CO4</t>
        </is>
      </c>
      <c r="B45" s="2" t="inlineStr">
        <is>
          <t>PO8</t>
        </is>
      </c>
      <c r="C45" s="2">
        <f>'CO_PO_Input'!I5</f>
        <v/>
      </c>
      <c r="D45" s="3">
        <f>IF('Course_Config'!B8&gt;0, C45/'Course_Config'!B8, 0)</f>
        <v/>
      </c>
      <c r="E45" s="5">
        <f>IF(D45&lt;0.05,"–", IF(D45&lt;=0.15,1, IF(D45&lt;=0.25,2,3)))</f>
        <v/>
      </c>
    </row>
    <row r="46">
      <c r="A46" s="2" t="inlineStr">
        <is>
          <t>CO4</t>
        </is>
      </c>
      <c r="B46" s="2" t="inlineStr">
        <is>
          <t>PO9</t>
        </is>
      </c>
      <c r="C46" s="2">
        <f>'CO_PO_Input'!J5</f>
        <v/>
      </c>
      <c r="D46" s="3">
        <f>IF('Course_Config'!B8&gt;0, C46/'Course_Config'!B8, 0)</f>
        <v/>
      </c>
      <c r="E46" s="5">
        <f>IF(D46&lt;0.05,"–", IF(D46&lt;=0.15,1, IF(D46&lt;=0.25,2,3)))</f>
        <v/>
      </c>
    </row>
    <row r="47">
      <c r="A47" s="2" t="inlineStr">
        <is>
          <t>CO4</t>
        </is>
      </c>
      <c r="B47" s="2" t="inlineStr">
        <is>
          <t>PO10</t>
        </is>
      </c>
      <c r="C47" s="2">
        <f>'CO_PO_Input'!K5</f>
        <v/>
      </c>
      <c r="D47" s="3">
        <f>IF('Course_Config'!B8&gt;0, C47/'Course_Config'!B8, 0)</f>
        <v/>
      </c>
      <c r="E47" s="5">
        <f>IF(D47&lt;0.05,"–", IF(D47&lt;=0.15,1, IF(D47&lt;=0.25,2,3)))</f>
        <v/>
      </c>
    </row>
    <row r="48">
      <c r="A48" s="2" t="inlineStr">
        <is>
          <t>CO4</t>
        </is>
      </c>
      <c r="B48" s="2" t="inlineStr">
        <is>
          <t>PO11</t>
        </is>
      </c>
      <c r="C48" s="2">
        <f>'CO_PO_Input'!L5</f>
        <v/>
      </c>
      <c r="D48" s="3">
        <f>IF('Course_Config'!B8&gt;0, C48/'Course_Config'!B8, 0)</f>
        <v/>
      </c>
      <c r="E48" s="5">
        <f>IF(D48&lt;0.05,"–", IF(D48&lt;=0.15,1, IF(D48&lt;=0.25,2,3)))</f>
        <v/>
      </c>
    </row>
    <row r="49">
      <c r="A49" s="2" t="inlineStr">
        <is>
          <t>CO4</t>
        </is>
      </c>
      <c r="B49" s="2" t="inlineStr">
        <is>
          <t>PO12</t>
        </is>
      </c>
      <c r="C49" s="2">
        <f>'CO_PO_Input'!M5</f>
        <v/>
      </c>
      <c r="D49" s="3">
        <f>IF('Course_Config'!B8&gt;0, C49/'Course_Config'!B8, 0)</f>
        <v/>
      </c>
      <c r="E49" s="5">
        <f>IF(D49&lt;0.05,"–", IF(D49&lt;=0.15,1, IF(D49&lt;=0.25,2,3)))</f>
        <v/>
      </c>
    </row>
    <row r="50">
      <c r="A50" s="2" t="inlineStr">
        <is>
          <t>CO5</t>
        </is>
      </c>
      <c r="B50" s="2" t="inlineStr">
        <is>
          <t>PO1</t>
        </is>
      </c>
      <c r="C50" s="2">
        <f>'CO_PO_Input'!B6</f>
        <v/>
      </c>
      <c r="D50" s="3">
        <f>IF('Course_Config'!B8&gt;0, C50/'Course_Config'!B8, 0)</f>
        <v/>
      </c>
      <c r="E50" s="5">
        <f>IF(D50&lt;0.05,"–", IF(D50&lt;=0.15,1, IF(D50&lt;=0.25,2,3)))</f>
        <v/>
      </c>
    </row>
    <row r="51">
      <c r="A51" s="2" t="inlineStr">
        <is>
          <t>CO5</t>
        </is>
      </c>
      <c r="B51" s="2" t="inlineStr">
        <is>
          <t>PO2</t>
        </is>
      </c>
      <c r="C51" s="2">
        <f>'CO_PO_Input'!C6</f>
        <v/>
      </c>
      <c r="D51" s="3">
        <f>IF('Course_Config'!B8&gt;0, C51/'Course_Config'!B8, 0)</f>
        <v/>
      </c>
      <c r="E51" s="5">
        <f>IF(D51&lt;0.05,"–", IF(D51&lt;=0.15,1, IF(D51&lt;=0.25,2,3)))</f>
        <v/>
      </c>
    </row>
    <row r="52">
      <c r="A52" s="2" t="inlineStr">
        <is>
          <t>CO5</t>
        </is>
      </c>
      <c r="B52" s="2" t="inlineStr">
        <is>
          <t>PO3</t>
        </is>
      </c>
      <c r="C52" s="2">
        <f>'CO_PO_Input'!D6</f>
        <v/>
      </c>
      <c r="D52" s="3">
        <f>IF('Course_Config'!B8&gt;0, C52/'Course_Config'!B8, 0)</f>
        <v/>
      </c>
      <c r="E52" s="5">
        <f>IF(D52&lt;0.05,"–", IF(D52&lt;=0.15,1, IF(D52&lt;=0.25,2,3)))</f>
        <v/>
      </c>
    </row>
    <row r="53">
      <c r="A53" s="2" t="inlineStr">
        <is>
          <t>CO5</t>
        </is>
      </c>
      <c r="B53" s="2" t="inlineStr">
        <is>
          <t>PO4</t>
        </is>
      </c>
      <c r="C53" s="2">
        <f>'CO_PO_Input'!E6</f>
        <v/>
      </c>
      <c r="D53" s="3">
        <f>IF('Course_Config'!B8&gt;0, C53/'Course_Config'!B8, 0)</f>
        <v/>
      </c>
      <c r="E53" s="5">
        <f>IF(D53&lt;0.05,"–", IF(D53&lt;=0.15,1, IF(D53&lt;=0.25,2,3)))</f>
        <v/>
      </c>
    </row>
    <row r="54">
      <c r="A54" s="2" t="inlineStr">
        <is>
          <t>CO5</t>
        </is>
      </c>
      <c r="B54" s="2" t="inlineStr">
        <is>
          <t>PO5</t>
        </is>
      </c>
      <c r="C54" s="2">
        <f>'CO_PO_Input'!F6</f>
        <v/>
      </c>
      <c r="D54" s="3">
        <f>IF('Course_Config'!B8&gt;0, C54/'Course_Config'!B8, 0)</f>
        <v/>
      </c>
      <c r="E54" s="5">
        <f>IF(D54&lt;0.05,"–", IF(D54&lt;=0.15,1, IF(D54&lt;=0.25,2,3)))</f>
        <v/>
      </c>
    </row>
    <row r="55">
      <c r="A55" s="2" t="inlineStr">
        <is>
          <t>CO5</t>
        </is>
      </c>
      <c r="B55" s="2" t="inlineStr">
        <is>
          <t>PO6</t>
        </is>
      </c>
      <c r="C55" s="2">
        <f>'CO_PO_Input'!G6</f>
        <v/>
      </c>
      <c r="D55" s="3">
        <f>IF('Course_Config'!B8&gt;0, C55/'Course_Config'!B8, 0)</f>
        <v/>
      </c>
      <c r="E55" s="5">
        <f>IF(D55&lt;0.05,"–", IF(D55&lt;=0.15,1, IF(D55&lt;=0.25,2,3)))</f>
        <v/>
      </c>
    </row>
    <row r="56">
      <c r="A56" s="2" t="inlineStr">
        <is>
          <t>CO5</t>
        </is>
      </c>
      <c r="B56" s="2" t="inlineStr">
        <is>
          <t>PO7</t>
        </is>
      </c>
      <c r="C56" s="2">
        <f>'CO_PO_Input'!H6</f>
        <v/>
      </c>
      <c r="D56" s="3">
        <f>IF('Course_Config'!B8&gt;0, C56/'Course_Config'!B8, 0)</f>
        <v/>
      </c>
      <c r="E56" s="5">
        <f>IF(D56&lt;0.05,"–", IF(D56&lt;=0.15,1, IF(D56&lt;=0.25,2,3)))</f>
        <v/>
      </c>
    </row>
    <row r="57">
      <c r="A57" s="2" t="inlineStr">
        <is>
          <t>CO5</t>
        </is>
      </c>
      <c r="B57" s="2" t="inlineStr">
        <is>
          <t>PO8</t>
        </is>
      </c>
      <c r="C57" s="2">
        <f>'CO_PO_Input'!I6</f>
        <v/>
      </c>
      <c r="D57" s="3">
        <f>IF('Course_Config'!B8&gt;0, C57/'Course_Config'!B8, 0)</f>
        <v/>
      </c>
      <c r="E57" s="5">
        <f>IF(D57&lt;0.05,"–", IF(D57&lt;=0.15,1, IF(D57&lt;=0.25,2,3)))</f>
        <v/>
      </c>
    </row>
    <row r="58">
      <c r="A58" s="2" t="inlineStr">
        <is>
          <t>CO5</t>
        </is>
      </c>
      <c r="B58" s="2" t="inlineStr">
        <is>
          <t>PO9</t>
        </is>
      </c>
      <c r="C58" s="2">
        <f>'CO_PO_Input'!J6</f>
        <v/>
      </c>
      <c r="D58" s="3">
        <f>IF('Course_Config'!B8&gt;0, C58/'Course_Config'!B8, 0)</f>
        <v/>
      </c>
      <c r="E58" s="5">
        <f>IF(D58&lt;0.05,"–", IF(D58&lt;=0.15,1, IF(D58&lt;=0.25,2,3)))</f>
        <v/>
      </c>
    </row>
    <row r="59">
      <c r="A59" s="2" t="inlineStr">
        <is>
          <t>CO5</t>
        </is>
      </c>
      <c r="B59" s="2" t="inlineStr">
        <is>
          <t>PO10</t>
        </is>
      </c>
      <c r="C59" s="2">
        <f>'CO_PO_Input'!K6</f>
        <v/>
      </c>
      <c r="D59" s="3">
        <f>IF('Course_Config'!B8&gt;0, C59/'Course_Config'!B8, 0)</f>
        <v/>
      </c>
      <c r="E59" s="5">
        <f>IF(D59&lt;0.05,"–", IF(D59&lt;=0.15,1, IF(D59&lt;=0.25,2,3)))</f>
        <v/>
      </c>
    </row>
    <row r="60">
      <c r="A60" s="2" t="inlineStr">
        <is>
          <t>CO5</t>
        </is>
      </c>
      <c r="B60" s="2" t="inlineStr">
        <is>
          <t>PO11</t>
        </is>
      </c>
      <c r="C60" s="2">
        <f>'CO_PO_Input'!L6</f>
        <v/>
      </c>
      <c r="D60" s="3">
        <f>IF('Course_Config'!B8&gt;0, C60/'Course_Config'!B8, 0)</f>
        <v/>
      </c>
      <c r="E60" s="5">
        <f>IF(D60&lt;0.05,"–", IF(D60&lt;=0.15,1, IF(D60&lt;=0.25,2,3)))</f>
        <v/>
      </c>
    </row>
    <row r="61">
      <c r="A61" s="2" t="inlineStr">
        <is>
          <t>CO5</t>
        </is>
      </c>
      <c r="B61" s="2" t="inlineStr">
        <is>
          <t>PO12</t>
        </is>
      </c>
      <c r="C61" s="2">
        <f>'CO_PO_Input'!M6</f>
        <v/>
      </c>
      <c r="D61" s="3">
        <f>IF('Course_Config'!B8&gt;0, C61/'Course_Config'!B8, 0)</f>
        <v/>
      </c>
      <c r="E61" s="5">
        <f>IF(D61&lt;0.05,"–", IF(D61&lt;=0.15,1, IF(D61&lt;=0.25,2,3)))</f>
        <v/>
      </c>
    </row>
    <row r="62">
      <c r="A62" s="2" t="inlineStr">
        <is>
          <t>CO6</t>
        </is>
      </c>
      <c r="B62" s="2" t="inlineStr">
        <is>
          <t>PO1</t>
        </is>
      </c>
      <c r="C62" s="2">
        <f>'CO_PO_Input'!B7</f>
        <v/>
      </c>
      <c r="D62" s="3">
        <f>IF('Course_Config'!B8&gt;0, C62/'Course_Config'!B8, 0)</f>
        <v/>
      </c>
      <c r="E62" s="5">
        <f>IF(D62&lt;0.05,"–", IF(D62&lt;=0.15,1, IF(D62&lt;=0.25,2,3)))</f>
        <v/>
      </c>
    </row>
    <row r="63">
      <c r="A63" s="2" t="inlineStr">
        <is>
          <t>CO6</t>
        </is>
      </c>
      <c r="B63" s="2" t="inlineStr">
        <is>
          <t>PO2</t>
        </is>
      </c>
      <c r="C63" s="2">
        <f>'CO_PO_Input'!C7</f>
        <v/>
      </c>
      <c r="D63" s="3">
        <f>IF('Course_Config'!B8&gt;0, C63/'Course_Config'!B8, 0)</f>
        <v/>
      </c>
      <c r="E63" s="5">
        <f>IF(D63&lt;0.05,"–", IF(D63&lt;=0.15,1, IF(D63&lt;=0.25,2,3)))</f>
        <v/>
      </c>
    </row>
    <row r="64">
      <c r="A64" s="2" t="inlineStr">
        <is>
          <t>CO6</t>
        </is>
      </c>
      <c r="B64" s="2" t="inlineStr">
        <is>
          <t>PO3</t>
        </is>
      </c>
      <c r="C64" s="2">
        <f>'CO_PO_Input'!D7</f>
        <v/>
      </c>
      <c r="D64" s="3">
        <f>IF('Course_Config'!B8&gt;0, C64/'Course_Config'!B8, 0)</f>
        <v/>
      </c>
      <c r="E64" s="5">
        <f>IF(D64&lt;0.05,"–", IF(D64&lt;=0.15,1, IF(D64&lt;=0.25,2,3)))</f>
        <v/>
      </c>
    </row>
    <row r="65">
      <c r="A65" s="2" t="inlineStr">
        <is>
          <t>CO6</t>
        </is>
      </c>
      <c r="B65" s="2" t="inlineStr">
        <is>
          <t>PO4</t>
        </is>
      </c>
      <c r="C65" s="2">
        <f>'CO_PO_Input'!E7</f>
        <v/>
      </c>
      <c r="D65" s="3">
        <f>IF('Course_Config'!B8&gt;0, C65/'Course_Config'!B8, 0)</f>
        <v/>
      </c>
      <c r="E65" s="5">
        <f>IF(D65&lt;0.05,"–", IF(D65&lt;=0.15,1, IF(D65&lt;=0.25,2,3)))</f>
        <v/>
      </c>
    </row>
    <row r="66">
      <c r="A66" s="2" t="inlineStr">
        <is>
          <t>CO6</t>
        </is>
      </c>
      <c r="B66" s="2" t="inlineStr">
        <is>
          <t>PO5</t>
        </is>
      </c>
      <c r="C66" s="2">
        <f>'CO_PO_Input'!F7</f>
        <v/>
      </c>
      <c r="D66" s="3">
        <f>IF('Course_Config'!B8&gt;0, C66/'Course_Config'!B8, 0)</f>
        <v/>
      </c>
      <c r="E66" s="5">
        <f>IF(D66&lt;0.05,"–", IF(D66&lt;=0.15,1, IF(D66&lt;=0.25,2,3)))</f>
        <v/>
      </c>
    </row>
    <row r="67">
      <c r="A67" s="2" t="inlineStr">
        <is>
          <t>CO6</t>
        </is>
      </c>
      <c r="B67" s="2" t="inlineStr">
        <is>
          <t>PO6</t>
        </is>
      </c>
      <c r="C67" s="2">
        <f>'CO_PO_Input'!G7</f>
        <v/>
      </c>
      <c r="D67" s="3">
        <f>IF('Course_Config'!B8&gt;0, C67/'Course_Config'!B8, 0)</f>
        <v/>
      </c>
      <c r="E67" s="5">
        <f>IF(D67&lt;0.05,"–", IF(D67&lt;=0.15,1, IF(D67&lt;=0.25,2,3)))</f>
        <v/>
      </c>
    </row>
    <row r="68">
      <c r="A68" s="2" t="inlineStr">
        <is>
          <t>CO6</t>
        </is>
      </c>
      <c r="B68" s="2" t="inlineStr">
        <is>
          <t>PO7</t>
        </is>
      </c>
      <c r="C68" s="2">
        <f>'CO_PO_Input'!H7</f>
        <v/>
      </c>
      <c r="D68" s="3">
        <f>IF('Course_Config'!B8&gt;0, C68/'Course_Config'!B8, 0)</f>
        <v/>
      </c>
      <c r="E68" s="5">
        <f>IF(D68&lt;0.05,"–", IF(D68&lt;=0.15,1, IF(D68&lt;=0.25,2,3)))</f>
        <v/>
      </c>
    </row>
    <row r="69">
      <c r="A69" s="2" t="inlineStr">
        <is>
          <t>CO6</t>
        </is>
      </c>
      <c r="B69" s="2" t="inlineStr">
        <is>
          <t>PO8</t>
        </is>
      </c>
      <c r="C69" s="2">
        <f>'CO_PO_Input'!I7</f>
        <v/>
      </c>
      <c r="D69" s="3">
        <f>IF('Course_Config'!B8&gt;0, C69/'Course_Config'!B8, 0)</f>
        <v/>
      </c>
      <c r="E69" s="5">
        <f>IF(D69&lt;0.05,"–", IF(D69&lt;=0.15,1, IF(D69&lt;=0.25,2,3)))</f>
        <v/>
      </c>
    </row>
    <row r="70">
      <c r="A70" s="2" t="inlineStr">
        <is>
          <t>CO6</t>
        </is>
      </c>
      <c r="B70" s="2" t="inlineStr">
        <is>
          <t>PO9</t>
        </is>
      </c>
      <c r="C70" s="2">
        <f>'CO_PO_Input'!J7</f>
        <v/>
      </c>
      <c r="D70" s="3">
        <f>IF('Course_Config'!B8&gt;0, C70/'Course_Config'!B8, 0)</f>
        <v/>
      </c>
      <c r="E70" s="5">
        <f>IF(D70&lt;0.05,"–", IF(D70&lt;=0.15,1, IF(D70&lt;=0.25,2,3)))</f>
        <v/>
      </c>
    </row>
    <row r="71">
      <c r="A71" s="2" t="inlineStr">
        <is>
          <t>CO6</t>
        </is>
      </c>
      <c r="B71" s="2" t="inlineStr">
        <is>
          <t>PO10</t>
        </is>
      </c>
      <c r="C71" s="2">
        <f>'CO_PO_Input'!K7</f>
        <v/>
      </c>
      <c r="D71" s="3">
        <f>IF('Course_Config'!B8&gt;0, C71/'Course_Config'!B8, 0)</f>
        <v/>
      </c>
      <c r="E71" s="5">
        <f>IF(D71&lt;0.05,"–", IF(D71&lt;=0.15,1, IF(D71&lt;=0.25,2,3)))</f>
        <v/>
      </c>
    </row>
    <row r="72">
      <c r="A72" s="2" t="inlineStr">
        <is>
          <t>CO6</t>
        </is>
      </c>
      <c r="B72" s="2" t="inlineStr">
        <is>
          <t>PO11</t>
        </is>
      </c>
      <c r="C72" s="2">
        <f>'CO_PO_Input'!L7</f>
        <v/>
      </c>
      <c r="D72" s="3">
        <f>IF('Course_Config'!B8&gt;0, C72/'Course_Config'!B8, 0)</f>
        <v/>
      </c>
      <c r="E72" s="5">
        <f>IF(D72&lt;0.05,"–", IF(D72&lt;=0.15,1, IF(D72&lt;=0.25,2,3)))</f>
        <v/>
      </c>
    </row>
    <row r="73">
      <c r="A73" s="2" t="inlineStr">
        <is>
          <t>CO6</t>
        </is>
      </c>
      <c r="B73" s="2" t="inlineStr">
        <is>
          <t>PO12</t>
        </is>
      </c>
      <c r="C73" s="2">
        <f>'CO_PO_Input'!M7</f>
        <v/>
      </c>
      <c r="D73" s="3">
        <f>IF('Course_Config'!B8&gt;0, C73/'Course_Config'!B8, 0)</f>
        <v/>
      </c>
      <c r="E73" s="5">
        <f>IF(D73&lt;0.05,"–", IF(D73&lt;=0.15,1, IF(D73&lt;=0.25,2,3)))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/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  <c r="N1" s="2" t="n"/>
    </row>
    <row r="2">
      <c r="A2" s="2" t="inlineStr">
        <is>
          <t>CO1</t>
        </is>
      </c>
      <c r="B2" s="2">
        <f>INDEX('CO_PO_Mapping'!E:E,2)</f>
        <v/>
      </c>
      <c r="C2" s="2">
        <f>INDEX('CO_PO_Mapping'!E:E,3)</f>
        <v/>
      </c>
      <c r="D2" s="2">
        <f>INDEX('CO_PO_Mapping'!E:E,4)</f>
        <v/>
      </c>
      <c r="E2" s="2">
        <f>INDEX('CO_PO_Mapping'!E:E,5)</f>
        <v/>
      </c>
      <c r="F2" s="2">
        <f>INDEX('CO_PO_Mapping'!E:E,6)</f>
        <v/>
      </c>
      <c r="G2" s="2">
        <f>INDEX('CO_PO_Mapping'!E:E,7)</f>
        <v/>
      </c>
      <c r="H2" s="2">
        <f>INDEX('CO_PO_Mapping'!E:E,8)</f>
        <v/>
      </c>
      <c r="I2" s="2">
        <f>INDEX('CO_PO_Mapping'!E:E,9)</f>
        <v/>
      </c>
      <c r="J2" s="2">
        <f>INDEX('CO_PO_Mapping'!E:E,10)</f>
        <v/>
      </c>
      <c r="K2" s="2">
        <f>INDEX('CO_PO_Mapping'!E:E,11)</f>
        <v/>
      </c>
      <c r="L2" s="2">
        <f>INDEX('CO_PO_Mapping'!E:E,12)</f>
        <v/>
      </c>
      <c r="M2" s="2">
        <f>INDEX('CO_PO_Mapping'!E:E,13)</f>
        <v/>
      </c>
      <c r="N2" s="2" t="n"/>
    </row>
    <row r="3">
      <c r="A3" s="2" t="inlineStr">
        <is>
          <t>CO2</t>
        </is>
      </c>
      <c r="B3" s="2">
        <f>INDEX('CO_PO_Mapping'!E:E,14)</f>
        <v/>
      </c>
      <c r="C3" s="2">
        <f>INDEX('CO_PO_Mapping'!E:E,15)</f>
        <v/>
      </c>
      <c r="D3" s="2">
        <f>INDEX('CO_PO_Mapping'!E:E,16)</f>
        <v/>
      </c>
      <c r="E3" s="2">
        <f>INDEX('CO_PO_Mapping'!E:E,17)</f>
        <v/>
      </c>
      <c r="F3" s="2">
        <f>INDEX('CO_PO_Mapping'!E:E,18)</f>
        <v/>
      </c>
      <c r="G3" s="2">
        <f>INDEX('CO_PO_Mapping'!E:E,19)</f>
        <v/>
      </c>
      <c r="H3" s="2">
        <f>INDEX('CO_PO_Mapping'!E:E,20)</f>
        <v/>
      </c>
      <c r="I3" s="2">
        <f>INDEX('CO_PO_Mapping'!E:E,21)</f>
        <v/>
      </c>
      <c r="J3" s="2">
        <f>INDEX('CO_PO_Mapping'!E:E,22)</f>
        <v/>
      </c>
      <c r="K3" s="2">
        <f>INDEX('CO_PO_Mapping'!E:E,23)</f>
        <v/>
      </c>
      <c r="L3" s="2">
        <f>INDEX('CO_PO_Mapping'!E:E,24)</f>
        <v/>
      </c>
      <c r="M3" s="2">
        <f>INDEX('CO_PO_Mapping'!E:E,25)</f>
        <v/>
      </c>
      <c r="N3" s="2" t="n"/>
    </row>
    <row r="4">
      <c r="A4" s="2" t="inlineStr">
        <is>
          <t>CO3</t>
        </is>
      </c>
      <c r="B4" s="2">
        <f>INDEX('CO_PO_Mapping'!E:E,26)</f>
        <v/>
      </c>
      <c r="C4" s="2">
        <f>INDEX('CO_PO_Mapping'!E:E,27)</f>
        <v/>
      </c>
      <c r="D4" s="2">
        <f>INDEX('CO_PO_Mapping'!E:E,28)</f>
        <v/>
      </c>
      <c r="E4" s="2">
        <f>INDEX('CO_PO_Mapping'!E:E,29)</f>
        <v/>
      </c>
      <c r="F4" s="2">
        <f>INDEX('CO_PO_Mapping'!E:E,30)</f>
        <v/>
      </c>
      <c r="G4" s="2">
        <f>INDEX('CO_PO_Mapping'!E:E,31)</f>
        <v/>
      </c>
      <c r="H4" s="2">
        <f>INDEX('CO_PO_Mapping'!E:E,32)</f>
        <v/>
      </c>
      <c r="I4" s="2">
        <f>INDEX('CO_PO_Mapping'!E:E,33)</f>
        <v/>
      </c>
      <c r="J4" s="2">
        <f>INDEX('CO_PO_Mapping'!E:E,34)</f>
        <v/>
      </c>
      <c r="K4" s="2">
        <f>INDEX('CO_PO_Mapping'!E:E,35)</f>
        <v/>
      </c>
      <c r="L4" s="2">
        <f>INDEX('CO_PO_Mapping'!E:E,36)</f>
        <v/>
      </c>
      <c r="M4" s="2">
        <f>INDEX('CO_PO_Mapping'!E:E,37)</f>
        <v/>
      </c>
      <c r="N4" s="2" t="n"/>
    </row>
    <row r="5">
      <c r="A5" s="2" t="inlineStr">
        <is>
          <t>CO4</t>
        </is>
      </c>
      <c r="B5" s="2">
        <f>INDEX('CO_PO_Mapping'!E:E,38)</f>
        <v/>
      </c>
      <c r="C5" s="2">
        <f>INDEX('CO_PO_Mapping'!E:E,39)</f>
        <v/>
      </c>
      <c r="D5" s="2">
        <f>INDEX('CO_PO_Mapping'!E:E,40)</f>
        <v/>
      </c>
      <c r="E5" s="2">
        <f>INDEX('CO_PO_Mapping'!E:E,41)</f>
        <v/>
      </c>
      <c r="F5" s="2">
        <f>INDEX('CO_PO_Mapping'!E:E,42)</f>
        <v/>
      </c>
      <c r="G5" s="2">
        <f>INDEX('CO_PO_Mapping'!E:E,43)</f>
        <v/>
      </c>
      <c r="H5" s="2">
        <f>INDEX('CO_PO_Mapping'!E:E,44)</f>
        <v/>
      </c>
      <c r="I5" s="2">
        <f>INDEX('CO_PO_Mapping'!E:E,45)</f>
        <v/>
      </c>
      <c r="J5" s="2">
        <f>INDEX('CO_PO_Mapping'!E:E,46)</f>
        <v/>
      </c>
      <c r="K5" s="2">
        <f>INDEX('CO_PO_Mapping'!E:E,47)</f>
        <v/>
      </c>
      <c r="L5" s="2">
        <f>INDEX('CO_PO_Mapping'!E:E,48)</f>
        <v/>
      </c>
      <c r="M5" s="2">
        <f>INDEX('CO_PO_Mapping'!E:E,49)</f>
        <v/>
      </c>
      <c r="N5" s="2" t="n"/>
    </row>
    <row r="6">
      <c r="A6" s="2" t="inlineStr">
        <is>
          <t>CO5</t>
        </is>
      </c>
      <c r="B6" s="2">
        <f>INDEX('CO_PO_Mapping'!E:E,50)</f>
        <v/>
      </c>
      <c r="C6" s="2">
        <f>INDEX('CO_PO_Mapping'!E:E,51)</f>
        <v/>
      </c>
      <c r="D6" s="2">
        <f>INDEX('CO_PO_Mapping'!E:E,52)</f>
        <v/>
      </c>
      <c r="E6" s="2">
        <f>INDEX('CO_PO_Mapping'!E:E,53)</f>
        <v/>
      </c>
      <c r="F6" s="2">
        <f>INDEX('CO_PO_Mapping'!E:E,54)</f>
        <v/>
      </c>
      <c r="G6" s="2">
        <f>INDEX('CO_PO_Mapping'!E:E,55)</f>
        <v/>
      </c>
      <c r="H6" s="2">
        <f>INDEX('CO_PO_Mapping'!E:E,56)</f>
        <v/>
      </c>
      <c r="I6" s="2">
        <f>INDEX('CO_PO_Mapping'!E:E,57)</f>
        <v/>
      </c>
      <c r="J6" s="2">
        <f>INDEX('CO_PO_Mapping'!E:E,58)</f>
        <v/>
      </c>
      <c r="K6" s="2">
        <f>INDEX('CO_PO_Mapping'!E:E,59)</f>
        <v/>
      </c>
      <c r="L6" s="2">
        <f>INDEX('CO_PO_Mapping'!E:E,60)</f>
        <v/>
      </c>
      <c r="M6" s="2">
        <f>INDEX('CO_PO_Mapping'!E:E,61)</f>
        <v/>
      </c>
      <c r="N6" s="2" t="n"/>
    </row>
    <row r="7">
      <c r="A7" s="2" t="inlineStr">
        <is>
          <t>CO6</t>
        </is>
      </c>
      <c r="B7" s="2">
        <f>INDEX('CO_PO_Mapping'!E:E,62)</f>
        <v/>
      </c>
      <c r="C7" s="2">
        <f>INDEX('CO_PO_Mapping'!E:E,63)</f>
        <v/>
      </c>
      <c r="D7" s="2">
        <f>INDEX('CO_PO_Mapping'!E:E,64)</f>
        <v/>
      </c>
      <c r="E7" s="2">
        <f>INDEX('CO_PO_Mapping'!E:E,65)</f>
        <v/>
      </c>
      <c r="F7" s="2">
        <f>INDEX('CO_PO_Mapping'!E:E,66)</f>
        <v/>
      </c>
      <c r="G7" s="2">
        <f>INDEX('CO_PO_Mapping'!E:E,67)</f>
        <v/>
      </c>
      <c r="H7" s="2">
        <f>INDEX('CO_PO_Mapping'!E:E,68)</f>
        <v/>
      </c>
      <c r="I7" s="2">
        <f>INDEX('CO_PO_Mapping'!E:E,69)</f>
        <v/>
      </c>
      <c r="J7" s="2">
        <f>INDEX('CO_PO_Mapping'!E:E,70)</f>
        <v/>
      </c>
      <c r="K7" s="2">
        <f>INDEX('CO_PO_Mapping'!E:E,71)</f>
        <v/>
      </c>
      <c r="L7" s="2">
        <f>INDEX('CO_PO_Mapping'!E:E,72)</f>
        <v/>
      </c>
      <c r="M7" s="2">
        <f>INDEX('CO_PO_Mapping'!E:E,73)</f>
        <v/>
      </c>
      <c r="N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to use</t>
        </is>
      </c>
    </row>
    <row r="2">
      <c r="A2" s="6" t="inlineStr">
        <is>
          <t>1) Go to Course_Config and set Weeks and L/T/P/S hours per week.</t>
        </is>
      </c>
    </row>
    <row r="3">
      <c r="A3" s="6" t="inlineStr">
        <is>
          <t>2) (Optional) In CO_Definition, apportion L/T/P/S hours that directly support each CO. This is for your internal tracking.</t>
        </is>
      </c>
    </row>
    <row r="4">
      <c r="A4" s="6" t="inlineStr">
        <is>
          <t>3) In CO_PO_Input, for each CO–PO pair, enter the number of hours that contribute to that PO (subset of total course hours).</t>
        </is>
      </c>
    </row>
    <row r="5">
      <c r="A5" s="6" t="inlineStr">
        <is>
          <t>4) CO_PO_Mapping will auto-calc the percentage of total and map it to –/1/2/3 using thresholds.</t>
        </is>
      </c>
    </row>
    <row r="6">
      <c r="A6" s="6" t="inlineStr">
        <is>
          <t>5) Summary_Matrix shows the articulation matrix (CO rows × PO columns) using the calculated mapping values.</t>
        </is>
      </c>
    </row>
    <row r="7">
      <c r="A7" s="6" t="inlineStr"/>
    </row>
    <row r="8">
      <c r="A8" s="6" t="inlineStr">
        <is>
          <t>Thresholds used</t>
        </is>
      </c>
    </row>
    <row r="9">
      <c r="A9" s="6" t="inlineStr">
        <is>
          <t>– : &lt; 5% | 1 : 5%–15% | 2 : 15%–25% | 3 : &gt; 25%</t>
        </is>
      </c>
    </row>
    <row r="10">
      <c r="A10" s="6" t="inlineStr"/>
    </row>
    <row r="11">
      <c r="A11" s="6" t="inlineStr">
        <is>
          <t>Notes</t>
        </is>
      </c>
    </row>
    <row r="12">
      <c r="A12" s="6" t="inlineStr">
        <is>
          <t>• If your institution counts S (Skilling) hours separately, set S_per_week accordingly in Course_Config.</t>
        </is>
      </c>
    </row>
    <row r="13">
      <c r="A13" s="6" t="inlineStr">
        <is>
          <t>• You can expand COs by inserting rows in CO_Definition and CO_PO_Input and dragging formulas down in dependent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2025-09-01T02:02:28Z</dcterms:created>
  <dcterms:modified xmlns:dcterms="http://purl.org/dc/terms/" xmlns:xsi="http://www.w3.org/2001/XMLSchema-instance" xsi:type="dcterms:W3CDTF">2025-09-01T02:02:28Z</dcterms:modified>
</cp:coreProperties>
</file>