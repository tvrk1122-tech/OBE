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Summary Dashboard" sheetId="1" r:id="rId1"/>
    <sheet name="CS301" sheetId="2" r:id="rId2"/>
    <sheet name="CS302" sheetId="3" r:id="rId3"/>
    <sheet name="CS303" sheetId="4" r:id="rId4"/>
    <sheet name="CS304" sheetId="5" r:id="rId5"/>
    <sheet name="CS305" sheetId="6" r:id="rId6"/>
    <sheet name="CO Comparis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<sst xmlns="http://schemas.openxmlformats.org/spreadsheetml/2006/main" count="667" uniqueCount="105">
  <si>
    <t>CO ATTAINMENT REPORT — SUMMARY DASHBOARD</t>
  </si>
  <si>
    <t>All values auto-calculated from course sheets. Enter marks in individual course sheets to update this dashboard.</t>
  </si>
  <si>
    <t>LEGEND →</t>
  </si>
  <si>
    <t>≥60% → HIGH (Level 3)</t>
  </si>
  <si>
    <t>40–59% → MEDIUM (Level 2)</t>
  </si>
  <si>
    <t>&lt;40% → LOW (Level 1)</t>
  </si>
  <si>
    <t>#</t>
  </si>
  <si>
    <t>Course Name</t>
  </si>
  <si>
    <t>Code</t>
  </si>
  <si>
    <t>CO1</t>
  </si>
  <si>
    <t>CO2</t>
  </si>
  <si>
    <t>CO3</t>
  </si>
  <si>
    <t>CO4</t>
  </si>
  <si>
    <t>CO5</t>
  </si>
  <si>
    <t>CO6</t>
  </si>
  <si>
    <t>CIE %</t>
  </si>
  <si>
    <t>SEE %</t>
  </si>
  <si>
    <t>Overall %</t>
  </si>
  <si>
    <t>Target</t>
  </si>
  <si>
    <t>Gap</t>
  </si>
  <si>
    <t>Status</t>
  </si>
  <si>
    <t>Level</t>
  </si>
  <si>
    <t>Data Structures &amp; Algorithms</t>
  </si>
  <si>
    <t>CS301</t>
  </si>
  <si>
    <t>—</t>
  </si>
  <si>
    <t>Database Management Systems</t>
  </si>
  <si>
    <t>CS302</t>
  </si>
  <si>
    <t>Computer Networks</t>
  </si>
  <si>
    <t>CS303</t>
  </si>
  <si>
    <t>Operating Systems</t>
  </si>
  <si>
    <t>CS304</t>
  </si>
  <si>
    <t>Machine Learning</t>
  </si>
  <si>
    <t>CS305</t>
  </si>
  <si>
    <t>DEPT AVERAGE</t>
  </si>
  <si>
    <t>📌 HOW TO USE: Open any course sheet (CS301–CS305) → enter student marks in the yellow cells → CIE, SEE, Total, CO Attainment %, Levels all recalculate automatically → This dashboard and CO Comparison sheet update instantly.</t>
  </si>
  <si>
    <t>CO ATTAINMENT SHEET — Data Structures &amp; Algorithms (CS301)</t>
  </si>
  <si>
    <t>CIE = Mid-1(30M) + Mid-2(30M) averaged to 30M + Assignment(10M) + Quiz(10M) = 50M  |  SEE = 100M scaled to 50M  |  Total = 100M</t>
  </si>
  <si>
    <t>Student Info</t>
  </si>
  <si>
    <t>MID-1  (Max=30M)</t>
  </si>
  <si>
    <t>MID-2  (Max=30M)</t>
  </si>
  <si>
    <t>ASSIGNMENT  (Max=10M)</t>
  </si>
  <si>
    <t>QUIZ  (Max=10M)</t>
  </si>
  <si>
    <t>SEE  (Max=100M)</t>
  </si>
  <si>
    <t>CIE
(50M)</t>
  </si>
  <si>
    <t>SEE
(50M)</t>
  </si>
  <si>
    <t>TOTAL
(100M)</t>
  </si>
  <si>
    <t>S.No</t>
  </si>
  <si>
    <t>Reg No</t>
  </si>
  <si>
    <t>Student Name</t>
  </si>
  <si>
    <t>Formula</t>
  </si>
  <si>
    <t>MAX MARKS (Edit here)</t>
  </si>
  <si>
    <t>↓ Enter student marks below ↓</t>
  </si>
  <si>
    <t/>
  </si>
  <si>
    <t>S001</t>
  </si>
  <si>
    <t>Aarav Sharma</t>
  </si>
  <si>
    <t>S002</t>
  </si>
  <si>
    <t>Priya Patel</t>
  </si>
  <si>
    <t>S003</t>
  </si>
  <si>
    <t>Rohan Mehta</t>
  </si>
  <si>
    <t>S004</t>
  </si>
  <si>
    <t>Sneha Reddy</t>
  </si>
  <si>
    <t>S005</t>
  </si>
  <si>
    <t>Vikram Singh</t>
  </si>
  <si>
    <t>S006</t>
  </si>
  <si>
    <t>Anjali Nair</t>
  </si>
  <si>
    <t>S007</t>
  </si>
  <si>
    <t>Kiran Kumar</t>
  </si>
  <si>
    <t>S008</t>
  </si>
  <si>
    <t>Divya Rao</t>
  </si>
  <si>
    <t>S009</t>
  </si>
  <si>
    <t>Arjun Gupta</t>
  </si>
  <si>
    <t>S010</t>
  </si>
  <si>
    <t>Pooja Iyer</t>
  </si>
  <si>
    <t>S011</t>
  </si>
  <si>
    <t>Rahul Verma</t>
  </si>
  <si>
    <t>S012</t>
  </si>
  <si>
    <t>Meera Joshi</t>
  </si>
  <si>
    <t>S013</t>
  </si>
  <si>
    <t>Suresh Pillai</t>
  </si>
  <si>
    <t>S014</t>
  </si>
  <si>
    <t>Kavya Menon</t>
  </si>
  <si>
    <t>S015</t>
  </si>
  <si>
    <t>Aditya Bhat</t>
  </si>
  <si>
    <t>S016</t>
  </si>
  <si>
    <t>Lakshmi Das</t>
  </si>
  <si>
    <t>S017</t>
  </si>
  <si>
    <t>Nikhil Tiwari</t>
  </si>
  <si>
    <t>S018</t>
  </si>
  <si>
    <t>Riya Shah</t>
  </si>
  <si>
    <t>S019</t>
  </si>
  <si>
    <t>Manish Yadav</t>
  </si>
  <si>
    <t>S020</t>
  </si>
  <si>
    <t>Deepa Nambiar</t>
  </si>
  <si>
    <t>CLASS AVERAGE</t>
  </si>
  <si>
    <t>CO ATTAINMENT %
(Overall)</t>
  </si>
  <si>
    <t>CO ATTAINMENT LEVEL
(3=High≥60%, 2=Med≥40%, 1=Low)</t>
  </si>
  <si>
    <t>CIE CO ATT %
(Mid-1+Mid-2+Asgn+Quiz)</t>
  </si>
  <si>
    <t>SEE CO ATT %
(End Sem Exam)</t>
  </si>
  <si>
    <t>Overall CIE% | SEE% | Total%</t>
  </si>
  <si>
    <t>CO ATTAINMENT SHEET — Database Management Systems (CS302)</t>
  </si>
  <si>
    <t>CO ATTAINMENT SHEET — Computer Networks (CS303)</t>
  </si>
  <si>
    <t>CO ATTAINMENT SHEET — Operating Systems (CS304)</t>
  </si>
  <si>
    <t>CO ATTAINMENT SHEET — Machine Learning (CS305)</t>
  </si>
  <si>
    <t>CO ATTAINMENT COMPARISON — ALL COURSES  (Auto-linked from Course Sheets)</t>
  </si>
  <si>
    <t>All values are live Excel formulas — update marks in course sheets and this table recalculates automatically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</si>
</sst>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0.0"/>
    <numFmt numFmtId="182" formatCode="\+0.0%;\-0.0%"/>
  </numFmts>
  <fonts count="44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i/>
      <sz val="9"/>
      <color rgb="FFFFFFFF"/>
      <name val="Arial"/>
      <charset val="134"/>
    </font>
    <font>
      <b/>
      <sz val="10"/>
      <color rgb="FFFFFFFF"/>
      <name val="Arial"/>
      <charset val="134"/>
    </font>
    <font>
      <sz val="9"/>
      <color rgb="FF404040"/>
      <name val="Arial"/>
      <charset val="134"/>
    </font>
    <font>
      <b/>
      <sz val="10"/>
      <color rgb="FF404040"/>
      <name val="Arial"/>
      <charset val="134"/>
    </font>
    <font>
      <sz val="9"/>
      <color rgb="FFAAAAAA"/>
      <name val="Arial"/>
      <charset val="134"/>
    </font>
    <font>
      <b/>
      <sz val="10"/>
      <color rgb="FF1F3864"/>
      <name val="Arial"/>
      <charset val="134"/>
    </font>
    <font>
      <b/>
      <sz val="12"/>
      <color rgb="FFFFFFFF"/>
      <name val="Arial"/>
      <charset val="134"/>
    </font>
    <font>
      <i/>
      <sz val="8"/>
      <color rgb="FFFFFFFF"/>
      <name val="Arial"/>
      <charset val="134"/>
    </font>
    <font>
      <b/>
      <sz val="9"/>
      <color rgb="FFFFFFFF"/>
      <name val="Arial"/>
      <charset val="134"/>
    </font>
    <font>
      <b/>
      <sz val="9"/>
      <color rgb="FF404040"/>
      <name val="Arial"/>
      <charset val="134"/>
    </font>
    <font>
      <b/>
      <sz val="8"/>
      <color rgb="FF375623"/>
      <name val="Arial"/>
      <charset val="134"/>
    </font>
    <font>
      <b/>
      <sz val="8"/>
      <color rgb="FF2E75B6"/>
      <name val="Arial"/>
      <charset val="134"/>
    </font>
    <font>
      <b/>
      <sz val="8"/>
      <color rgb="FF1F3864"/>
      <name val="Arial"/>
      <charset val="134"/>
    </font>
    <font>
      <b/>
      <sz val="9"/>
      <color rgb="FFC00000"/>
      <name val="Arial"/>
      <charset val="134"/>
    </font>
    <font>
      <b/>
      <sz val="9"/>
      <color rgb="FF375623"/>
      <name val="Arial"/>
      <charset val="134"/>
    </font>
    <font>
      <b/>
      <sz val="9"/>
      <color rgb="FF2E75B6"/>
      <name val="Arial"/>
      <charset val="134"/>
    </font>
    <font>
      <b/>
      <sz val="9"/>
      <color rgb="FF1F3864"/>
      <name val="Arial"/>
      <charset val="134"/>
    </font>
    <font>
      <i/>
      <sz val="8"/>
      <color rgb="FF888888"/>
      <name val="Arial"/>
      <charset val="134"/>
    </font>
    <font>
      <b/>
      <sz val="11"/>
      <color rgb="FFFFFFFF"/>
      <name val="Arial"/>
      <charset val="134"/>
    </font>
    <font>
      <b/>
      <sz val="16"/>
      <color rgb="FFFFFFFF"/>
      <name val="Arial"/>
      <charset val="134"/>
    </font>
    <font>
      <i/>
      <sz val="10"/>
      <color rgb="FFFFFFFF"/>
      <name val="Arial"/>
      <charset val="134"/>
    </font>
    <font>
      <i/>
      <sz val="8"/>
      <color rgb="FF44444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8" borderId="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9" borderId="10" applyNumberFormat="0" applyAlignment="0" applyProtection="0">
      <alignment vertical="center"/>
    </xf>
    <xf numFmtId="0" fontId="34" fillId="20" borderId="11" applyNumberFormat="0" applyAlignment="0" applyProtection="0">
      <alignment vertical="center"/>
    </xf>
    <xf numFmtId="0" fontId="35" fillId="20" borderId="10" applyNumberFormat="0" applyAlignment="0" applyProtection="0">
      <alignment vertical="center"/>
    </xf>
    <xf numFmtId="0" fontId="36" fillId="21" borderId="12" applyNumberFormat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180" fontId="5" fillId="6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180" fontId="7" fillId="7" borderId="4" xfId="0" applyNumberFormat="1" applyFont="1" applyFill="1" applyBorder="1" applyAlignment="1">
      <alignment horizontal="center" vertical="center"/>
    </xf>
    <xf numFmtId="180" fontId="7" fillId="8" borderId="4" xfId="0" applyNumberFormat="1" applyFont="1" applyFill="1" applyBorder="1" applyAlignment="1">
      <alignment horizontal="center" vertical="center"/>
    </xf>
    <xf numFmtId="180" fontId="7" fillId="9" borderId="4" xfId="0" applyNumberFormat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180" fontId="3" fillId="2" borderId="3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2" fontId="11" fillId="9" borderId="1" xfId="0" applyNumberFormat="1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1" fontId="17" fillId="8" borderId="1" xfId="0" applyNumberFormat="1" applyFont="1" applyFill="1" applyBorder="1" applyAlignment="1">
      <alignment horizontal="center" vertical="center"/>
    </xf>
    <xf numFmtId="1" fontId="18" fillId="9" borderId="1" xfId="0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181" fontId="4" fillId="6" borderId="4" xfId="0" applyNumberFormat="1" applyFont="1" applyFill="1" applyBorder="1" applyAlignment="1">
      <alignment horizontal="center" vertical="center"/>
    </xf>
    <xf numFmtId="181" fontId="11" fillId="7" borderId="4" xfId="0" applyNumberFormat="1" applyFont="1" applyFill="1" applyBorder="1" applyAlignment="1">
      <alignment horizontal="center" vertical="center"/>
    </xf>
    <xf numFmtId="181" fontId="11" fillId="8" borderId="4" xfId="0" applyNumberFormat="1" applyFont="1" applyFill="1" applyBorder="1" applyAlignment="1">
      <alignment horizontal="center" vertical="center"/>
    </xf>
    <xf numFmtId="181" fontId="11" fillId="9" borderId="4" xfId="0" applyNumberFormat="1" applyFont="1" applyFill="1" applyBorder="1" applyAlignment="1">
      <alignment horizontal="center" vertical="center"/>
    </xf>
    <xf numFmtId="181" fontId="4" fillId="10" borderId="4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180" fontId="7" fillId="9" borderId="1" xfId="0" applyNumberFormat="1" applyFont="1" applyFill="1" applyBorder="1" applyAlignment="1">
      <alignment horizontal="center" vertical="center"/>
    </xf>
    <xf numFmtId="1" fontId="20" fillId="12" borderId="1" xfId="0" applyNumberFormat="1" applyFont="1" applyFill="1" applyBorder="1" applyAlignment="1">
      <alignment horizontal="center" vertical="center"/>
    </xf>
    <xf numFmtId="180" fontId="11" fillId="7" borderId="1" xfId="0" applyNumberFormat="1" applyFont="1" applyFill="1" applyBorder="1" applyAlignment="1">
      <alignment horizontal="center" vertical="center"/>
    </xf>
    <xf numFmtId="180" fontId="11" fillId="8" borderId="1" xfId="0" applyNumberFormat="1" applyFont="1" applyFill="1" applyBorder="1" applyAlignment="1">
      <alignment horizontal="center" vertical="center"/>
    </xf>
    <xf numFmtId="180" fontId="7" fillId="7" borderId="1" xfId="0" applyNumberFormat="1" applyFont="1" applyFill="1" applyBorder="1" applyAlignment="1">
      <alignment horizontal="center" vertical="center"/>
    </xf>
    <xf numFmtId="180" fontId="7" fillId="8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180" fontId="11" fillId="6" borderId="4" xfId="0" applyNumberFormat="1" applyFont="1" applyFill="1" applyBorder="1" applyAlignment="1">
      <alignment horizontal="center" vertical="center"/>
    </xf>
    <xf numFmtId="180" fontId="11" fillId="7" borderId="4" xfId="0" applyNumberFormat="1" applyFont="1" applyFill="1" applyBorder="1" applyAlignment="1">
      <alignment horizontal="center" vertical="center"/>
    </xf>
    <xf numFmtId="180" fontId="11" fillId="8" borderId="4" xfId="0" applyNumberFormat="1" applyFont="1" applyFill="1" applyBorder="1" applyAlignment="1">
      <alignment horizontal="center" vertical="center"/>
    </xf>
    <xf numFmtId="180" fontId="11" fillId="9" borderId="4" xfId="0" applyNumberFormat="1" applyFont="1" applyFill="1" applyBorder="1" applyAlignment="1">
      <alignment horizontal="center" vertical="center"/>
    </xf>
    <xf numFmtId="9" fontId="11" fillId="15" borderId="4" xfId="0" applyNumberFormat="1" applyFont="1" applyFill="1" applyBorder="1" applyAlignment="1">
      <alignment horizontal="center" vertical="center"/>
    </xf>
    <xf numFmtId="182" fontId="11" fillId="6" borderId="4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" fontId="20" fillId="12" borderId="4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workbookViewId="0">
      <pane xSplit="3" ySplit="6" topLeftCell="D7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4"/>
  <cols>
    <col min="1" max="1" width="5" customWidth="1"/>
    <col min="2" max="2" width="30" customWidth="1"/>
    <col min="3" max="3" width="8" customWidth="1"/>
    <col min="4" max="12" width="9" customWidth="1"/>
    <col min="13" max="13" width="8" customWidth="1"/>
    <col min="14" max="14" width="9" customWidth="1"/>
    <col min="15" max="15" width="12" customWidth="1"/>
    <col min="16" max="16" width="8" customWidth="1"/>
  </cols>
  <sheetData>
    <row r="1" ht="40" customHeight="1" spans="1:16">
      <c r="A1" s="60" t="s">
        <v>0</v>
      </c>
    </row>
    <row r="2" ht="22" customHeight="1" spans="1:16">
      <c r="A2" s="61" t="s">
        <v>1</v>
      </c>
    </row>
    <row r="3" ht="8" customHeight="1"/>
    <row r="4" ht="20" customHeight="1" spans="1:16">
      <c r="A4" s="62" t="s">
        <v>2</v>
      </c>
      <c r="D4" s="34" t="s">
        <v>3</v>
      </c>
      <c r="E4" s="63" t="s">
        <v>4</v>
      </c>
      <c r="F4" s="35" t="s">
        <v>5</v>
      </c>
    </row>
    <row r="5" ht="15.15"/>
    <row r="6" ht="30" customHeight="1" spans="1:16">
      <c r="A6" s="64" t="s">
        <v>6</v>
      </c>
      <c r="B6" s="65" t="s">
        <v>7</v>
      </c>
      <c r="C6" s="65" t="s">
        <v>8</v>
      </c>
      <c r="D6" s="66" t="s">
        <v>9</v>
      </c>
      <c r="E6" s="66" t="s">
        <v>10</v>
      </c>
      <c r="F6" s="66" t="s">
        <v>11</v>
      </c>
      <c r="G6" s="66" t="s">
        <v>12</v>
      </c>
      <c r="H6" s="66" t="s">
        <v>13</v>
      </c>
      <c r="I6" s="66" t="s">
        <v>14</v>
      </c>
      <c r="J6" s="67" t="s">
        <v>15</v>
      </c>
      <c r="K6" s="66" t="s">
        <v>16</v>
      </c>
      <c r="L6" s="68" t="s">
        <v>17</v>
      </c>
      <c r="M6" s="69" t="s">
        <v>18</v>
      </c>
      <c r="N6" s="70" t="s">
        <v>19</v>
      </c>
      <c r="O6" s="65" t="s">
        <v>20</v>
      </c>
      <c r="P6" s="71" t="s">
        <v>21</v>
      </c>
    </row>
    <row r="7" ht="22" customHeight="1" spans="1:16">
      <c r="A7" s="8">
        <v>1</v>
      </c>
      <c r="B7" s="9" t="s">
        <v>22</v>
      </c>
      <c r="C7" s="8" t="s">
        <v>23</v>
      </c>
      <c r="D7" s="72">
        <f>CS301!D31</f>
        <v>0.7661</v>
      </c>
      <c r="E7" s="72">
        <f>CS301!E31</f>
        <v>0.735566666666667</v>
      </c>
      <c r="F7" s="72">
        <f>CS301!F31</f>
        <v>0.746133333333333</v>
      </c>
      <c r="G7" s="72">
        <f>CS301!G31</f>
        <v>0.757566666666667</v>
      </c>
      <c r="H7" s="72">
        <f>CS301!H31</f>
        <v>0.745166666666667</v>
      </c>
      <c r="I7" s="11" t="s">
        <v>24</v>
      </c>
      <c r="J7" s="73">
        <f>CS301!D36</f>
        <v>0.744583333333333</v>
      </c>
      <c r="K7" s="74">
        <f>CS301!E36</f>
        <v>0.7722</v>
      </c>
      <c r="L7" s="75">
        <f>CS301!F36</f>
        <v>0.750106666666667</v>
      </c>
      <c r="M7" s="76">
        <v>0.6</v>
      </c>
      <c r="N7" s="77">
        <f>L7-M7</f>
        <v>0.150106666666667</v>
      </c>
      <c r="O7" s="78" t="str">
        <f>IF(L7&gt;=M7,"✔ Met","✘ Not Met")</f>
        <v>✔ Met</v>
      </c>
      <c r="P7" s="79">
        <f>IF(L7&gt;=0.6,3,IF(L7&gt;=0.4,2,1))</f>
        <v>3</v>
      </c>
    </row>
    <row r="8" ht="22" customHeight="1" spans="1:16">
      <c r="A8" s="15">
        <v>2</v>
      </c>
      <c r="B8" s="16" t="s">
        <v>25</v>
      </c>
      <c r="C8" s="15" t="s">
        <v>26</v>
      </c>
      <c r="D8" s="72">
        <f>CS302!D31</f>
        <v>0.786516666666667</v>
      </c>
      <c r="E8" s="72">
        <f>CS302!E31</f>
        <v>0.753916666666667</v>
      </c>
      <c r="F8" s="72">
        <f>CS302!F31</f>
        <v>0.762366666666667</v>
      </c>
      <c r="G8" s="72">
        <f>CS302!G31</f>
        <v>0.739933333333333</v>
      </c>
      <c r="H8" s="72">
        <f>CS302!H31</f>
        <v>0.76485</v>
      </c>
      <c r="I8" s="17" t="s">
        <v>24</v>
      </c>
      <c r="J8" s="73">
        <f>CS302!D36</f>
        <v>0.754583333333333</v>
      </c>
      <c r="K8" s="74">
        <f>CS302!E36</f>
        <v>0.78925</v>
      </c>
      <c r="L8" s="75">
        <f>CS302!F36</f>
        <v>0.761516666666667</v>
      </c>
      <c r="M8" s="76">
        <v>0.6</v>
      </c>
      <c r="N8" s="77">
        <f>L8-M8</f>
        <v>0.161516666666667</v>
      </c>
      <c r="O8" s="78" t="str">
        <f>IF(L8&gt;=M8,"✔ Met","✘ Not Met")</f>
        <v>✔ Met</v>
      </c>
      <c r="P8" s="79">
        <f>IF(L8&gt;=0.6,3,IF(L8&gt;=0.4,2,1))</f>
        <v>3</v>
      </c>
    </row>
    <row r="9" ht="22" customHeight="1" spans="1:16">
      <c r="A9" s="8">
        <v>3</v>
      </c>
      <c r="B9" s="9" t="s">
        <v>27</v>
      </c>
      <c r="C9" s="8" t="s">
        <v>28</v>
      </c>
      <c r="D9" s="72">
        <f>CS303!D31</f>
        <v>0.746566666666667</v>
      </c>
      <c r="E9" s="72">
        <f>CS303!E31</f>
        <v>0.7323</v>
      </c>
      <c r="F9" s="72">
        <f>CS303!F31</f>
        <v>0.7726</v>
      </c>
      <c r="G9" s="72">
        <f>CS303!G31</f>
        <v>0.736983333333333</v>
      </c>
      <c r="H9" s="72">
        <f>CS303!H31</f>
        <v>0.73045</v>
      </c>
      <c r="I9" s="11" t="s">
        <v>24</v>
      </c>
      <c r="J9" s="73">
        <f>CS303!D36</f>
        <v>0.740125</v>
      </c>
      <c r="K9" s="74">
        <f>CS303!E36</f>
        <v>0.7584</v>
      </c>
      <c r="L9" s="75">
        <f>CS303!F36</f>
        <v>0.74378</v>
      </c>
      <c r="M9" s="76">
        <v>0.6</v>
      </c>
      <c r="N9" s="77">
        <f>L9-M9</f>
        <v>0.14378</v>
      </c>
      <c r="O9" s="78" t="str">
        <f>IF(L9&gt;=M9,"✔ Met","✘ Not Met")</f>
        <v>✔ Met</v>
      </c>
      <c r="P9" s="79">
        <f>IF(L9&gt;=0.6,3,IF(L9&gt;=0.4,2,1))</f>
        <v>3</v>
      </c>
    </row>
    <row r="10" ht="22" customHeight="1" spans="1:16">
      <c r="A10" s="15">
        <v>4</v>
      </c>
      <c r="B10" s="16" t="s">
        <v>29</v>
      </c>
      <c r="C10" s="15" t="s">
        <v>30</v>
      </c>
      <c r="D10" s="72">
        <f>CS304!D31</f>
        <v>0.758566666666667</v>
      </c>
      <c r="E10" s="72">
        <f>CS304!E31</f>
        <v>0.77585</v>
      </c>
      <c r="F10" s="72">
        <f>CS304!F31</f>
        <v>0.735433333333333</v>
      </c>
      <c r="G10" s="72">
        <f>CS304!G31</f>
        <v>0.744283333333333</v>
      </c>
      <c r="H10" s="72">
        <f>CS304!H31</f>
        <v>0.754533333333333</v>
      </c>
      <c r="I10" s="17" t="s">
        <v>24</v>
      </c>
      <c r="J10" s="73">
        <f>CS304!D36</f>
        <v>0.753166666666667</v>
      </c>
      <c r="K10" s="74">
        <f>CS304!E36</f>
        <v>0.756</v>
      </c>
      <c r="L10" s="75">
        <f>CS304!F36</f>
        <v>0.753733333333333</v>
      </c>
      <c r="M10" s="76">
        <v>0.6</v>
      </c>
      <c r="N10" s="77">
        <f>L10-M10</f>
        <v>0.153733333333333</v>
      </c>
      <c r="O10" s="78" t="str">
        <f>IF(L10&gt;=M10,"✔ Met","✘ Not Met")</f>
        <v>✔ Met</v>
      </c>
      <c r="P10" s="79">
        <f>IF(L10&gt;=0.6,3,IF(L10&gt;=0.4,2,1))</f>
        <v>3</v>
      </c>
    </row>
    <row r="11" ht="22" customHeight="1" spans="1:16">
      <c r="A11" s="8">
        <v>5</v>
      </c>
      <c r="B11" s="9" t="s">
        <v>31</v>
      </c>
      <c r="C11" s="8" t="s">
        <v>32</v>
      </c>
      <c r="D11" s="72">
        <f>CS305!D31</f>
        <v>0.724955803569825</v>
      </c>
      <c r="E11" s="72">
        <f>CS305!E31</f>
        <v>0.76592849430114</v>
      </c>
      <c r="F11" s="72">
        <f>CS305!F31</f>
        <v>0.754920473150879</v>
      </c>
      <c r="G11" s="72">
        <f>CS305!G31</f>
        <v>0.761530531737964</v>
      </c>
      <c r="H11" s="72">
        <f>CS305!H31</f>
        <v>0.747287907927397</v>
      </c>
      <c r="I11" s="72">
        <f>CS305!I31</f>
        <v>0.739270151478686</v>
      </c>
      <c r="J11" s="73">
        <f>CS305!D36</f>
        <v>0.746928143712575</v>
      </c>
      <c r="K11" s="74">
        <f>CS305!E36</f>
        <v>0.757198560287942</v>
      </c>
      <c r="L11" s="75">
        <f>CS305!F36</f>
        <v>0.748982227027648</v>
      </c>
      <c r="M11" s="76">
        <v>0.6</v>
      </c>
      <c r="N11" s="77">
        <f>L11-M11</f>
        <v>0.148982227027648</v>
      </c>
      <c r="O11" s="78" t="str">
        <f>IF(L11&gt;=M11,"✔ Met","✘ Not Met")</f>
        <v>✔ Met</v>
      </c>
      <c r="P11" s="79">
        <f>IF(L11&gt;=0.6,3,IF(L11&gt;=0.4,2,1))</f>
        <v>3</v>
      </c>
    </row>
    <row r="12" ht="15.15"/>
    <row r="13" ht="22" customHeight="1" spans="1:16">
      <c r="A13" s="18" t="s">
        <v>33</v>
      </c>
      <c r="D13" s="19">
        <f t="shared" ref="D13:L13" si="0">IFERROR(AVERAGEIF(D7:D11,"&lt;&gt;—"),"")</f>
        <v>0.756541160713965</v>
      </c>
      <c r="E13" s="20">
        <f t="shared" si="0"/>
        <v>0.752712365526895</v>
      </c>
      <c r="F13" s="20">
        <f t="shared" si="0"/>
        <v>0.754290761296842</v>
      </c>
      <c r="G13" s="20">
        <f t="shared" si="0"/>
        <v>0.748059439680926</v>
      </c>
      <c r="H13" s="20">
        <f t="shared" si="0"/>
        <v>0.748457581585479</v>
      </c>
      <c r="I13" s="20">
        <f t="shared" si="0"/>
        <v>0.739270151478686</v>
      </c>
      <c r="J13" s="20">
        <f t="shared" si="0"/>
        <v>0.747877295409182</v>
      </c>
      <c r="K13" s="20">
        <f t="shared" si="0"/>
        <v>0.766609712057588</v>
      </c>
      <c r="L13" s="20">
        <f t="shared" si="0"/>
        <v>0.751623778738863</v>
      </c>
    </row>
    <row r="15" spans="1:16">
      <c r="A15" s="80" t="s">
        <v>34</v>
      </c>
    </row>
  </sheetData>
  <mergeCells count="5">
    <mergeCell ref="A1:P1"/>
    <mergeCell ref="A2:P2"/>
    <mergeCell ref="A4:C4"/>
    <mergeCell ref="A13:C13"/>
    <mergeCell ref="A15:P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"/>
  <sheetViews>
    <sheetView showGridLines="0" tabSelected="1" workbookViewId="0">
      <pane xSplit="3" ySplit="7" topLeftCell="O24" activePane="bottomRight" state="frozen"/>
      <selection/>
      <selection pane="topRight"/>
      <selection pane="bottomLeft"/>
      <selection pane="bottomRight" activeCell="O29" sqref="O29"/>
    </sheetView>
  </sheetViews>
  <sheetFormatPr defaultColWidth="9" defaultRowHeight="14.4"/>
  <cols>
    <col min="1" max="1" width="6" customWidth="1"/>
    <col min="2" max="2" width="10" customWidth="1"/>
    <col min="3" max="3" width="22" customWidth="1"/>
    <col min="4" max="31" width="9" customWidth="1"/>
  </cols>
  <sheetData>
    <row r="1" ht="32" customHeight="1" spans="1:31">
      <c r="A1" s="21" t="s">
        <v>35</v>
      </c>
    </row>
    <row r="2" ht="16" customHeight="1" spans="1:31">
      <c r="A2" s="22" t="s">
        <v>36</v>
      </c>
    </row>
    <row r="3" ht="6" customHeight="1"/>
    <row r="4" ht="22" customHeight="1" spans="1:31">
      <c r="A4" s="23" t="s">
        <v>37</v>
      </c>
      <c r="D4" s="24" t="s">
        <v>38</v>
      </c>
      <c r="I4" s="25" t="s">
        <v>39</v>
      </c>
      <c r="N4" s="26" t="s">
        <v>40</v>
      </c>
      <c r="S4" s="27" t="s">
        <v>41</v>
      </c>
      <c r="X4" s="28" t="s">
        <v>42</v>
      </c>
      <c r="AC4" s="29" t="s">
        <v>43</v>
      </c>
      <c r="AD4" s="30" t="s">
        <v>44</v>
      </c>
      <c r="AE4" s="31" t="s">
        <v>45</v>
      </c>
    </row>
    <row r="5" ht="18" customHeight="1" spans="1:31">
      <c r="A5" s="23" t="s">
        <v>46</v>
      </c>
      <c r="B5" s="23" t="s">
        <v>47</v>
      </c>
      <c r="C5" s="23" t="s">
        <v>48</v>
      </c>
      <c r="D5" s="32" t="s">
        <v>9</v>
      </c>
      <c r="E5" s="32" t="s">
        <v>10</v>
      </c>
      <c r="F5" s="32" t="s">
        <v>11</v>
      </c>
      <c r="G5" s="32" t="s">
        <v>12</v>
      </c>
      <c r="H5" s="32" t="s">
        <v>13</v>
      </c>
      <c r="I5" s="33" t="s">
        <v>9</v>
      </c>
      <c r="J5" s="33" t="s">
        <v>10</v>
      </c>
      <c r="K5" s="33" t="s">
        <v>11</v>
      </c>
      <c r="L5" s="33" t="s">
        <v>12</v>
      </c>
      <c r="M5" s="33" t="s">
        <v>13</v>
      </c>
      <c r="N5" s="34" t="s">
        <v>9</v>
      </c>
      <c r="O5" s="34" t="s">
        <v>10</v>
      </c>
      <c r="P5" s="34" t="s">
        <v>11</v>
      </c>
      <c r="Q5" s="34" t="s">
        <v>12</v>
      </c>
      <c r="R5" s="34" t="s">
        <v>13</v>
      </c>
      <c r="S5" s="35" t="s">
        <v>9</v>
      </c>
      <c r="T5" s="35" t="s">
        <v>10</v>
      </c>
      <c r="U5" s="35" t="s">
        <v>11</v>
      </c>
      <c r="V5" s="35" t="s">
        <v>12</v>
      </c>
      <c r="W5" s="35" t="s">
        <v>13</v>
      </c>
      <c r="X5" s="36" t="s">
        <v>9</v>
      </c>
      <c r="Y5" s="36" t="s">
        <v>10</v>
      </c>
      <c r="Z5" s="36" t="s">
        <v>11</v>
      </c>
      <c r="AA5" s="36" t="s">
        <v>12</v>
      </c>
      <c r="AB5" s="36" t="s">
        <v>13</v>
      </c>
      <c r="AC5" s="37" t="s">
        <v>49</v>
      </c>
      <c r="AD5" s="38" t="s">
        <v>49</v>
      </c>
      <c r="AE5" s="39" t="s">
        <v>49</v>
      </c>
    </row>
    <row r="6" ht="18" customHeight="1" spans="1:31">
      <c r="A6" s="40" t="s">
        <v>50</v>
      </c>
      <c r="B6" s="41"/>
      <c r="C6" s="42"/>
      <c r="D6" s="43">
        <v>6</v>
      </c>
      <c r="E6" s="43">
        <v>6</v>
      </c>
      <c r="F6" s="43">
        <v>6</v>
      </c>
      <c r="G6" s="43">
        <v>6</v>
      </c>
      <c r="H6" s="43">
        <v>6</v>
      </c>
      <c r="I6" s="43">
        <v>6</v>
      </c>
      <c r="J6" s="43">
        <v>6</v>
      </c>
      <c r="K6" s="43">
        <v>6</v>
      </c>
      <c r="L6" s="43">
        <v>6</v>
      </c>
      <c r="M6" s="43">
        <v>6</v>
      </c>
      <c r="N6" s="43">
        <v>2</v>
      </c>
      <c r="O6" s="43">
        <v>2</v>
      </c>
      <c r="P6" s="43">
        <v>2</v>
      </c>
      <c r="Q6" s="43">
        <v>2</v>
      </c>
      <c r="R6" s="43">
        <v>2</v>
      </c>
      <c r="S6" s="43">
        <v>2</v>
      </c>
      <c r="T6" s="43">
        <v>2</v>
      </c>
      <c r="U6" s="43">
        <v>2</v>
      </c>
      <c r="V6" s="43">
        <v>2</v>
      </c>
      <c r="W6" s="43">
        <v>2</v>
      </c>
      <c r="X6" s="43">
        <v>20</v>
      </c>
      <c r="Y6" s="43">
        <v>20</v>
      </c>
      <c r="Z6" s="43">
        <v>20</v>
      </c>
      <c r="AA6" s="43">
        <v>20</v>
      </c>
      <c r="AB6" s="43">
        <v>20</v>
      </c>
      <c r="AC6" s="44">
        <v>50</v>
      </c>
      <c r="AD6" s="45">
        <v>50</v>
      </c>
      <c r="AE6" s="46">
        <v>100</v>
      </c>
    </row>
    <row r="7" ht="14" customHeight="1" spans="1:31">
      <c r="A7" s="47" t="s">
        <v>51</v>
      </c>
      <c r="D7" s="8" t="s">
        <v>52</v>
      </c>
      <c r="E7" s="8" t="s">
        <v>52</v>
      </c>
      <c r="F7" s="8" t="s">
        <v>52</v>
      </c>
      <c r="G7" s="8" t="s">
        <v>52</v>
      </c>
      <c r="H7" s="8" t="s">
        <v>52</v>
      </c>
      <c r="I7" s="8" t="s">
        <v>52</v>
      </c>
      <c r="J7" s="8" t="s">
        <v>52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 t="s">
        <v>52</v>
      </c>
      <c r="Q7" s="8" t="s">
        <v>52</v>
      </c>
      <c r="R7" s="8" t="s">
        <v>52</v>
      </c>
      <c r="S7" s="8" t="s">
        <v>52</v>
      </c>
      <c r="T7" s="8" t="s">
        <v>52</v>
      </c>
      <c r="U7" s="8" t="s">
        <v>52</v>
      </c>
      <c r="V7" s="8" t="s">
        <v>52</v>
      </c>
      <c r="W7" s="8" t="s">
        <v>52</v>
      </c>
      <c r="X7" s="8" t="s">
        <v>52</v>
      </c>
      <c r="Y7" s="8" t="s">
        <v>52</v>
      </c>
      <c r="Z7" s="8" t="s">
        <v>52</v>
      </c>
      <c r="AA7" s="8" t="s">
        <v>52</v>
      </c>
      <c r="AB7" s="8" t="s">
        <v>52</v>
      </c>
      <c r="AC7" s="8" t="s">
        <v>52</v>
      </c>
      <c r="AD7" s="8" t="s">
        <v>52</v>
      </c>
      <c r="AE7" s="8" t="s">
        <v>52</v>
      </c>
    </row>
    <row r="8" ht="17" customHeight="1" spans="1:31">
      <c r="A8" s="8">
        <v>1</v>
      </c>
      <c r="B8" s="8" t="s">
        <v>53</v>
      </c>
      <c r="C8" s="9" t="s">
        <v>54</v>
      </c>
      <c r="D8" s="48">
        <v>4.9</v>
      </c>
      <c r="E8" s="48">
        <v>3.1</v>
      </c>
      <c r="F8" s="48">
        <v>3.8</v>
      </c>
      <c r="G8" s="48">
        <v>3.7</v>
      </c>
      <c r="H8" s="48">
        <v>5.2</v>
      </c>
      <c r="I8" s="48">
        <v>5</v>
      </c>
      <c r="J8" s="48">
        <v>5.7</v>
      </c>
      <c r="K8" s="48">
        <v>3.3</v>
      </c>
      <c r="L8" s="48">
        <v>4.3</v>
      </c>
      <c r="M8" s="48">
        <v>3.1</v>
      </c>
      <c r="N8" s="48">
        <v>1.2</v>
      </c>
      <c r="O8" s="48">
        <v>1.5</v>
      </c>
      <c r="P8" s="48">
        <v>1</v>
      </c>
      <c r="Q8" s="48">
        <v>1.2</v>
      </c>
      <c r="R8" s="48">
        <v>1.6</v>
      </c>
      <c r="S8" s="48">
        <v>1.5</v>
      </c>
      <c r="T8" s="48">
        <v>1.2</v>
      </c>
      <c r="U8" s="48">
        <v>1.6</v>
      </c>
      <c r="V8" s="48">
        <v>1.8</v>
      </c>
      <c r="W8" s="48">
        <v>1</v>
      </c>
      <c r="X8" s="48">
        <v>18.1</v>
      </c>
      <c r="Y8" s="48">
        <v>17</v>
      </c>
      <c r="Z8" s="48">
        <v>13.4</v>
      </c>
      <c r="AA8" s="48">
        <v>11.6</v>
      </c>
      <c r="AB8" s="48">
        <v>19.6</v>
      </c>
      <c r="AC8" s="49">
        <f t="shared" ref="AC8:AC27" si="0">(SUM(D8:H8)+SUM(I8:M8))/2+SUM(N8:R8)+SUM(S8:W8)</f>
        <v>34.65</v>
      </c>
      <c r="AD8" s="50">
        <f t="shared" ref="AD8:AD27" si="1">SUM(X8:AB8)/100*50</f>
        <v>39.85</v>
      </c>
      <c r="AE8" s="51">
        <f t="shared" ref="AE8:AE27" si="2">AC8+AD8</f>
        <v>74.5</v>
      </c>
    </row>
    <row r="9" ht="17" customHeight="1" spans="1:31">
      <c r="A9" s="15">
        <v>2</v>
      </c>
      <c r="B9" s="15" t="s">
        <v>55</v>
      </c>
      <c r="C9" s="16" t="s">
        <v>56</v>
      </c>
      <c r="D9" s="52">
        <v>4</v>
      </c>
      <c r="E9" s="52">
        <v>3.3</v>
      </c>
      <c r="F9" s="52">
        <v>3.3</v>
      </c>
      <c r="G9" s="52">
        <v>5.5</v>
      </c>
      <c r="H9" s="52">
        <v>4.8</v>
      </c>
      <c r="I9" s="52">
        <v>5.4</v>
      </c>
      <c r="J9" s="52">
        <v>5.2</v>
      </c>
      <c r="K9" s="52">
        <v>4.6</v>
      </c>
      <c r="L9" s="52">
        <v>5.9</v>
      </c>
      <c r="M9" s="52">
        <v>4.1</v>
      </c>
      <c r="N9" s="52">
        <v>1.6</v>
      </c>
      <c r="O9" s="52">
        <v>1.8</v>
      </c>
      <c r="P9" s="52">
        <v>1.6</v>
      </c>
      <c r="Q9" s="52">
        <v>1.9</v>
      </c>
      <c r="R9" s="52">
        <v>1.6</v>
      </c>
      <c r="S9" s="52">
        <v>1.7</v>
      </c>
      <c r="T9" s="52">
        <v>1</v>
      </c>
      <c r="U9" s="52">
        <v>1.2</v>
      </c>
      <c r="V9" s="52">
        <v>1.3</v>
      </c>
      <c r="W9" s="52">
        <v>1.1</v>
      </c>
      <c r="X9" s="52">
        <v>12.3</v>
      </c>
      <c r="Y9" s="52">
        <v>11</v>
      </c>
      <c r="Z9" s="52">
        <v>12.8</v>
      </c>
      <c r="AA9" s="52">
        <v>16.4</v>
      </c>
      <c r="AB9" s="52">
        <v>13.6</v>
      </c>
      <c r="AC9" s="49">
        <f t="shared" si="0"/>
        <v>37.85</v>
      </c>
      <c r="AD9" s="50">
        <f t="shared" si="1"/>
        <v>33.05</v>
      </c>
      <c r="AE9" s="51">
        <f t="shared" si="2"/>
        <v>70.9</v>
      </c>
    </row>
    <row r="10" ht="17" customHeight="1" spans="1:31">
      <c r="A10" s="8">
        <v>3</v>
      </c>
      <c r="B10" s="8" t="s">
        <v>57</v>
      </c>
      <c r="C10" s="9" t="s">
        <v>58</v>
      </c>
      <c r="D10" s="48">
        <v>4.1</v>
      </c>
      <c r="E10" s="48">
        <v>3.6</v>
      </c>
      <c r="F10" s="48">
        <v>3.8</v>
      </c>
      <c r="G10" s="48">
        <v>5.8</v>
      </c>
      <c r="H10" s="48">
        <v>4.9</v>
      </c>
      <c r="I10" s="48">
        <v>4.8</v>
      </c>
      <c r="J10" s="48">
        <v>3.5</v>
      </c>
      <c r="K10" s="48">
        <v>5.2</v>
      </c>
      <c r="L10" s="48">
        <v>3.5</v>
      </c>
      <c r="M10" s="48">
        <v>4.1</v>
      </c>
      <c r="N10" s="48">
        <v>2</v>
      </c>
      <c r="O10" s="48">
        <v>1.6</v>
      </c>
      <c r="P10" s="48">
        <v>1.6</v>
      </c>
      <c r="Q10" s="48">
        <v>1.7</v>
      </c>
      <c r="R10" s="48">
        <v>1.8</v>
      </c>
      <c r="S10" s="48">
        <v>1.8</v>
      </c>
      <c r="T10" s="48">
        <v>1.2</v>
      </c>
      <c r="U10" s="48">
        <v>1</v>
      </c>
      <c r="V10" s="48">
        <v>1.3</v>
      </c>
      <c r="W10" s="48">
        <v>1.3</v>
      </c>
      <c r="X10" s="48">
        <v>12.1</v>
      </c>
      <c r="Y10" s="48">
        <v>19.4</v>
      </c>
      <c r="Z10" s="48">
        <v>18.8</v>
      </c>
      <c r="AA10" s="48">
        <v>13.1</v>
      </c>
      <c r="AB10" s="48">
        <v>16.6</v>
      </c>
      <c r="AC10" s="49">
        <f t="shared" si="0"/>
        <v>36.95</v>
      </c>
      <c r="AD10" s="50">
        <f t="shared" si="1"/>
        <v>40</v>
      </c>
      <c r="AE10" s="51">
        <f t="shared" si="2"/>
        <v>76.95</v>
      </c>
    </row>
    <row r="11" ht="17" customHeight="1" spans="1:31">
      <c r="A11" s="15">
        <v>4</v>
      </c>
      <c r="B11" s="15" t="s">
        <v>59</v>
      </c>
      <c r="C11" s="16" t="s">
        <v>60</v>
      </c>
      <c r="D11" s="52">
        <v>4.2</v>
      </c>
      <c r="E11" s="52">
        <v>5.7</v>
      </c>
      <c r="F11" s="52">
        <v>4.4</v>
      </c>
      <c r="G11" s="52">
        <v>3.8</v>
      </c>
      <c r="H11" s="52">
        <v>3.7</v>
      </c>
      <c r="I11" s="52">
        <v>4.7</v>
      </c>
      <c r="J11" s="52">
        <v>3.8</v>
      </c>
      <c r="K11" s="52">
        <v>4.8</v>
      </c>
      <c r="L11" s="52">
        <v>5.7</v>
      </c>
      <c r="M11" s="52">
        <v>4.2</v>
      </c>
      <c r="N11" s="52">
        <v>1.2</v>
      </c>
      <c r="O11" s="52">
        <v>2</v>
      </c>
      <c r="P11" s="52">
        <v>1.5</v>
      </c>
      <c r="Q11" s="52">
        <v>1.1</v>
      </c>
      <c r="R11" s="52">
        <v>1</v>
      </c>
      <c r="S11" s="52">
        <v>1.1</v>
      </c>
      <c r="T11" s="52">
        <v>1.6</v>
      </c>
      <c r="U11" s="52">
        <v>1.8</v>
      </c>
      <c r="V11" s="52">
        <v>1.4</v>
      </c>
      <c r="W11" s="52">
        <v>1.1</v>
      </c>
      <c r="X11" s="52">
        <v>13.8</v>
      </c>
      <c r="Y11" s="52">
        <v>20</v>
      </c>
      <c r="Z11" s="52">
        <v>15.3</v>
      </c>
      <c r="AA11" s="52">
        <v>19.7</v>
      </c>
      <c r="AB11" s="52">
        <v>18.6</v>
      </c>
      <c r="AC11" s="49">
        <f t="shared" si="0"/>
        <v>36.3</v>
      </c>
      <c r="AD11" s="50">
        <f t="shared" si="1"/>
        <v>43.7</v>
      </c>
      <c r="AE11" s="51">
        <f t="shared" si="2"/>
        <v>80</v>
      </c>
    </row>
    <row r="12" ht="17" customHeight="1" spans="1:31">
      <c r="A12" s="8">
        <v>5</v>
      </c>
      <c r="B12" s="8" t="s">
        <v>61</v>
      </c>
      <c r="C12" s="9" t="s">
        <v>62</v>
      </c>
      <c r="D12" s="48">
        <v>3</v>
      </c>
      <c r="E12" s="48">
        <v>5.2</v>
      </c>
      <c r="F12" s="48">
        <v>5</v>
      </c>
      <c r="G12" s="48">
        <v>4.6</v>
      </c>
      <c r="H12" s="48">
        <v>3.8</v>
      </c>
      <c r="I12" s="48">
        <v>4.9</v>
      </c>
      <c r="J12" s="48">
        <v>3.3</v>
      </c>
      <c r="K12" s="48">
        <v>4.3</v>
      </c>
      <c r="L12" s="48">
        <v>4.4</v>
      </c>
      <c r="M12" s="48">
        <v>5.9</v>
      </c>
      <c r="N12" s="48">
        <v>1.9</v>
      </c>
      <c r="O12" s="48">
        <v>1.3</v>
      </c>
      <c r="P12" s="48">
        <v>1.5</v>
      </c>
      <c r="Q12" s="48">
        <v>1.2</v>
      </c>
      <c r="R12" s="48">
        <v>1.9</v>
      </c>
      <c r="S12" s="48">
        <v>1.9</v>
      </c>
      <c r="T12" s="48">
        <v>1.3</v>
      </c>
      <c r="U12" s="48">
        <v>1.6</v>
      </c>
      <c r="V12" s="48">
        <v>1.6</v>
      </c>
      <c r="W12" s="48">
        <v>1.2</v>
      </c>
      <c r="X12" s="48">
        <v>17.6</v>
      </c>
      <c r="Y12" s="48">
        <v>15.4</v>
      </c>
      <c r="Z12" s="48">
        <v>17.8</v>
      </c>
      <c r="AA12" s="48">
        <v>15.3</v>
      </c>
      <c r="AB12" s="48">
        <v>10</v>
      </c>
      <c r="AC12" s="49">
        <f t="shared" si="0"/>
        <v>37.6</v>
      </c>
      <c r="AD12" s="50">
        <f t="shared" si="1"/>
        <v>38.05</v>
      </c>
      <c r="AE12" s="51">
        <f t="shared" si="2"/>
        <v>75.65</v>
      </c>
    </row>
    <row r="13" ht="17" customHeight="1" spans="1:31">
      <c r="A13" s="15">
        <v>6</v>
      </c>
      <c r="B13" s="15" t="s">
        <v>63</v>
      </c>
      <c r="C13" s="16" t="s">
        <v>64</v>
      </c>
      <c r="D13" s="52">
        <v>4</v>
      </c>
      <c r="E13" s="52">
        <v>3.1</v>
      </c>
      <c r="F13" s="52">
        <v>5.8</v>
      </c>
      <c r="G13" s="52">
        <v>5.6</v>
      </c>
      <c r="H13" s="52">
        <v>5.5</v>
      </c>
      <c r="I13" s="52">
        <v>3.9</v>
      </c>
      <c r="J13" s="52">
        <v>3.2</v>
      </c>
      <c r="K13" s="52">
        <v>5.6</v>
      </c>
      <c r="L13" s="52">
        <v>5.8</v>
      </c>
      <c r="M13" s="52">
        <v>3.3</v>
      </c>
      <c r="N13" s="52">
        <v>1.5</v>
      </c>
      <c r="O13" s="52">
        <v>1.1</v>
      </c>
      <c r="P13" s="52">
        <v>1.8</v>
      </c>
      <c r="Q13" s="52">
        <v>1.8</v>
      </c>
      <c r="R13" s="52">
        <v>1.1</v>
      </c>
      <c r="S13" s="52">
        <v>1.5</v>
      </c>
      <c r="T13" s="52">
        <v>1.5</v>
      </c>
      <c r="U13" s="52">
        <v>1.3</v>
      </c>
      <c r="V13" s="52">
        <v>1.9</v>
      </c>
      <c r="W13" s="52">
        <v>1.4</v>
      </c>
      <c r="X13" s="52">
        <v>12.1</v>
      </c>
      <c r="Y13" s="52">
        <v>15.4</v>
      </c>
      <c r="Z13" s="52">
        <v>17.3</v>
      </c>
      <c r="AA13" s="52">
        <v>12</v>
      </c>
      <c r="AB13" s="52">
        <v>13.1</v>
      </c>
      <c r="AC13" s="49">
        <f t="shared" si="0"/>
        <v>37.8</v>
      </c>
      <c r="AD13" s="50">
        <f t="shared" si="1"/>
        <v>34.95</v>
      </c>
      <c r="AE13" s="51">
        <f t="shared" si="2"/>
        <v>72.75</v>
      </c>
    </row>
    <row r="14" ht="17" customHeight="1" spans="1:31">
      <c r="A14" s="8">
        <v>7</v>
      </c>
      <c r="B14" s="8" t="s">
        <v>65</v>
      </c>
      <c r="C14" s="9" t="s">
        <v>66</v>
      </c>
      <c r="D14" s="48">
        <v>6</v>
      </c>
      <c r="E14" s="48">
        <v>4.9</v>
      </c>
      <c r="F14" s="48">
        <v>4.3</v>
      </c>
      <c r="G14" s="48">
        <v>4.6</v>
      </c>
      <c r="H14" s="48">
        <v>3.4</v>
      </c>
      <c r="I14" s="48">
        <v>3.7</v>
      </c>
      <c r="J14" s="48">
        <v>4</v>
      </c>
      <c r="K14" s="48">
        <v>4.8</v>
      </c>
      <c r="L14" s="48">
        <v>3.7</v>
      </c>
      <c r="M14" s="48">
        <v>3.7</v>
      </c>
      <c r="N14" s="48">
        <v>1.1</v>
      </c>
      <c r="O14" s="48">
        <v>1.6</v>
      </c>
      <c r="P14" s="48">
        <v>1.2</v>
      </c>
      <c r="Q14" s="48">
        <v>1.9</v>
      </c>
      <c r="R14" s="48">
        <v>1.9</v>
      </c>
      <c r="S14" s="48">
        <v>1.1</v>
      </c>
      <c r="T14" s="48">
        <v>1.2</v>
      </c>
      <c r="U14" s="48">
        <v>1.7</v>
      </c>
      <c r="V14" s="48">
        <v>1.2</v>
      </c>
      <c r="W14" s="48">
        <v>1.1</v>
      </c>
      <c r="X14" s="48">
        <v>19.4</v>
      </c>
      <c r="Y14" s="48">
        <v>15.7</v>
      </c>
      <c r="Z14" s="48">
        <v>14.7</v>
      </c>
      <c r="AA14" s="48">
        <v>17.8</v>
      </c>
      <c r="AB14" s="48">
        <v>18.1</v>
      </c>
      <c r="AC14" s="49">
        <f t="shared" si="0"/>
        <v>35.55</v>
      </c>
      <c r="AD14" s="50">
        <f t="shared" si="1"/>
        <v>42.85</v>
      </c>
      <c r="AE14" s="51">
        <f t="shared" si="2"/>
        <v>78.4</v>
      </c>
    </row>
    <row r="15" ht="17" customHeight="1" spans="1:31">
      <c r="A15" s="15">
        <v>8</v>
      </c>
      <c r="B15" s="15" t="s">
        <v>67</v>
      </c>
      <c r="C15" s="16" t="s">
        <v>68</v>
      </c>
      <c r="D15" s="52">
        <v>3.6</v>
      </c>
      <c r="E15" s="52">
        <v>3.3</v>
      </c>
      <c r="F15" s="52">
        <v>4.3</v>
      </c>
      <c r="G15" s="52">
        <v>4.3</v>
      </c>
      <c r="H15" s="52">
        <v>4.4</v>
      </c>
      <c r="I15" s="52">
        <v>5.2</v>
      </c>
      <c r="J15" s="52">
        <v>5</v>
      </c>
      <c r="K15" s="52">
        <v>6</v>
      </c>
      <c r="L15" s="52">
        <v>3.3</v>
      </c>
      <c r="M15" s="52">
        <v>4.2</v>
      </c>
      <c r="N15" s="52">
        <v>1.3</v>
      </c>
      <c r="O15" s="52">
        <v>1.9</v>
      </c>
      <c r="P15" s="52">
        <v>1.2</v>
      </c>
      <c r="Q15" s="52">
        <v>1.2</v>
      </c>
      <c r="R15" s="52">
        <v>1.4</v>
      </c>
      <c r="S15" s="52">
        <v>1.4</v>
      </c>
      <c r="T15" s="52">
        <v>1.3</v>
      </c>
      <c r="U15" s="52">
        <v>1.2</v>
      </c>
      <c r="V15" s="52">
        <v>1.9</v>
      </c>
      <c r="W15" s="52">
        <v>1.4</v>
      </c>
      <c r="X15" s="52">
        <v>18.6</v>
      </c>
      <c r="Y15" s="52">
        <v>15.5</v>
      </c>
      <c r="Z15" s="52">
        <v>10.5</v>
      </c>
      <c r="AA15" s="52">
        <v>20</v>
      </c>
      <c r="AB15" s="52">
        <v>18.4</v>
      </c>
      <c r="AC15" s="49">
        <f t="shared" si="0"/>
        <v>36</v>
      </c>
      <c r="AD15" s="50">
        <f t="shared" si="1"/>
        <v>41.5</v>
      </c>
      <c r="AE15" s="51">
        <f t="shared" si="2"/>
        <v>77.5</v>
      </c>
    </row>
    <row r="16" ht="17" customHeight="1" spans="1:31">
      <c r="A16" s="8">
        <v>9</v>
      </c>
      <c r="B16" s="8" t="s">
        <v>69</v>
      </c>
      <c r="C16" s="9" t="s">
        <v>70</v>
      </c>
      <c r="D16" s="48">
        <v>5.9</v>
      </c>
      <c r="E16" s="48">
        <v>5.8</v>
      </c>
      <c r="F16" s="48">
        <v>5.5</v>
      </c>
      <c r="G16" s="48">
        <v>3.5</v>
      </c>
      <c r="H16" s="48">
        <v>4.5</v>
      </c>
      <c r="I16" s="48">
        <v>3.6</v>
      </c>
      <c r="J16" s="48">
        <v>4.2</v>
      </c>
      <c r="K16" s="48">
        <v>3.2</v>
      </c>
      <c r="L16" s="48">
        <v>4.1</v>
      </c>
      <c r="M16" s="48">
        <v>6</v>
      </c>
      <c r="N16" s="48">
        <v>1.3</v>
      </c>
      <c r="O16" s="48">
        <v>1.8</v>
      </c>
      <c r="P16" s="48">
        <v>1.5</v>
      </c>
      <c r="Q16" s="48">
        <v>1.4</v>
      </c>
      <c r="R16" s="48">
        <v>2</v>
      </c>
      <c r="S16" s="48">
        <v>2</v>
      </c>
      <c r="T16" s="48">
        <v>1.6</v>
      </c>
      <c r="U16" s="48">
        <v>1.7</v>
      </c>
      <c r="V16" s="48">
        <v>1.2</v>
      </c>
      <c r="W16" s="48">
        <v>1.3</v>
      </c>
      <c r="X16" s="48">
        <v>19.7</v>
      </c>
      <c r="Y16" s="48">
        <v>15.8</v>
      </c>
      <c r="Z16" s="48">
        <v>15.4</v>
      </c>
      <c r="AA16" s="48">
        <v>17.5</v>
      </c>
      <c r="AB16" s="48">
        <v>10.6</v>
      </c>
      <c r="AC16" s="49">
        <f t="shared" si="0"/>
        <v>38.95</v>
      </c>
      <c r="AD16" s="50">
        <f t="shared" si="1"/>
        <v>39.5</v>
      </c>
      <c r="AE16" s="51">
        <f t="shared" si="2"/>
        <v>78.45</v>
      </c>
    </row>
    <row r="17" ht="17" customHeight="1" spans="1:31">
      <c r="A17" s="15">
        <v>10</v>
      </c>
      <c r="B17" s="15" t="s">
        <v>71</v>
      </c>
      <c r="C17" s="16" t="s">
        <v>72</v>
      </c>
      <c r="D17" s="52">
        <v>4.8</v>
      </c>
      <c r="E17" s="52">
        <v>4.5</v>
      </c>
      <c r="F17" s="52">
        <v>5.6</v>
      </c>
      <c r="G17" s="52">
        <v>3.5</v>
      </c>
      <c r="H17" s="52">
        <v>5.9</v>
      </c>
      <c r="I17" s="52">
        <v>3.2</v>
      </c>
      <c r="J17" s="52">
        <v>3.6</v>
      </c>
      <c r="K17" s="52">
        <v>4.8</v>
      </c>
      <c r="L17" s="52">
        <v>5</v>
      </c>
      <c r="M17" s="52">
        <v>3.7</v>
      </c>
      <c r="N17" s="52">
        <v>1.1</v>
      </c>
      <c r="O17" s="52">
        <v>1.9</v>
      </c>
      <c r="P17" s="52">
        <v>1.2</v>
      </c>
      <c r="Q17" s="52">
        <v>1.6</v>
      </c>
      <c r="R17" s="52">
        <v>1.6</v>
      </c>
      <c r="S17" s="52">
        <v>1.4</v>
      </c>
      <c r="T17" s="52">
        <v>1.6</v>
      </c>
      <c r="U17" s="52">
        <v>1.5</v>
      </c>
      <c r="V17" s="52">
        <v>1.9</v>
      </c>
      <c r="W17" s="52">
        <v>1.2</v>
      </c>
      <c r="X17" s="52">
        <v>17.2</v>
      </c>
      <c r="Y17" s="52">
        <v>12.4</v>
      </c>
      <c r="Z17" s="52">
        <v>14</v>
      </c>
      <c r="AA17" s="52">
        <v>16.7</v>
      </c>
      <c r="AB17" s="52">
        <v>13</v>
      </c>
      <c r="AC17" s="49">
        <f t="shared" si="0"/>
        <v>37.3</v>
      </c>
      <c r="AD17" s="50">
        <f t="shared" si="1"/>
        <v>36.65</v>
      </c>
      <c r="AE17" s="51">
        <f t="shared" si="2"/>
        <v>73.95</v>
      </c>
    </row>
    <row r="18" ht="17" customHeight="1" spans="1:31">
      <c r="A18" s="8">
        <v>11</v>
      </c>
      <c r="B18" s="8" t="s">
        <v>73</v>
      </c>
      <c r="C18" s="9" t="s">
        <v>74</v>
      </c>
      <c r="D18" s="48">
        <v>3.9</v>
      </c>
      <c r="E18" s="48">
        <v>5.3</v>
      </c>
      <c r="F18" s="48">
        <v>3.2</v>
      </c>
      <c r="G18" s="48">
        <v>4.4</v>
      </c>
      <c r="H18" s="48">
        <v>6</v>
      </c>
      <c r="I18" s="48">
        <v>6</v>
      </c>
      <c r="J18" s="48">
        <v>3.2</v>
      </c>
      <c r="K18" s="48">
        <v>3.6</v>
      </c>
      <c r="L18" s="48">
        <v>3.8</v>
      </c>
      <c r="M18" s="48">
        <v>5.8</v>
      </c>
      <c r="N18" s="48">
        <v>1.9</v>
      </c>
      <c r="O18" s="48">
        <v>1.9</v>
      </c>
      <c r="P18" s="48">
        <v>1.4</v>
      </c>
      <c r="Q18" s="48">
        <v>1.2</v>
      </c>
      <c r="R18" s="48">
        <v>1.8</v>
      </c>
      <c r="S18" s="48">
        <v>1.7</v>
      </c>
      <c r="T18" s="48">
        <v>1.6</v>
      </c>
      <c r="U18" s="48">
        <v>2</v>
      </c>
      <c r="V18" s="48">
        <v>1.7</v>
      </c>
      <c r="W18" s="48">
        <v>1</v>
      </c>
      <c r="X18" s="48">
        <v>18.2</v>
      </c>
      <c r="Y18" s="48">
        <v>13</v>
      </c>
      <c r="Z18" s="48">
        <v>16.6</v>
      </c>
      <c r="AA18" s="48">
        <v>19.4</v>
      </c>
      <c r="AB18" s="48">
        <v>11.3</v>
      </c>
      <c r="AC18" s="49">
        <f t="shared" si="0"/>
        <v>38.8</v>
      </c>
      <c r="AD18" s="50">
        <f t="shared" si="1"/>
        <v>39.25</v>
      </c>
      <c r="AE18" s="51">
        <f t="shared" si="2"/>
        <v>78.05</v>
      </c>
    </row>
    <row r="19" ht="17" customHeight="1" spans="1:31">
      <c r="A19" s="15">
        <v>12</v>
      </c>
      <c r="B19" s="15" t="s">
        <v>75</v>
      </c>
      <c r="C19" s="16" t="s">
        <v>76</v>
      </c>
      <c r="D19" s="52">
        <v>3.3</v>
      </c>
      <c r="E19" s="52">
        <v>3.3</v>
      </c>
      <c r="F19" s="52">
        <v>4.7</v>
      </c>
      <c r="G19" s="52">
        <v>3.8</v>
      </c>
      <c r="H19" s="52">
        <v>4.8</v>
      </c>
      <c r="I19" s="52">
        <v>5.2</v>
      </c>
      <c r="J19" s="52">
        <v>3.6</v>
      </c>
      <c r="K19" s="52">
        <v>4.9</v>
      </c>
      <c r="L19" s="52">
        <v>3.8</v>
      </c>
      <c r="M19" s="52">
        <v>4.5</v>
      </c>
      <c r="N19" s="52">
        <v>1.9</v>
      </c>
      <c r="O19" s="52">
        <v>1.8</v>
      </c>
      <c r="P19" s="52">
        <v>1.1</v>
      </c>
      <c r="Q19" s="52">
        <v>1.4</v>
      </c>
      <c r="R19" s="52">
        <v>1.3</v>
      </c>
      <c r="S19" s="52">
        <v>1</v>
      </c>
      <c r="T19" s="52">
        <v>1.8</v>
      </c>
      <c r="U19" s="52">
        <v>1.6</v>
      </c>
      <c r="V19" s="52">
        <v>1.3</v>
      </c>
      <c r="W19" s="52">
        <v>1.7</v>
      </c>
      <c r="X19" s="52">
        <v>15.5</v>
      </c>
      <c r="Y19" s="52">
        <v>14.3</v>
      </c>
      <c r="Z19" s="52">
        <v>10.1</v>
      </c>
      <c r="AA19" s="52">
        <v>10.8</v>
      </c>
      <c r="AB19" s="52">
        <v>18.8</v>
      </c>
      <c r="AC19" s="49">
        <f t="shared" si="0"/>
        <v>35.85</v>
      </c>
      <c r="AD19" s="50">
        <f t="shared" si="1"/>
        <v>34.75</v>
      </c>
      <c r="AE19" s="51">
        <f t="shared" si="2"/>
        <v>70.6</v>
      </c>
    </row>
    <row r="20" ht="17" customHeight="1" spans="1:31">
      <c r="A20" s="8">
        <v>13</v>
      </c>
      <c r="B20" s="8" t="s">
        <v>77</v>
      </c>
      <c r="C20" s="9" t="s">
        <v>78</v>
      </c>
      <c r="D20" s="48">
        <v>5.7</v>
      </c>
      <c r="E20" s="48">
        <v>4.6</v>
      </c>
      <c r="F20" s="48">
        <v>5.5</v>
      </c>
      <c r="G20" s="48">
        <v>4.7</v>
      </c>
      <c r="H20" s="48">
        <v>3.4</v>
      </c>
      <c r="I20" s="48">
        <v>3.4</v>
      </c>
      <c r="J20" s="48">
        <v>3.9</v>
      </c>
      <c r="K20" s="48">
        <v>5.7</v>
      </c>
      <c r="L20" s="48">
        <v>5.4</v>
      </c>
      <c r="M20" s="48">
        <v>5.6</v>
      </c>
      <c r="N20" s="48">
        <v>1.9</v>
      </c>
      <c r="O20" s="48">
        <v>1.2</v>
      </c>
      <c r="P20" s="48">
        <v>1.2</v>
      </c>
      <c r="Q20" s="48">
        <v>1.1</v>
      </c>
      <c r="R20" s="48">
        <v>1.8</v>
      </c>
      <c r="S20" s="48">
        <v>1.9</v>
      </c>
      <c r="T20" s="48">
        <v>1.4</v>
      </c>
      <c r="U20" s="48">
        <v>1.6</v>
      </c>
      <c r="V20" s="48">
        <v>1.2</v>
      </c>
      <c r="W20" s="48">
        <v>1.9</v>
      </c>
      <c r="X20" s="48">
        <v>18.6</v>
      </c>
      <c r="Y20" s="48">
        <v>19.8</v>
      </c>
      <c r="Z20" s="48">
        <v>18.1</v>
      </c>
      <c r="AA20" s="48">
        <v>18.8</v>
      </c>
      <c r="AB20" s="48">
        <v>10.2</v>
      </c>
      <c r="AC20" s="49">
        <f t="shared" si="0"/>
        <v>39.15</v>
      </c>
      <c r="AD20" s="50">
        <f t="shared" si="1"/>
        <v>42.75</v>
      </c>
      <c r="AE20" s="51">
        <f t="shared" si="2"/>
        <v>81.9</v>
      </c>
    </row>
    <row r="21" ht="17" customHeight="1" spans="1:31">
      <c r="A21" s="15">
        <v>14</v>
      </c>
      <c r="B21" s="15" t="s">
        <v>79</v>
      </c>
      <c r="C21" s="16" t="s">
        <v>80</v>
      </c>
      <c r="D21" s="52">
        <v>5.2</v>
      </c>
      <c r="E21" s="52">
        <v>4</v>
      </c>
      <c r="F21" s="52">
        <v>5.8</v>
      </c>
      <c r="G21" s="52">
        <v>5.4</v>
      </c>
      <c r="H21" s="52">
        <v>5.6</v>
      </c>
      <c r="I21" s="52">
        <v>5.4</v>
      </c>
      <c r="J21" s="52">
        <v>3.8</v>
      </c>
      <c r="K21" s="52">
        <v>5.4</v>
      </c>
      <c r="L21" s="52">
        <v>3.3</v>
      </c>
      <c r="M21" s="52">
        <v>5.6</v>
      </c>
      <c r="N21" s="52">
        <v>1.9</v>
      </c>
      <c r="O21" s="52">
        <v>1.2</v>
      </c>
      <c r="P21" s="52">
        <v>1.8</v>
      </c>
      <c r="Q21" s="52">
        <v>1.5</v>
      </c>
      <c r="R21" s="52">
        <v>1.3</v>
      </c>
      <c r="S21" s="52">
        <v>1.8</v>
      </c>
      <c r="T21" s="52">
        <v>1.2</v>
      </c>
      <c r="U21" s="52">
        <v>1</v>
      </c>
      <c r="V21" s="52">
        <v>1.2</v>
      </c>
      <c r="W21" s="52">
        <v>1.3</v>
      </c>
      <c r="X21" s="52">
        <v>18.6</v>
      </c>
      <c r="Y21" s="52">
        <v>19.7</v>
      </c>
      <c r="Z21" s="52">
        <v>12.8</v>
      </c>
      <c r="AA21" s="52">
        <v>16.4</v>
      </c>
      <c r="AB21" s="52">
        <v>14</v>
      </c>
      <c r="AC21" s="49">
        <f t="shared" si="0"/>
        <v>38.95</v>
      </c>
      <c r="AD21" s="50">
        <f t="shared" si="1"/>
        <v>40.75</v>
      </c>
      <c r="AE21" s="51">
        <f t="shared" si="2"/>
        <v>79.7</v>
      </c>
    </row>
    <row r="22" ht="17" customHeight="1" spans="1:31">
      <c r="A22" s="8">
        <v>15</v>
      </c>
      <c r="B22" s="8" t="s">
        <v>81</v>
      </c>
      <c r="C22" s="9" t="s">
        <v>82</v>
      </c>
      <c r="D22" s="48">
        <v>5.9</v>
      </c>
      <c r="E22" s="48">
        <v>4.6</v>
      </c>
      <c r="F22" s="48">
        <v>5.8</v>
      </c>
      <c r="G22" s="48">
        <v>3.3</v>
      </c>
      <c r="H22" s="48">
        <v>5.9</v>
      </c>
      <c r="I22" s="48">
        <v>3.5</v>
      </c>
      <c r="J22" s="48">
        <v>5.9</v>
      </c>
      <c r="K22" s="48">
        <v>3.8</v>
      </c>
      <c r="L22" s="48">
        <v>3.3</v>
      </c>
      <c r="M22" s="48">
        <v>4.3</v>
      </c>
      <c r="N22" s="48">
        <v>1.7</v>
      </c>
      <c r="O22" s="48">
        <v>1.3</v>
      </c>
      <c r="P22" s="48">
        <v>1.6</v>
      </c>
      <c r="Q22" s="48">
        <v>1.5</v>
      </c>
      <c r="R22" s="48">
        <v>1.4</v>
      </c>
      <c r="S22" s="48">
        <v>1.6</v>
      </c>
      <c r="T22" s="48">
        <v>1.3</v>
      </c>
      <c r="U22" s="48">
        <v>1.7</v>
      </c>
      <c r="V22" s="48">
        <v>1</v>
      </c>
      <c r="W22" s="48">
        <v>1.9</v>
      </c>
      <c r="X22" s="48">
        <v>15.4</v>
      </c>
      <c r="Y22" s="48">
        <v>17.2</v>
      </c>
      <c r="Z22" s="48">
        <v>17.4</v>
      </c>
      <c r="AA22" s="48">
        <v>16.7</v>
      </c>
      <c r="AB22" s="48">
        <v>13.6</v>
      </c>
      <c r="AC22" s="49">
        <f t="shared" si="0"/>
        <v>38.15</v>
      </c>
      <c r="AD22" s="50">
        <f t="shared" si="1"/>
        <v>40.15</v>
      </c>
      <c r="AE22" s="51">
        <f t="shared" si="2"/>
        <v>78.3</v>
      </c>
    </row>
    <row r="23" ht="17" customHeight="1" spans="1:31">
      <c r="A23" s="15">
        <v>16</v>
      </c>
      <c r="B23" s="15" t="s">
        <v>83</v>
      </c>
      <c r="C23" s="16" t="s">
        <v>84</v>
      </c>
      <c r="D23" s="52">
        <v>3.2</v>
      </c>
      <c r="E23" s="52">
        <v>5</v>
      </c>
      <c r="F23" s="52">
        <v>4</v>
      </c>
      <c r="G23" s="52">
        <v>3.9</v>
      </c>
      <c r="H23" s="52">
        <v>5.5</v>
      </c>
      <c r="I23" s="52">
        <v>5.2</v>
      </c>
      <c r="J23" s="52">
        <v>3.9</v>
      </c>
      <c r="K23" s="52">
        <v>3.9</v>
      </c>
      <c r="L23" s="52">
        <v>4.2</v>
      </c>
      <c r="M23" s="52">
        <v>4.2</v>
      </c>
      <c r="N23" s="52">
        <v>1.3</v>
      </c>
      <c r="O23" s="52">
        <v>1.1</v>
      </c>
      <c r="P23" s="52">
        <v>1.4</v>
      </c>
      <c r="Q23" s="52">
        <v>1.9</v>
      </c>
      <c r="R23" s="52">
        <v>1.7</v>
      </c>
      <c r="S23" s="52">
        <v>1.9</v>
      </c>
      <c r="T23" s="52">
        <v>1.6</v>
      </c>
      <c r="U23" s="52">
        <v>1.3</v>
      </c>
      <c r="V23" s="52">
        <v>1.5</v>
      </c>
      <c r="W23" s="52">
        <v>1</v>
      </c>
      <c r="X23" s="52">
        <v>12.9</v>
      </c>
      <c r="Y23" s="52">
        <v>14.3</v>
      </c>
      <c r="Z23" s="52">
        <v>15.8</v>
      </c>
      <c r="AA23" s="52">
        <v>16.5</v>
      </c>
      <c r="AB23" s="52">
        <v>14.6</v>
      </c>
      <c r="AC23" s="49">
        <f t="shared" si="0"/>
        <v>36.2</v>
      </c>
      <c r="AD23" s="50">
        <f t="shared" si="1"/>
        <v>37.05</v>
      </c>
      <c r="AE23" s="51">
        <f t="shared" si="2"/>
        <v>73.25</v>
      </c>
    </row>
    <row r="24" ht="17" customHeight="1" spans="1:31">
      <c r="A24" s="8">
        <v>17</v>
      </c>
      <c r="B24" s="8" t="s">
        <v>85</v>
      </c>
      <c r="C24" s="9" t="s">
        <v>86</v>
      </c>
      <c r="D24" s="48">
        <v>4.3</v>
      </c>
      <c r="E24" s="48">
        <v>3.6</v>
      </c>
      <c r="F24" s="48">
        <v>4.4</v>
      </c>
      <c r="G24" s="48">
        <v>5.7</v>
      </c>
      <c r="H24" s="48">
        <v>5.4</v>
      </c>
      <c r="I24" s="48">
        <v>3.5</v>
      </c>
      <c r="J24" s="48">
        <v>3.3</v>
      </c>
      <c r="K24" s="48">
        <v>4.5</v>
      </c>
      <c r="L24" s="48">
        <v>4.9</v>
      </c>
      <c r="M24" s="48">
        <v>4</v>
      </c>
      <c r="N24" s="48">
        <v>1.8</v>
      </c>
      <c r="O24" s="48">
        <v>1.8</v>
      </c>
      <c r="P24" s="48">
        <v>1.7</v>
      </c>
      <c r="Q24" s="48">
        <v>1.2</v>
      </c>
      <c r="R24" s="48">
        <v>1.2</v>
      </c>
      <c r="S24" s="48">
        <v>1</v>
      </c>
      <c r="T24" s="48">
        <v>1.2</v>
      </c>
      <c r="U24" s="48">
        <v>1.5</v>
      </c>
      <c r="V24" s="48">
        <v>1.8</v>
      </c>
      <c r="W24" s="48">
        <v>1.1</v>
      </c>
      <c r="X24" s="48">
        <v>14.1</v>
      </c>
      <c r="Y24" s="48">
        <v>16.3</v>
      </c>
      <c r="Z24" s="48">
        <v>11.9</v>
      </c>
      <c r="AA24" s="48">
        <v>17</v>
      </c>
      <c r="AB24" s="48">
        <v>14.9</v>
      </c>
      <c r="AC24" s="49">
        <f t="shared" si="0"/>
        <v>36.1</v>
      </c>
      <c r="AD24" s="50">
        <f t="shared" si="1"/>
        <v>37.1</v>
      </c>
      <c r="AE24" s="51">
        <f t="shared" si="2"/>
        <v>73.2</v>
      </c>
    </row>
    <row r="25" ht="17" customHeight="1" spans="1:31">
      <c r="A25" s="15">
        <v>18</v>
      </c>
      <c r="B25" s="15" t="s">
        <v>87</v>
      </c>
      <c r="C25" s="16" t="s">
        <v>88</v>
      </c>
      <c r="D25" s="52">
        <v>3.7</v>
      </c>
      <c r="E25" s="52">
        <v>5</v>
      </c>
      <c r="F25" s="52">
        <v>3</v>
      </c>
      <c r="G25" s="52">
        <v>5.3</v>
      </c>
      <c r="H25" s="52">
        <v>5.3</v>
      </c>
      <c r="I25" s="52">
        <v>3.3</v>
      </c>
      <c r="J25" s="52">
        <v>4.3</v>
      </c>
      <c r="K25" s="52">
        <v>3.5</v>
      </c>
      <c r="L25" s="52">
        <v>5.9</v>
      </c>
      <c r="M25" s="52">
        <v>4.6</v>
      </c>
      <c r="N25" s="52">
        <v>1.1</v>
      </c>
      <c r="O25" s="52">
        <v>1.2</v>
      </c>
      <c r="P25" s="52">
        <v>1.8</v>
      </c>
      <c r="Q25" s="52">
        <v>1.5</v>
      </c>
      <c r="R25" s="52">
        <v>1.8</v>
      </c>
      <c r="S25" s="52">
        <v>1.7</v>
      </c>
      <c r="T25" s="52">
        <v>2</v>
      </c>
      <c r="U25" s="52">
        <v>1.6</v>
      </c>
      <c r="V25" s="52">
        <v>2</v>
      </c>
      <c r="W25" s="52">
        <v>1.9</v>
      </c>
      <c r="X25" s="52">
        <v>16.1</v>
      </c>
      <c r="Y25" s="52">
        <v>17.2</v>
      </c>
      <c r="Z25" s="52">
        <v>15</v>
      </c>
      <c r="AA25" s="52">
        <v>18.3</v>
      </c>
      <c r="AB25" s="52">
        <v>15.5</v>
      </c>
      <c r="AC25" s="49">
        <f t="shared" si="0"/>
        <v>38.55</v>
      </c>
      <c r="AD25" s="50">
        <f t="shared" si="1"/>
        <v>41.05</v>
      </c>
      <c r="AE25" s="51">
        <f t="shared" si="2"/>
        <v>79.6</v>
      </c>
    </row>
    <row r="26" ht="17" customHeight="1" spans="1:31">
      <c r="A26" s="8">
        <v>19</v>
      </c>
      <c r="B26" s="8" t="s">
        <v>89</v>
      </c>
      <c r="C26" s="9" t="s">
        <v>90</v>
      </c>
      <c r="D26" s="48">
        <v>5.7</v>
      </c>
      <c r="E26" s="48">
        <v>5.2</v>
      </c>
      <c r="F26" s="48">
        <v>4.4</v>
      </c>
      <c r="G26" s="48">
        <v>3.8</v>
      </c>
      <c r="H26" s="48">
        <v>3.7</v>
      </c>
      <c r="I26" s="48">
        <v>4.9</v>
      </c>
      <c r="J26" s="48">
        <v>5.3</v>
      </c>
      <c r="K26" s="48">
        <v>4.6</v>
      </c>
      <c r="L26" s="48">
        <v>4.9</v>
      </c>
      <c r="M26" s="48">
        <v>3.8</v>
      </c>
      <c r="N26" s="48">
        <v>1.1</v>
      </c>
      <c r="O26" s="48">
        <v>1.3</v>
      </c>
      <c r="P26" s="48">
        <v>1.3</v>
      </c>
      <c r="Q26" s="48">
        <v>1.3</v>
      </c>
      <c r="R26" s="48">
        <v>1.5</v>
      </c>
      <c r="S26" s="48">
        <v>1.1</v>
      </c>
      <c r="T26" s="48">
        <v>1.2</v>
      </c>
      <c r="U26" s="48">
        <v>1.7</v>
      </c>
      <c r="V26" s="48">
        <v>1.7</v>
      </c>
      <c r="W26" s="48">
        <v>1.1</v>
      </c>
      <c r="X26" s="48">
        <v>14.1</v>
      </c>
      <c r="Y26" s="48">
        <v>15.4</v>
      </c>
      <c r="Z26" s="48">
        <v>14.2</v>
      </c>
      <c r="AA26" s="48">
        <v>12.1</v>
      </c>
      <c r="AB26" s="48">
        <v>14.2</v>
      </c>
      <c r="AC26" s="49">
        <f t="shared" si="0"/>
        <v>36.45</v>
      </c>
      <c r="AD26" s="50">
        <f t="shared" si="1"/>
        <v>35</v>
      </c>
      <c r="AE26" s="51">
        <f t="shared" si="2"/>
        <v>71.45</v>
      </c>
    </row>
    <row r="27" ht="17" customHeight="1" spans="1:31">
      <c r="A27" s="15">
        <v>20</v>
      </c>
      <c r="B27" s="15" t="s">
        <v>91</v>
      </c>
      <c r="C27" s="16" t="s">
        <v>92</v>
      </c>
      <c r="D27" s="52">
        <v>5.7</v>
      </c>
      <c r="E27" s="52">
        <v>4.8</v>
      </c>
      <c r="F27" s="52">
        <v>5.1</v>
      </c>
      <c r="G27" s="52">
        <v>5.6</v>
      </c>
      <c r="H27" s="52">
        <v>5.3</v>
      </c>
      <c r="I27" s="52">
        <v>4.1</v>
      </c>
      <c r="J27" s="52">
        <v>3</v>
      </c>
      <c r="K27" s="52">
        <v>4.1</v>
      </c>
      <c r="L27" s="52">
        <v>5.3</v>
      </c>
      <c r="M27" s="52">
        <v>5.6</v>
      </c>
      <c r="N27" s="52">
        <v>2</v>
      </c>
      <c r="O27" s="52">
        <v>1.4</v>
      </c>
      <c r="P27" s="52">
        <v>1.7</v>
      </c>
      <c r="Q27" s="52">
        <v>1.5</v>
      </c>
      <c r="R27" s="52">
        <v>1.6</v>
      </c>
      <c r="S27" s="52">
        <v>1.2</v>
      </c>
      <c r="T27" s="52">
        <v>1.2</v>
      </c>
      <c r="U27" s="52">
        <v>1.4</v>
      </c>
      <c r="V27" s="52">
        <v>1</v>
      </c>
      <c r="W27" s="52">
        <v>1.3</v>
      </c>
      <c r="X27" s="52">
        <v>16.8</v>
      </c>
      <c r="Y27" s="52">
        <v>14</v>
      </c>
      <c r="Z27" s="52">
        <v>11.7</v>
      </c>
      <c r="AA27" s="52">
        <v>14.7</v>
      </c>
      <c r="AB27" s="52">
        <v>11.3</v>
      </c>
      <c r="AC27" s="49">
        <f t="shared" si="0"/>
        <v>38.6</v>
      </c>
      <c r="AD27" s="50">
        <f t="shared" si="1"/>
        <v>34.25</v>
      </c>
      <c r="AE27" s="51">
        <f t="shared" si="2"/>
        <v>72.85</v>
      </c>
    </row>
    <row r="28" ht="15.15"/>
    <row r="29" ht="20" customHeight="1" spans="1:31">
      <c r="A29" s="28" t="s">
        <v>93</v>
      </c>
      <c r="D29" s="53">
        <f t="shared" ref="D29:AE29" si="3">AVERAGE(D8:D27)</f>
        <v>4.555</v>
      </c>
      <c r="E29" s="53">
        <f t="shared" si="3"/>
        <v>4.395</v>
      </c>
      <c r="F29" s="53">
        <f t="shared" si="3"/>
        <v>4.585</v>
      </c>
      <c r="G29" s="53">
        <f t="shared" si="3"/>
        <v>4.54</v>
      </c>
      <c r="H29" s="53">
        <f t="shared" si="3"/>
        <v>4.85</v>
      </c>
      <c r="I29" s="53">
        <f t="shared" si="3"/>
        <v>4.445</v>
      </c>
      <c r="J29" s="53">
        <f t="shared" si="3"/>
        <v>4.085</v>
      </c>
      <c r="K29" s="53">
        <f t="shared" si="3"/>
        <v>4.53</v>
      </c>
      <c r="L29" s="53">
        <f t="shared" si="3"/>
        <v>4.525</v>
      </c>
      <c r="M29" s="53">
        <f t="shared" si="3"/>
        <v>4.515</v>
      </c>
      <c r="N29" s="53">
        <f t="shared" si="3"/>
        <v>1.54</v>
      </c>
      <c r="O29" s="53">
        <f t="shared" si="3"/>
        <v>1.535</v>
      </c>
      <c r="P29" s="53">
        <f t="shared" si="3"/>
        <v>1.455</v>
      </c>
      <c r="Q29" s="53">
        <f t="shared" si="3"/>
        <v>1.455</v>
      </c>
      <c r="R29" s="53">
        <f t="shared" si="3"/>
        <v>1.565</v>
      </c>
      <c r="S29" s="53">
        <f t="shared" si="3"/>
        <v>1.515</v>
      </c>
      <c r="T29" s="53">
        <f t="shared" si="3"/>
        <v>1.4</v>
      </c>
      <c r="U29" s="53">
        <f t="shared" si="3"/>
        <v>1.5</v>
      </c>
      <c r="V29" s="53">
        <f t="shared" si="3"/>
        <v>1.495</v>
      </c>
      <c r="W29" s="53">
        <f t="shared" si="3"/>
        <v>1.315</v>
      </c>
      <c r="X29" s="53">
        <f t="shared" si="3"/>
        <v>16.06</v>
      </c>
      <c r="Y29" s="53">
        <f t="shared" si="3"/>
        <v>15.94</v>
      </c>
      <c r="Z29" s="53">
        <f t="shared" si="3"/>
        <v>14.68</v>
      </c>
      <c r="AA29" s="53">
        <f t="shared" si="3"/>
        <v>16.04</v>
      </c>
      <c r="AB29" s="53">
        <f t="shared" si="3"/>
        <v>14.5</v>
      </c>
      <c r="AC29" s="43">
        <f t="shared" si="3"/>
        <v>37.2875</v>
      </c>
      <c r="AD29" s="43">
        <f t="shared" si="3"/>
        <v>38.61</v>
      </c>
      <c r="AE29" s="43">
        <f t="shared" si="3"/>
        <v>75.8975</v>
      </c>
    </row>
    <row r="30" ht="15.15"/>
    <row r="31" ht="37" customHeight="1" spans="1:31">
      <c r="A31" s="31" t="s">
        <v>94</v>
      </c>
      <c r="D31" s="54">
        <f>IFERROR((D29/D6+I29/I6+N29/N6+S29/S6+X29/X6)/5,0)</f>
        <v>0.7661</v>
      </c>
      <c r="E31" s="54">
        <f>IFERROR((E29/E6+J29/J6+O29/O6+T29/T6+Y29/Y6)/5,0)</f>
        <v>0.735566666666667</v>
      </c>
      <c r="F31" s="54">
        <f>IFERROR((F29/F6+K29/K6+P29/P6+U29/U6+Z29/Z6)/5,0)</f>
        <v>0.746133333333333</v>
      </c>
      <c r="G31" s="54">
        <f>IFERROR((G29/G6+L29/L6+Q29/Q6+V29/V6+AA29/AA6)/5,0)</f>
        <v>0.757566666666667</v>
      </c>
      <c r="H31" s="54">
        <f>IFERROR((H29/H6+M29/M6+R29/R6+W29/W6+AB29/AB6)/5,0)</f>
        <v>0.745166666666667</v>
      </c>
    </row>
    <row r="32" ht="42" customHeight="1" spans="1:31">
      <c r="A32" s="30" t="s">
        <v>95</v>
      </c>
      <c r="D32" s="55">
        <f>IF(D31&gt;=0.6,3,IF(D31&gt;=0.4,2,1))</f>
        <v>3</v>
      </c>
      <c r="E32" s="55">
        <f>IF(E31&gt;=0.6,3,IF(E31&gt;=0.4,2,1))</f>
        <v>3</v>
      </c>
      <c r="F32" s="55">
        <f>IF(F31&gt;=0.6,3,IF(F31&gt;=0.4,2,1))</f>
        <v>3</v>
      </c>
      <c r="G32" s="55">
        <f>IF(G31&gt;=0.6,3,IF(G31&gt;=0.4,2,1))</f>
        <v>3</v>
      </c>
      <c r="H32" s="55">
        <f>IF(H31&gt;=0.6,3,IF(H31&gt;=0.4,2,1))</f>
        <v>3</v>
      </c>
    </row>
    <row r="33" ht="33" customHeight="1" spans="1:8">
      <c r="A33" s="29" t="s">
        <v>96</v>
      </c>
      <c r="D33" s="56">
        <f>IFERROR((D29/D6+I29/I6+N29/N6+S29/S6)/4,0)</f>
        <v>0.756875</v>
      </c>
      <c r="E33" s="56">
        <f>IFERROR((E29/E6+J29/J6+O29/O6+T29/T6)/4,0)</f>
        <v>0.720208333333333</v>
      </c>
      <c r="F33" s="56">
        <f>IFERROR((F29/F6+K29/K6+P29/P6+U29/U6)/4,0)</f>
        <v>0.749166666666667</v>
      </c>
      <c r="G33" s="56">
        <f>IFERROR((G29/G6+L29/L6+Q29/Q6+V29/V6)/4,0)</f>
        <v>0.746458333333333</v>
      </c>
      <c r="H33" s="56">
        <f>IFERROR((H29/H6+M29/M6+R29/R6+W29/W6)/4,0)</f>
        <v>0.750208333333333</v>
      </c>
    </row>
    <row r="34" ht="34" customHeight="1" spans="1:8">
      <c r="A34" s="30" t="s">
        <v>97</v>
      </c>
      <c r="D34" s="57">
        <f>IFERROR(X29/X6,0)</f>
        <v>0.803</v>
      </c>
      <c r="E34" s="57">
        <f>IFERROR(Y29/Y6,0)</f>
        <v>0.797</v>
      </c>
      <c r="F34" s="57">
        <f>IFERROR(Z29/Z6,0)</f>
        <v>0.734</v>
      </c>
      <c r="G34" s="57">
        <f>IFERROR(AA29/AA6,0)</f>
        <v>0.802</v>
      </c>
      <c r="H34" s="57">
        <f>IFERROR(AB29/AB6,0)</f>
        <v>0.725</v>
      </c>
    </row>
    <row r="35" ht="15.15"/>
    <row r="36" ht="18" customHeight="1" spans="1:8">
      <c r="A36" s="28" t="s">
        <v>98</v>
      </c>
      <c r="D36" s="58">
        <f>(D33+E33+F33+G33+H33)/5</f>
        <v>0.744583333333333</v>
      </c>
      <c r="E36" s="59">
        <f>(D34+E34+F34+G34+H34)/5</f>
        <v>0.7722</v>
      </c>
      <c r="F36" s="54">
        <f>(D31+E31+F31+G31+H31)/5</f>
        <v>0.750106666666667</v>
      </c>
    </row>
  </sheetData>
  <mergeCells count="16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7:C7"/>
    <mergeCell ref="A29:C29"/>
    <mergeCell ref="A31:C31"/>
    <mergeCell ref="A32:C32"/>
    <mergeCell ref="A33:C33"/>
    <mergeCell ref="A34:C34"/>
    <mergeCell ref="A36:C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E1"/>
    </sheetView>
  </sheetViews>
  <sheetFormatPr defaultColWidth="9" defaultRowHeight="14.4"/>
  <cols>
    <col min="1" max="1" width="6" customWidth="1"/>
    <col min="2" max="2" width="10" customWidth="1"/>
    <col min="3" max="3" width="22" customWidth="1"/>
    <col min="4" max="31" width="9" customWidth="1"/>
  </cols>
  <sheetData>
    <row r="1" ht="32" customHeight="1" spans="1:31">
      <c r="A1" s="21" t="s">
        <v>99</v>
      </c>
    </row>
    <row r="2" ht="16" customHeight="1" spans="1:31">
      <c r="A2" s="22" t="s">
        <v>36</v>
      </c>
    </row>
    <row r="3" ht="6" customHeight="1"/>
    <row r="4" ht="22" customHeight="1" spans="1:31">
      <c r="A4" s="23" t="s">
        <v>37</v>
      </c>
      <c r="D4" s="24" t="s">
        <v>38</v>
      </c>
      <c r="I4" s="25" t="s">
        <v>39</v>
      </c>
      <c r="N4" s="26" t="s">
        <v>40</v>
      </c>
      <c r="S4" s="27" t="s">
        <v>41</v>
      </c>
      <c r="X4" s="28" t="s">
        <v>42</v>
      </c>
      <c r="AC4" s="29" t="s">
        <v>43</v>
      </c>
      <c r="AD4" s="30" t="s">
        <v>44</v>
      </c>
      <c r="AE4" s="31" t="s">
        <v>45</v>
      </c>
    </row>
    <row r="5" ht="18" customHeight="1" spans="1:31">
      <c r="A5" s="23" t="s">
        <v>46</v>
      </c>
      <c r="B5" s="23" t="s">
        <v>47</v>
      </c>
      <c r="C5" s="23" t="s">
        <v>48</v>
      </c>
      <c r="D5" s="32" t="s">
        <v>9</v>
      </c>
      <c r="E5" s="32" t="s">
        <v>10</v>
      </c>
      <c r="F5" s="32" t="s">
        <v>11</v>
      </c>
      <c r="G5" s="32" t="s">
        <v>12</v>
      </c>
      <c r="H5" s="32" t="s">
        <v>13</v>
      </c>
      <c r="I5" s="33" t="s">
        <v>9</v>
      </c>
      <c r="J5" s="33" t="s">
        <v>10</v>
      </c>
      <c r="K5" s="33" t="s">
        <v>11</v>
      </c>
      <c r="L5" s="33" t="s">
        <v>12</v>
      </c>
      <c r="M5" s="33" t="s">
        <v>13</v>
      </c>
      <c r="N5" s="34" t="s">
        <v>9</v>
      </c>
      <c r="O5" s="34" t="s">
        <v>10</v>
      </c>
      <c r="P5" s="34" t="s">
        <v>11</v>
      </c>
      <c r="Q5" s="34" t="s">
        <v>12</v>
      </c>
      <c r="R5" s="34" t="s">
        <v>13</v>
      </c>
      <c r="S5" s="35" t="s">
        <v>9</v>
      </c>
      <c r="T5" s="35" t="s">
        <v>10</v>
      </c>
      <c r="U5" s="35" t="s">
        <v>11</v>
      </c>
      <c r="V5" s="35" t="s">
        <v>12</v>
      </c>
      <c r="W5" s="35" t="s">
        <v>13</v>
      </c>
      <c r="X5" s="36" t="s">
        <v>9</v>
      </c>
      <c r="Y5" s="36" t="s">
        <v>10</v>
      </c>
      <c r="Z5" s="36" t="s">
        <v>11</v>
      </c>
      <c r="AA5" s="36" t="s">
        <v>12</v>
      </c>
      <c r="AB5" s="36" t="s">
        <v>13</v>
      </c>
      <c r="AC5" s="37" t="s">
        <v>49</v>
      </c>
      <c r="AD5" s="38" t="s">
        <v>49</v>
      </c>
      <c r="AE5" s="39" t="s">
        <v>49</v>
      </c>
    </row>
    <row r="6" ht="18" customHeight="1" spans="1:31">
      <c r="A6" s="40" t="s">
        <v>50</v>
      </c>
      <c r="B6" s="41"/>
      <c r="C6" s="42"/>
      <c r="D6" s="43">
        <v>6</v>
      </c>
      <c r="E6" s="43">
        <v>6</v>
      </c>
      <c r="F6" s="43">
        <v>6</v>
      </c>
      <c r="G6" s="43">
        <v>6</v>
      </c>
      <c r="H6" s="43">
        <v>6</v>
      </c>
      <c r="I6" s="43">
        <v>6</v>
      </c>
      <c r="J6" s="43">
        <v>6</v>
      </c>
      <c r="K6" s="43">
        <v>6</v>
      </c>
      <c r="L6" s="43">
        <v>6</v>
      </c>
      <c r="M6" s="43">
        <v>6</v>
      </c>
      <c r="N6" s="43">
        <v>2</v>
      </c>
      <c r="O6" s="43">
        <v>2</v>
      </c>
      <c r="P6" s="43">
        <v>2</v>
      </c>
      <c r="Q6" s="43">
        <v>2</v>
      </c>
      <c r="R6" s="43">
        <v>2</v>
      </c>
      <c r="S6" s="43">
        <v>2</v>
      </c>
      <c r="T6" s="43">
        <v>2</v>
      </c>
      <c r="U6" s="43">
        <v>2</v>
      </c>
      <c r="V6" s="43">
        <v>2</v>
      </c>
      <c r="W6" s="43">
        <v>2</v>
      </c>
      <c r="X6" s="43">
        <v>20</v>
      </c>
      <c r="Y6" s="43">
        <v>20</v>
      </c>
      <c r="Z6" s="43">
        <v>20</v>
      </c>
      <c r="AA6" s="43">
        <v>20</v>
      </c>
      <c r="AB6" s="43">
        <v>20</v>
      </c>
      <c r="AC6" s="44">
        <v>50</v>
      </c>
      <c r="AD6" s="45">
        <v>50</v>
      </c>
      <c r="AE6" s="46">
        <v>100</v>
      </c>
    </row>
    <row r="7" ht="14" customHeight="1" spans="1:31">
      <c r="A7" s="47" t="s">
        <v>51</v>
      </c>
      <c r="D7" s="8" t="s">
        <v>52</v>
      </c>
      <c r="E7" s="8" t="s">
        <v>52</v>
      </c>
      <c r="F7" s="8" t="s">
        <v>52</v>
      </c>
      <c r="G7" s="8" t="s">
        <v>52</v>
      </c>
      <c r="H7" s="8" t="s">
        <v>52</v>
      </c>
      <c r="I7" s="8" t="s">
        <v>52</v>
      </c>
      <c r="J7" s="8" t="s">
        <v>52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 t="s">
        <v>52</v>
      </c>
      <c r="Q7" s="8" t="s">
        <v>52</v>
      </c>
      <c r="R7" s="8" t="s">
        <v>52</v>
      </c>
      <c r="S7" s="8" t="s">
        <v>52</v>
      </c>
      <c r="T7" s="8" t="s">
        <v>52</v>
      </c>
      <c r="U7" s="8" t="s">
        <v>52</v>
      </c>
      <c r="V7" s="8" t="s">
        <v>52</v>
      </c>
      <c r="W7" s="8" t="s">
        <v>52</v>
      </c>
      <c r="X7" s="8" t="s">
        <v>52</v>
      </c>
      <c r="Y7" s="8" t="s">
        <v>52</v>
      </c>
      <c r="Z7" s="8" t="s">
        <v>52</v>
      </c>
      <c r="AA7" s="8" t="s">
        <v>52</v>
      </c>
      <c r="AB7" s="8" t="s">
        <v>52</v>
      </c>
      <c r="AC7" s="8" t="s">
        <v>52</v>
      </c>
      <c r="AD7" s="8" t="s">
        <v>52</v>
      </c>
      <c r="AE7" s="8" t="s">
        <v>52</v>
      </c>
    </row>
    <row r="8" ht="17" customHeight="1" spans="1:31">
      <c r="A8" s="8">
        <v>1</v>
      </c>
      <c r="B8" s="8" t="s">
        <v>53</v>
      </c>
      <c r="C8" s="9" t="s">
        <v>54</v>
      </c>
      <c r="D8" s="48">
        <v>4.9</v>
      </c>
      <c r="E8" s="48">
        <v>3.1</v>
      </c>
      <c r="F8" s="48">
        <v>4.2</v>
      </c>
      <c r="G8" s="48">
        <v>4.7</v>
      </c>
      <c r="H8" s="48">
        <v>3.1</v>
      </c>
      <c r="I8" s="48">
        <v>4.9</v>
      </c>
      <c r="J8" s="48">
        <v>3.4</v>
      </c>
      <c r="K8" s="48">
        <v>4.4</v>
      </c>
      <c r="L8" s="48">
        <v>3.2</v>
      </c>
      <c r="M8" s="48">
        <v>4.1</v>
      </c>
      <c r="N8" s="48">
        <v>1.2</v>
      </c>
      <c r="O8" s="48">
        <v>1.3</v>
      </c>
      <c r="P8" s="48">
        <v>1.8</v>
      </c>
      <c r="Q8" s="48">
        <v>1.4</v>
      </c>
      <c r="R8" s="48">
        <v>1.8</v>
      </c>
      <c r="S8" s="48">
        <v>1.8</v>
      </c>
      <c r="T8" s="48">
        <v>1.3</v>
      </c>
      <c r="U8" s="48">
        <v>1.1</v>
      </c>
      <c r="V8" s="48">
        <v>1</v>
      </c>
      <c r="W8" s="48">
        <v>1.5</v>
      </c>
      <c r="X8" s="48">
        <v>20</v>
      </c>
      <c r="Y8" s="48">
        <v>13.5</v>
      </c>
      <c r="Z8" s="48">
        <v>16.5</v>
      </c>
      <c r="AA8" s="48">
        <v>17.8</v>
      </c>
      <c r="AB8" s="48">
        <v>16.5</v>
      </c>
      <c r="AC8" s="49">
        <f t="shared" ref="AC8:AC27" si="0">(SUM(D8:H8)+SUM(I8:M8))/2+SUM(N8:R8)+SUM(S8:W8)</f>
        <v>34.2</v>
      </c>
      <c r="AD8" s="50">
        <f t="shared" ref="AD8:AD27" si="1">SUM(X8:AB8)/100*50</f>
        <v>42.15</v>
      </c>
      <c r="AE8" s="51">
        <f t="shared" ref="AE8:AE27" si="2">AC8+AD8</f>
        <v>76.35</v>
      </c>
    </row>
    <row r="9" ht="17" customHeight="1" spans="1:31">
      <c r="A9" s="15">
        <v>2</v>
      </c>
      <c r="B9" s="15" t="s">
        <v>55</v>
      </c>
      <c r="C9" s="16" t="s">
        <v>56</v>
      </c>
      <c r="D9" s="52">
        <v>5.3</v>
      </c>
      <c r="E9" s="52">
        <v>5.8</v>
      </c>
      <c r="F9" s="52">
        <v>3.6</v>
      </c>
      <c r="G9" s="52">
        <v>3.1</v>
      </c>
      <c r="H9" s="52">
        <v>3.5</v>
      </c>
      <c r="I9" s="52">
        <v>3.4</v>
      </c>
      <c r="J9" s="52">
        <v>5</v>
      </c>
      <c r="K9" s="52">
        <v>4.7</v>
      </c>
      <c r="L9" s="52">
        <v>3.7</v>
      </c>
      <c r="M9" s="52">
        <v>5.1</v>
      </c>
      <c r="N9" s="52">
        <v>1.8</v>
      </c>
      <c r="O9" s="52">
        <v>1.2</v>
      </c>
      <c r="P9" s="52">
        <v>1.6</v>
      </c>
      <c r="Q9" s="52">
        <v>1.7</v>
      </c>
      <c r="R9" s="52">
        <v>1.1</v>
      </c>
      <c r="S9" s="52">
        <v>1.8</v>
      </c>
      <c r="T9" s="52">
        <v>2</v>
      </c>
      <c r="U9" s="52">
        <v>1.1</v>
      </c>
      <c r="V9" s="52">
        <v>1</v>
      </c>
      <c r="W9" s="52">
        <v>1.3</v>
      </c>
      <c r="X9" s="52">
        <v>16.8</v>
      </c>
      <c r="Y9" s="52">
        <v>19.6</v>
      </c>
      <c r="Z9" s="52">
        <v>14</v>
      </c>
      <c r="AA9" s="52">
        <v>17.2</v>
      </c>
      <c r="AB9" s="52">
        <v>10.8</v>
      </c>
      <c r="AC9" s="49">
        <f t="shared" si="0"/>
        <v>36.2</v>
      </c>
      <c r="AD9" s="50">
        <f t="shared" si="1"/>
        <v>39.2</v>
      </c>
      <c r="AE9" s="51">
        <f t="shared" si="2"/>
        <v>75.4</v>
      </c>
    </row>
    <row r="10" ht="17" customHeight="1" spans="1:31">
      <c r="A10" s="8">
        <v>3</v>
      </c>
      <c r="B10" s="8" t="s">
        <v>57</v>
      </c>
      <c r="C10" s="9" t="s">
        <v>58</v>
      </c>
      <c r="D10" s="48">
        <v>5.1</v>
      </c>
      <c r="E10" s="48">
        <v>4.9</v>
      </c>
      <c r="F10" s="48">
        <v>3.3</v>
      </c>
      <c r="G10" s="48">
        <v>5.3</v>
      </c>
      <c r="H10" s="48">
        <v>5.6</v>
      </c>
      <c r="I10" s="48">
        <v>4.8</v>
      </c>
      <c r="J10" s="48">
        <v>3.4</v>
      </c>
      <c r="K10" s="48">
        <v>6</v>
      </c>
      <c r="L10" s="48">
        <v>5.3</v>
      </c>
      <c r="M10" s="48">
        <v>4</v>
      </c>
      <c r="N10" s="48">
        <v>1.4</v>
      </c>
      <c r="O10" s="48">
        <v>1.4</v>
      </c>
      <c r="P10" s="48">
        <v>1.5</v>
      </c>
      <c r="Q10" s="48">
        <v>1.3</v>
      </c>
      <c r="R10" s="48">
        <v>1.8</v>
      </c>
      <c r="S10" s="48">
        <v>1.8</v>
      </c>
      <c r="T10" s="48">
        <v>1.1</v>
      </c>
      <c r="U10" s="48">
        <v>2</v>
      </c>
      <c r="V10" s="48">
        <v>1.6</v>
      </c>
      <c r="W10" s="48">
        <v>1.8</v>
      </c>
      <c r="X10" s="48">
        <v>17.1</v>
      </c>
      <c r="Y10" s="48">
        <v>14.4</v>
      </c>
      <c r="Z10" s="48">
        <v>17.3</v>
      </c>
      <c r="AA10" s="48">
        <v>19.7</v>
      </c>
      <c r="AB10" s="48">
        <v>12.7</v>
      </c>
      <c r="AC10" s="49">
        <f t="shared" si="0"/>
        <v>39.55</v>
      </c>
      <c r="AD10" s="50">
        <f t="shared" si="1"/>
        <v>40.6</v>
      </c>
      <c r="AE10" s="51">
        <f t="shared" si="2"/>
        <v>80.15</v>
      </c>
    </row>
    <row r="11" ht="17" customHeight="1" spans="1:31">
      <c r="A11" s="15">
        <v>4</v>
      </c>
      <c r="B11" s="15" t="s">
        <v>59</v>
      </c>
      <c r="C11" s="16" t="s">
        <v>60</v>
      </c>
      <c r="D11" s="52">
        <v>5.4</v>
      </c>
      <c r="E11" s="52">
        <v>4.6</v>
      </c>
      <c r="F11" s="52">
        <v>4.5</v>
      </c>
      <c r="G11" s="52">
        <v>4.3</v>
      </c>
      <c r="H11" s="52">
        <v>5.2</v>
      </c>
      <c r="I11" s="52">
        <v>3.8</v>
      </c>
      <c r="J11" s="52">
        <v>5.6</v>
      </c>
      <c r="K11" s="52">
        <v>5.5</v>
      </c>
      <c r="L11" s="52">
        <v>3.3</v>
      </c>
      <c r="M11" s="52">
        <v>5.6</v>
      </c>
      <c r="N11" s="52">
        <v>1.2</v>
      </c>
      <c r="O11" s="52">
        <v>1.5</v>
      </c>
      <c r="P11" s="52">
        <v>1.6</v>
      </c>
      <c r="Q11" s="52">
        <v>1.4</v>
      </c>
      <c r="R11" s="52">
        <v>1</v>
      </c>
      <c r="S11" s="52">
        <v>1.9</v>
      </c>
      <c r="T11" s="52">
        <v>1.2</v>
      </c>
      <c r="U11" s="52">
        <v>1.2</v>
      </c>
      <c r="V11" s="52">
        <v>1.8</v>
      </c>
      <c r="W11" s="52">
        <v>1.3</v>
      </c>
      <c r="X11" s="52">
        <v>18.8</v>
      </c>
      <c r="Y11" s="52">
        <v>17</v>
      </c>
      <c r="Z11" s="52">
        <v>12.8</v>
      </c>
      <c r="AA11" s="52">
        <v>10.1</v>
      </c>
      <c r="AB11" s="52">
        <v>19.5</v>
      </c>
      <c r="AC11" s="49">
        <f t="shared" si="0"/>
        <v>38</v>
      </c>
      <c r="AD11" s="50">
        <f t="shared" si="1"/>
        <v>39.1</v>
      </c>
      <c r="AE11" s="51">
        <f t="shared" si="2"/>
        <v>77.1</v>
      </c>
    </row>
    <row r="12" ht="17" customHeight="1" spans="1:31">
      <c r="A12" s="8">
        <v>5</v>
      </c>
      <c r="B12" s="8" t="s">
        <v>61</v>
      </c>
      <c r="C12" s="9" t="s">
        <v>62</v>
      </c>
      <c r="D12" s="48">
        <v>3.3</v>
      </c>
      <c r="E12" s="48">
        <v>5.2</v>
      </c>
      <c r="F12" s="48">
        <v>4.5</v>
      </c>
      <c r="G12" s="48">
        <v>5.3</v>
      </c>
      <c r="H12" s="48">
        <v>5.1</v>
      </c>
      <c r="I12" s="48">
        <v>4.9</v>
      </c>
      <c r="J12" s="48">
        <v>4.5</v>
      </c>
      <c r="K12" s="48">
        <v>5.4</v>
      </c>
      <c r="L12" s="48">
        <v>3.3</v>
      </c>
      <c r="M12" s="48">
        <v>3.7</v>
      </c>
      <c r="N12" s="48">
        <v>1.7</v>
      </c>
      <c r="O12" s="48">
        <v>1.3</v>
      </c>
      <c r="P12" s="48">
        <v>1.6</v>
      </c>
      <c r="Q12" s="48">
        <v>1.5</v>
      </c>
      <c r="R12" s="48">
        <v>1.5</v>
      </c>
      <c r="S12" s="48">
        <v>1.4</v>
      </c>
      <c r="T12" s="48">
        <v>1.7</v>
      </c>
      <c r="U12" s="48">
        <v>1.3</v>
      </c>
      <c r="V12" s="48">
        <v>1.7</v>
      </c>
      <c r="W12" s="48">
        <v>1.3</v>
      </c>
      <c r="X12" s="48">
        <v>12.5</v>
      </c>
      <c r="Y12" s="48">
        <v>11.2</v>
      </c>
      <c r="Z12" s="48">
        <v>11.9</v>
      </c>
      <c r="AA12" s="48">
        <v>11.2</v>
      </c>
      <c r="AB12" s="48">
        <v>15.4</v>
      </c>
      <c r="AC12" s="49">
        <f t="shared" si="0"/>
        <v>37.6</v>
      </c>
      <c r="AD12" s="50">
        <f t="shared" si="1"/>
        <v>31.1</v>
      </c>
      <c r="AE12" s="51">
        <f t="shared" si="2"/>
        <v>68.7</v>
      </c>
    </row>
    <row r="13" ht="17" customHeight="1" spans="1:31">
      <c r="A13" s="15">
        <v>6</v>
      </c>
      <c r="B13" s="15" t="s">
        <v>63</v>
      </c>
      <c r="C13" s="16" t="s">
        <v>64</v>
      </c>
      <c r="D13" s="52">
        <v>5.3</v>
      </c>
      <c r="E13" s="52">
        <v>3.6</v>
      </c>
      <c r="F13" s="52">
        <v>3.6</v>
      </c>
      <c r="G13" s="52">
        <v>4.5</v>
      </c>
      <c r="H13" s="52">
        <v>5.2</v>
      </c>
      <c r="I13" s="52">
        <v>5.9</v>
      </c>
      <c r="J13" s="52">
        <v>4.6</v>
      </c>
      <c r="K13" s="52">
        <v>3.8</v>
      </c>
      <c r="L13" s="52">
        <v>3.3</v>
      </c>
      <c r="M13" s="52">
        <v>3.6</v>
      </c>
      <c r="N13" s="52">
        <v>1.2</v>
      </c>
      <c r="O13" s="52">
        <v>1.2</v>
      </c>
      <c r="P13" s="52">
        <v>1</v>
      </c>
      <c r="Q13" s="52">
        <v>1.5</v>
      </c>
      <c r="R13" s="52">
        <v>1.3</v>
      </c>
      <c r="S13" s="52">
        <v>2</v>
      </c>
      <c r="T13" s="52">
        <v>1.6</v>
      </c>
      <c r="U13" s="52">
        <v>1.7</v>
      </c>
      <c r="V13" s="52">
        <v>1.1</v>
      </c>
      <c r="W13" s="52">
        <v>1.9</v>
      </c>
      <c r="X13" s="52">
        <v>14.9</v>
      </c>
      <c r="Y13" s="52">
        <v>18.7</v>
      </c>
      <c r="Z13" s="52">
        <v>15.7</v>
      </c>
      <c r="AA13" s="52">
        <v>14.7</v>
      </c>
      <c r="AB13" s="52">
        <v>14.4</v>
      </c>
      <c r="AC13" s="49">
        <f t="shared" si="0"/>
        <v>36.2</v>
      </c>
      <c r="AD13" s="50">
        <f t="shared" si="1"/>
        <v>39.2</v>
      </c>
      <c r="AE13" s="51">
        <f t="shared" si="2"/>
        <v>75.4</v>
      </c>
    </row>
    <row r="14" ht="17" customHeight="1" spans="1:31">
      <c r="A14" s="8">
        <v>7</v>
      </c>
      <c r="B14" s="8" t="s">
        <v>65</v>
      </c>
      <c r="C14" s="9" t="s">
        <v>66</v>
      </c>
      <c r="D14" s="48">
        <v>3.6</v>
      </c>
      <c r="E14" s="48">
        <v>3.2</v>
      </c>
      <c r="F14" s="48">
        <v>5.8</v>
      </c>
      <c r="G14" s="48">
        <v>4.4</v>
      </c>
      <c r="H14" s="48">
        <v>5.5</v>
      </c>
      <c r="I14" s="48">
        <v>4.2</v>
      </c>
      <c r="J14" s="48">
        <v>3.2</v>
      </c>
      <c r="K14" s="48">
        <v>4.9</v>
      </c>
      <c r="L14" s="48">
        <v>3.2</v>
      </c>
      <c r="M14" s="48">
        <v>3.4</v>
      </c>
      <c r="N14" s="48">
        <v>1.6</v>
      </c>
      <c r="O14" s="48">
        <v>1.3</v>
      </c>
      <c r="P14" s="48">
        <v>2</v>
      </c>
      <c r="Q14" s="48">
        <v>1.1</v>
      </c>
      <c r="R14" s="48">
        <v>1.8</v>
      </c>
      <c r="S14" s="48">
        <v>1.6</v>
      </c>
      <c r="T14" s="48">
        <v>1.8</v>
      </c>
      <c r="U14" s="48">
        <v>1.2</v>
      </c>
      <c r="V14" s="48">
        <v>1.5</v>
      </c>
      <c r="W14" s="48">
        <v>1.5</v>
      </c>
      <c r="X14" s="48">
        <v>14.4</v>
      </c>
      <c r="Y14" s="48">
        <v>18.6</v>
      </c>
      <c r="Z14" s="48">
        <v>19.9</v>
      </c>
      <c r="AA14" s="48">
        <v>13.1</v>
      </c>
      <c r="AB14" s="48">
        <v>16.2</v>
      </c>
      <c r="AC14" s="49">
        <f t="shared" si="0"/>
        <v>36.1</v>
      </c>
      <c r="AD14" s="50">
        <f t="shared" si="1"/>
        <v>41.1</v>
      </c>
      <c r="AE14" s="51">
        <f t="shared" si="2"/>
        <v>77.2</v>
      </c>
    </row>
    <row r="15" ht="17" customHeight="1" spans="1:31">
      <c r="A15" s="15">
        <v>8</v>
      </c>
      <c r="B15" s="15" t="s">
        <v>67</v>
      </c>
      <c r="C15" s="16" t="s">
        <v>68</v>
      </c>
      <c r="D15" s="52">
        <v>4.8</v>
      </c>
      <c r="E15" s="52">
        <v>5.2</v>
      </c>
      <c r="F15" s="52">
        <v>5.8</v>
      </c>
      <c r="G15" s="52">
        <v>3.6</v>
      </c>
      <c r="H15" s="52">
        <v>3.6</v>
      </c>
      <c r="I15" s="52">
        <v>5</v>
      </c>
      <c r="J15" s="52">
        <v>3.5</v>
      </c>
      <c r="K15" s="52">
        <v>3.5</v>
      </c>
      <c r="L15" s="52">
        <v>3.2</v>
      </c>
      <c r="M15" s="52">
        <v>3</v>
      </c>
      <c r="N15" s="52">
        <v>1.5</v>
      </c>
      <c r="O15" s="52">
        <v>1.6</v>
      </c>
      <c r="P15" s="52">
        <v>1.3</v>
      </c>
      <c r="Q15" s="52">
        <v>1.2</v>
      </c>
      <c r="R15" s="52">
        <v>1.7</v>
      </c>
      <c r="S15" s="52">
        <v>1.7</v>
      </c>
      <c r="T15" s="52">
        <v>1.5</v>
      </c>
      <c r="U15" s="52">
        <v>1.7</v>
      </c>
      <c r="V15" s="52">
        <v>1.9</v>
      </c>
      <c r="W15" s="52">
        <v>1.8</v>
      </c>
      <c r="X15" s="52">
        <v>16.3</v>
      </c>
      <c r="Y15" s="52">
        <v>16.6</v>
      </c>
      <c r="Z15" s="52">
        <v>19.3</v>
      </c>
      <c r="AA15" s="52">
        <v>14.3</v>
      </c>
      <c r="AB15" s="52">
        <v>15.4</v>
      </c>
      <c r="AC15" s="49">
        <f t="shared" si="0"/>
        <v>36.5</v>
      </c>
      <c r="AD15" s="50">
        <f t="shared" si="1"/>
        <v>40.95</v>
      </c>
      <c r="AE15" s="51">
        <f t="shared" si="2"/>
        <v>77.45</v>
      </c>
    </row>
    <row r="16" ht="17" customHeight="1" spans="1:31">
      <c r="A16" s="8">
        <v>9</v>
      </c>
      <c r="B16" s="8" t="s">
        <v>69</v>
      </c>
      <c r="C16" s="9" t="s">
        <v>70</v>
      </c>
      <c r="D16" s="48">
        <v>4.9</v>
      </c>
      <c r="E16" s="48">
        <v>5.7</v>
      </c>
      <c r="F16" s="48">
        <v>5.5</v>
      </c>
      <c r="G16" s="48">
        <v>3.2</v>
      </c>
      <c r="H16" s="48">
        <v>3.5</v>
      </c>
      <c r="I16" s="48">
        <v>3.9</v>
      </c>
      <c r="J16" s="48">
        <v>5.2</v>
      </c>
      <c r="K16" s="48">
        <v>4.7</v>
      </c>
      <c r="L16" s="48">
        <v>3.9</v>
      </c>
      <c r="M16" s="48">
        <v>3.4</v>
      </c>
      <c r="N16" s="48">
        <v>1.7</v>
      </c>
      <c r="O16" s="48">
        <v>1.7</v>
      </c>
      <c r="P16" s="48">
        <v>1.9</v>
      </c>
      <c r="Q16" s="48">
        <v>1.5</v>
      </c>
      <c r="R16" s="48">
        <v>1.5</v>
      </c>
      <c r="S16" s="48">
        <v>1.1</v>
      </c>
      <c r="T16" s="48">
        <v>1</v>
      </c>
      <c r="U16" s="48">
        <v>1.4</v>
      </c>
      <c r="V16" s="48">
        <v>1.3</v>
      </c>
      <c r="W16" s="48">
        <v>1.3</v>
      </c>
      <c r="X16" s="48">
        <v>10.9</v>
      </c>
      <c r="Y16" s="48">
        <v>19.6</v>
      </c>
      <c r="Z16" s="48">
        <v>18.4</v>
      </c>
      <c r="AA16" s="48">
        <v>15.8</v>
      </c>
      <c r="AB16" s="48">
        <v>19.5</v>
      </c>
      <c r="AC16" s="49">
        <f t="shared" si="0"/>
        <v>36.35</v>
      </c>
      <c r="AD16" s="50">
        <f t="shared" si="1"/>
        <v>42.1</v>
      </c>
      <c r="AE16" s="51">
        <f t="shared" si="2"/>
        <v>78.45</v>
      </c>
    </row>
    <row r="17" ht="17" customHeight="1" spans="1:31">
      <c r="A17" s="15">
        <v>10</v>
      </c>
      <c r="B17" s="15" t="s">
        <v>71</v>
      </c>
      <c r="C17" s="16" t="s">
        <v>72</v>
      </c>
      <c r="D17" s="52">
        <v>6</v>
      </c>
      <c r="E17" s="52">
        <v>5</v>
      </c>
      <c r="F17" s="52">
        <v>3.8</v>
      </c>
      <c r="G17" s="52">
        <v>3.1</v>
      </c>
      <c r="H17" s="52">
        <v>5.3</v>
      </c>
      <c r="I17" s="52">
        <v>4.4</v>
      </c>
      <c r="J17" s="52">
        <v>5</v>
      </c>
      <c r="K17" s="52">
        <v>5.7</v>
      </c>
      <c r="L17" s="52">
        <v>3.5</v>
      </c>
      <c r="M17" s="52">
        <v>4.8</v>
      </c>
      <c r="N17" s="52">
        <v>1.6</v>
      </c>
      <c r="O17" s="52">
        <v>1.5</v>
      </c>
      <c r="P17" s="52">
        <v>1.1</v>
      </c>
      <c r="Q17" s="52">
        <v>1.3</v>
      </c>
      <c r="R17" s="52">
        <v>1.3</v>
      </c>
      <c r="S17" s="52">
        <v>1.7</v>
      </c>
      <c r="T17" s="52">
        <v>1.9</v>
      </c>
      <c r="U17" s="52">
        <v>1.3</v>
      </c>
      <c r="V17" s="52">
        <v>1.7</v>
      </c>
      <c r="W17" s="52">
        <v>1.3</v>
      </c>
      <c r="X17" s="52">
        <v>19.5</v>
      </c>
      <c r="Y17" s="52">
        <v>18.1</v>
      </c>
      <c r="Z17" s="52">
        <v>15.5</v>
      </c>
      <c r="AA17" s="52">
        <v>14.5</v>
      </c>
      <c r="AB17" s="52">
        <v>13.1</v>
      </c>
      <c r="AC17" s="49">
        <f t="shared" si="0"/>
        <v>38</v>
      </c>
      <c r="AD17" s="50">
        <f t="shared" si="1"/>
        <v>40.35</v>
      </c>
      <c r="AE17" s="51">
        <f t="shared" si="2"/>
        <v>78.35</v>
      </c>
    </row>
    <row r="18" ht="17" customHeight="1" spans="1:31">
      <c r="A18" s="8">
        <v>11</v>
      </c>
      <c r="B18" s="8" t="s">
        <v>73</v>
      </c>
      <c r="C18" s="9" t="s">
        <v>74</v>
      </c>
      <c r="D18" s="48">
        <v>4</v>
      </c>
      <c r="E18" s="48">
        <v>5.9</v>
      </c>
      <c r="F18" s="48">
        <v>4.2</v>
      </c>
      <c r="G18" s="48">
        <v>4.5</v>
      </c>
      <c r="H18" s="48">
        <v>6</v>
      </c>
      <c r="I18" s="48">
        <v>5</v>
      </c>
      <c r="J18" s="48">
        <v>4.6</v>
      </c>
      <c r="K18" s="48">
        <v>4.2</v>
      </c>
      <c r="L18" s="48">
        <v>3.6</v>
      </c>
      <c r="M18" s="48">
        <v>4.1</v>
      </c>
      <c r="N18" s="48">
        <v>1.8</v>
      </c>
      <c r="O18" s="48">
        <v>1.6</v>
      </c>
      <c r="P18" s="48">
        <v>1.8</v>
      </c>
      <c r="Q18" s="48">
        <v>1.2</v>
      </c>
      <c r="R18" s="48">
        <v>1.5</v>
      </c>
      <c r="S18" s="48">
        <v>1.9</v>
      </c>
      <c r="T18" s="48">
        <v>1.4</v>
      </c>
      <c r="U18" s="48">
        <v>1.7</v>
      </c>
      <c r="V18" s="48">
        <v>1.1</v>
      </c>
      <c r="W18" s="48">
        <v>2</v>
      </c>
      <c r="X18" s="48">
        <v>16.1</v>
      </c>
      <c r="Y18" s="48">
        <v>12.4</v>
      </c>
      <c r="Z18" s="48">
        <v>11.6</v>
      </c>
      <c r="AA18" s="48">
        <v>15.5</v>
      </c>
      <c r="AB18" s="48">
        <v>15.5</v>
      </c>
      <c r="AC18" s="49">
        <f t="shared" si="0"/>
        <v>39.05</v>
      </c>
      <c r="AD18" s="50">
        <f t="shared" si="1"/>
        <v>35.55</v>
      </c>
      <c r="AE18" s="51">
        <f t="shared" si="2"/>
        <v>74.6</v>
      </c>
    </row>
    <row r="19" ht="17" customHeight="1" spans="1:31">
      <c r="A19" s="15">
        <v>12</v>
      </c>
      <c r="B19" s="15" t="s">
        <v>75</v>
      </c>
      <c r="C19" s="16" t="s">
        <v>76</v>
      </c>
      <c r="D19" s="52">
        <v>3.3</v>
      </c>
      <c r="E19" s="52">
        <v>6</v>
      </c>
      <c r="F19" s="52">
        <v>5.7</v>
      </c>
      <c r="G19" s="52">
        <v>4.4</v>
      </c>
      <c r="H19" s="52">
        <v>3.4</v>
      </c>
      <c r="I19" s="52">
        <v>5.5</v>
      </c>
      <c r="J19" s="52">
        <v>4.5</v>
      </c>
      <c r="K19" s="52">
        <v>5.1</v>
      </c>
      <c r="L19" s="52">
        <v>4.5</v>
      </c>
      <c r="M19" s="52">
        <v>3.8</v>
      </c>
      <c r="N19" s="52">
        <v>1.8</v>
      </c>
      <c r="O19" s="52">
        <v>2</v>
      </c>
      <c r="P19" s="52">
        <v>1.2</v>
      </c>
      <c r="Q19" s="52">
        <v>1.6</v>
      </c>
      <c r="R19" s="52">
        <v>1.4</v>
      </c>
      <c r="S19" s="52">
        <v>1.9</v>
      </c>
      <c r="T19" s="52">
        <v>1.5</v>
      </c>
      <c r="U19" s="52">
        <v>1.9</v>
      </c>
      <c r="V19" s="52">
        <v>1.9</v>
      </c>
      <c r="W19" s="52">
        <v>1.3</v>
      </c>
      <c r="X19" s="52">
        <v>17.9</v>
      </c>
      <c r="Y19" s="52">
        <v>14.1</v>
      </c>
      <c r="Z19" s="52">
        <v>19.3</v>
      </c>
      <c r="AA19" s="52">
        <v>15.1</v>
      </c>
      <c r="AB19" s="52">
        <v>18.2</v>
      </c>
      <c r="AC19" s="49">
        <f t="shared" si="0"/>
        <v>39.6</v>
      </c>
      <c r="AD19" s="50">
        <f t="shared" si="1"/>
        <v>42.3</v>
      </c>
      <c r="AE19" s="51">
        <f t="shared" si="2"/>
        <v>81.9</v>
      </c>
    </row>
    <row r="20" ht="17" customHeight="1" spans="1:31">
      <c r="A20" s="8">
        <v>13</v>
      </c>
      <c r="B20" s="8" t="s">
        <v>77</v>
      </c>
      <c r="C20" s="9" t="s">
        <v>78</v>
      </c>
      <c r="D20" s="48">
        <v>3.8</v>
      </c>
      <c r="E20" s="48">
        <v>3.9</v>
      </c>
      <c r="F20" s="48">
        <v>4.8</v>
      </c>
      <c r="G20" s="48">
        <v>6</v>
      </c>
      <c r="H20" s="48">
        <v>4.5</v>
      </c>
      <c r="I20" s="48">
        <v>3.4</v>
      </c>
      <c r="J20" s="48">
        <v>4.6</v>
      </c>
      <c r="K20" s="48">
        <v>4</v>
      </c>
      <c r="L20" s="48">
        <v>4.7</v>
      </c>
      <c r="M20" s="48">
        <v>4.6</v>
      </c>
      <c r="N20" s="48">
        <v>1.5</v>
      </c>
      <c r="O20" s="48">
        <v>1.3</v>
      </c>
      <c r="P20" s="48">
        <v>1.2</v>
      </c>
      <c r="Q20" s="48">
        <v>1.7</v>
      </c>
      <c r="R20" s="48">
        <v>1.6</v>
      </c>
      <c r="S20" s="48">
        <v>1.2</v>
      </c>
      <c r="T20" s="48">
        <v>1.8</v>
      </c>
      <c r="U20" s="48">
        <v>1</v>
      </c>
      <c r="V20" s="48">
        <v>1.7</v>
      </c>
      <c r="W20" s="48">
        <v>1.7</v>
      </c>
      <c r="X20" s="48">
        <v>18.1</v>
      </c>
      <c r="Y20" s="48">
        <v>13.9</v>
      </c>
      <c r="Z20" s="48">
        <v>16.6</v>
      </c>
      <c r="AA20" s="48">
        <v>18.2</v>
      </c>
      <c r="AB20" s="48">
        <v>19.8</v>
      </c>
      <c r="AC20" s="49">
        <f t="shared" si="0"/>
        <v>36.85</v>
      </c>
      <c r="AD20" s="50">
        <f t="shared" si="1"/>
        <v>43.3</v>
      </c>
      <c r="AE20" s="51">
        <f t="shared" si="2"/>
        <v>80.15</v>
      </c>
    </row>
    <row r="21" ht="17" customHeight="1" spans="1:31">
      <c r="A21" s="15">
        <v>14</v>
      </c>
      <c r="B21" s="15" t="s">
        <v>79</v>
      </c>
      <c r="C21" s="16" t="s">
        <v>80</v>
      </c>
      <c r="D21" s="52">
        <v>4.5</v>
      </c>
      <c r="E21" s="52">
        <v>3.1</v>
      </c>
      <c r="F21" s="52">
        <v>4.5</v>
      </c>
      <c r="G21" s="52">
        <v>4.8</v>
      </c>
      <c r="H21" s="52">
        <v>5.6</v>
      </c>
      <c r="I21" s="52">
        <v>5.6</v>
      </c>
      <c r="J21" s="52">
        <v>4.3</v>
      </c>
      <c r="K21" s="52">
        <v>4.6</v>
      </c>
      <c r="L21" s="52">
        <v>4.4</v>
      </c>
      <c r="M21" s="52">
        <v>5.2</v>
      </c>
      <c r="N21" s="52">
        <v>1.4</v>
      </c>
      <c r="O21" s="52">
        <v>1.7</v>
      </c>
      <c r="P21" s="52">
        <v>1.2</v>
      </c>
      <c r="Q21" s="52">
        <v>1.5</v>
      </c>
      <c r="R21" s="52">
        <v>2</v>
      </c>
      <c r="S21" s="52">
        <v>1.3</v>
      </c>
      <c r="T21" s="52">
        <v>1.7</v>
      </c>
      <c r="U21" s="52">
        <v>1.6</v>
      </c>
      <c r="V21" s="52">
        <v>1.9</v>
      </c>
      <c r="W21" s="52">
        <v>1.9</v>
      </c>
      <c r="X21" s="52">
        <v>18.6</v>
      </c>
      <c r="Y21" s="52">
        <v>13.8</v>
      </c>
      <c r="Z21" s="52">
        <v>13.2</v>
      </c>
      <c r="AA21" s="52">
        <v>17.2</v>
      </c>
      <c r="AB21" s="52">
        <v>17.6</v>
      </c>
      <c r="AC21" s="49">
        <f t="shared" si="0"/>
        <v>39.5</v>
      </c>
      <c r="AD21" s="50">
        <f t="shared" si="1"/>
        <v>40.2</v>
      </c>
      <c r="AE21" s="51">
        <f t="shared" si="2"/>
        <v>79.7</v>
      </c>
    </row>
    <row r="22" ht="17" customHeight="1" spans="1:31">
      <c r="A22" s="8">
        <v>15</v>
      </c>
      <c r="B22" s="8" t="s">
        <v>81</v>
      </c>
      <c r="C22" s="9" t="s">
        <v>82</v>
      </c>
      <c r="D22" s="48">
        <v>5.6</v>
      </c>
      <c r="E22" s="48">
        <v>3.1</v>
      </c>
      <c r="F22" s="48">
        <v>3.2</v>
      </c>
      <c r="G22" s="48">
        <v>4.9</v>
      </c>
      <c r="H22" s="48">
        <v>5.8</v>
      </c>
      <c r="I22" s="48">
        <v>6</v>
      </c>
      <c r="J22" s="48">
        <v>5.2</v>
      </c>
      <c r="K22" s="48">
        <v>4.3</v>
      </c>
      <c r="L22" s="48">
        <v>3.3</v>
      </c>
      <c r="M22" s="48">
        <v>4.9</v>
      </c>
      <c r="N22" s="48">
        <v>1.9</v>
      </c>
      <c r="O22" s="48">
        <v>1.4</v>
      </c>
      <c r="P22" s="48">
        <v>1.7</v>
      </c>
      <c r="Q22" s="48">
        <v>1.9</v>
      </c>
      <c r="R22" s="48">
        <v>1</v>
      </c>
      <c r="S22" s="48">
        <v>1.8</v>
      </c>
      <c r="T22" s="48">
        <v>1.3</v>
      </c>
      <c r="U22" s="48">
        <v>1.4</v>
      </c>
      <c r="V22" s="48">
        <v>1.1</v>
      </c>
      <c r="W22" s="48">
        <v>1.5</v>
      </c>
      <c r="X22" s="48">
        <v>15.7</v>
      </c>
      <c r="Y22" s="48">
        <v>17.9</v>
      </c>
      <c r="Z22" s="48">
        <v>11.7</v>
      </c>
      <c r="AA22" s="48">
        <v>10.8</v>
      </c>
      <c r="AB22" s="48">
        <v>18.7</v>
      </c>
      <c r="AC22" s="49">
        <f t="shared" si="0"/>
        <v>38.15</v>
      </c>
      <c r="AD22" s="50">
        <f t="shared" si="1"/>
        <v>37.4</v>
      </c>
      <c r="AE22" s="51">
        <f t="shared" si="2"/>
        <v>75.55</v>
      </c>
    </row>
    <row r="23" ht="17" customHeight="1" spans="1:31">
      <c r="A23" s="15">
        <v>16</v>
      </c>
      <c r="B23" s="15" t="s">
        <v>83</v>
      </c>
      <c r="C23" s="16" t="s">
        <v>84</v>
      </c>
      <c r="D23" s="52">
        <v>4.9</v>
      </c>
      <c r="E23" s="52">
        <v>3.7</v>
      </c>
      <c r="F23" s="52">
        <v>5.7</v>
      </c>
      <c r="G23" s="52">
        <v>3.4</v>
      </c>
      <c r="H23" s="52">
        <v>4.4</v>
      </c>
      <c r="I23" s="52">
        <v>3.8</v>
      </c>
      <c r="J23" s="52">
        <v>3.8</v>
      </c>
      <c r="K23" s="52">
        <v>3</v>
      </c>
      <c r="L23" s="52">
        <v>5.4</v>
      </c>
      <c r="M23" s="52">
        <v>5.7</v>
      </c>
      <c r="N23" s="52">
        <v>1.7</v>
      </c>
      <c r="O23" s="52">
        <v>1.2</v>
      </c>
      <c r="P23" s="52">
        <v>1.4</v>
      </c>
      <c r="Q23" s="52">
        <v>1.3</v>
      </c>
      <c r="R23" s="52">
        <v>1.6</v>
      </c>
      <c r="S23" s="52">
        <v>1.6</v>
      </c>
      <c r="T23" s="52">
        <v>1.4</v>
      </c>
      <c r="U23" s="52">
        <v>1.3</v>
      </c>
      <c r="V23" s="52">
        <v>1.8</v>
      </c>
      <c r="W23" s="52">
        <v>1.2</v>
      </c>
      <c r="X23" s="52">
        <v>13.8</v>
      </c>
      <c r="Y23" s="52">
        <v>14.8</v>
      </c>
      <c r="Z23" s="52">
        <v>12.4</v>
      </c>
      <c r="AA23" s="52">
        <v>15.7</v>
      </c>
      <c r="AB23" s="52">
        <v>15.7</v>
      </c>
      <c r="AC23" s="49">
        <f t="shared" si="0"/>
        <v>36.4</v>
      </c>
      <c r="AD23" s="50">
        <f t="shared" si="1"/>
        <v>36.2</v>
      </c>
      <c r="AE23" s="51">
        <f t="shared" si="2"/>
        <v>72.6</v>
      </c>
    </row>
    <row r="24" ht="17" customHeight="1" spans="1:31">
      <c r="A24" s="8">
        <v>17</v>
      </c>
      <c r="B24" s="8" t="s">
        <v>85</v>
      </c>
      <c r="C24" s="9" t="s">
        <v>86</v>
      </c>
      <c r="D24" s="48">
        <v>6</v>
      </c>
      <c r="E24" s="48">
        <v>3.9</v>
      </c>
      <c r="F24" s="48">
        <v>5.9</v>
      </c>
      <c r="G24" s="48">
        <v>5</v>
      </c>
      <c r="H24" s="48">
        <v>3.8</v>
      </c>
      <c r="I24" s="48">
        <v>4.7</v>
      </c>
      <c r="J24" s="48">
        <v>5.1</v>
      </c>
      <c r="K24" s="48">
        <v>5.2</v>
      </c>
      <c r="L24" s="48">
        <v>3.1</v>
      </c>
      <c r="M24" s="48">
        <v>4.8</v>
      </c>
      <c r="N24" s="48">
        <v>1.5</v>
      </c>
      <c r="O24" s="48">
        <v>1.9</v>
      </c>
      <c r="P24" s="48">
        <v>1.3</v>
      </c>
      <c r="Q24" s="48">
        <v>1.8</v>
      </c>
      <c r="R24" s="48">
        <v>1.6</v>
      </c>
      <c r="S24" s="48">
        <v>1.4</v>
      </c>
      <c r="T24" s="48">
        <v>1.6</v>
      </c>
      <c r="U24" s="48">
        <v>1.6</v>
      </c>
      <c r="V24" s="48">
        <v>1.7</v>
      </c>
      <c r="W24" s="48">
        <v>1.7</v>
      </c>
      <c r="X24" s="48">
        <v>16.6</v>
      </c>
      <c r="Y24" s="48">
        <v>18.4</v>
      </c>
      <c r="Z24" s="48">
        <v>16.3</v>
      </c>
      <c r="AA24" s="48">
        <v>19</v>
      </c>
      <c r="AB24" s="48">
        <v>16.5</v>
      </c>
      <c r="AC24" s="49">
        <f t="shared" si="0"/>
        <v>39.85</v>
      </c>
      <c r="AD24" s="50">
        <f t="shared" si="1"/>
        <v>43.4</v>
      </c>
      <c r="AE24" s="51">
        <f t="shared" si="2"/>
        <v>83.25</v>
      </c>
    </row>
    <row r="25" ht="17" customHeight="1" spans="1:31">
      <c r="A25" s="15">
        <v>18</v>
      </c>
      <c r="B25" s="15" t="s">
        <v>87</v>
      </c>
      <c r="C25" s="16" t="s">
        <v>88</v>
      </c>
      <c r="D25" s="52">
        <v>3.9</v>
      </c>
      <c r="E25" s="52">
        <v>4.3</v>
      </c>
      <c r="F25" s="52">
        <v>4.7</v>
      </c>
      <c r="G25" s="52">
        <v>5.2</v>
      </c>
      <c r="H25" s="52">
        <v>3.3</v>
      </c>
      <c r="I25" s="52">
        <v>3.9</v>
      </c>
      <c r="J25" s="52">
        <v>5.2</v>
      </c>
      <c r="K25" s="52">
        <v>3.5</v>
      </c>
      <c r="L25" s="52">
        <v>3.4</v>
      </c>
      <c r="M25" s="52">
        <v>4.6</v>
      </c>
      <c r="N25" s="52">
        <v>2</v>
      </c>
      <c r="O25" s="52">
        <v>1.5</v>
      </c>
      <c r="P25" s="52">
        <v>1.9</v>
      </c>
      <c r="Q25" s="52">
        <v>1.8</v>
      </c>
      <c r="R25" s="52">
        <v>1.3</v>
      </c>
      <c r="S25" s="52">
        <v>1.8</v>
      </c>
      <c r="T25" s="52">
        <v>1.5</v>
      </c>
      <c r="U25" s="52">
        <v>1.8</v>
      </c>
      <c r="V25" s="52">
        <v>1.7</v>
      </c>
      <c r="W25" s="52">
        <v>1.3</v>
      </c>
      <c r="X25" s="52">
        <v>11.2</v>
      </c>
      <c r="Y25" s="52">
        <v>19.6</v>
      </c>
      <c r="Z25" s="52">
        <v>11.4</v>
      </c>
      <c r="AA25" s="52">
        <v>19.7</v>
      </c>
      <c r="AB25" s="52">
        <v>18.6</v>
      </c>
      <c r="AC25" s="49">
        <f t="shared" si="0"/>
        <v>37.6</v>
      </c>
      <c r="AD25" s="50">
        <f t="shared" si="1"/>
        <v>40.25</v>
      </c>
      <c r="AE25" s="51">
        <f t="shared" si="2"/>
        <v>77.85</v>
      </c>
    </row>
    <row r="26" ht="17" customHeight="1" spans="1:31">
      <c r="A26" s="8">
        <v>19</v>
      </c>
      <c r="B26" s="8" t="s">
        <v>89</v>
      </c>
      <c r="C26" s="9" t="s">
        <v>90</v>
      </c>
      <c r="D26" s="48">
        <v>5.2</v>
      </c>
      <c r="E26" s="48">
        <v>5.9</v>
      </c>
      <c r="F26" s="48">
        <v>5.9</v>
      </c>
      <c r="G26" s="48">
        <v>5.4</v>
      </c>
      <c r="H26" s="48">
        <v>4.1</v>
      </c>
      <c r="I26" s="48">
        <v>5.4</v>
      </c>
      <c r="J26" s="48">
        <v>3</v>
      </c>
      <c r="K26" s="48">
        <v>4.6</v>
      </c>
      <c r="L26" s="48">
        <v>4.4</v>
      </c>
      <c r="M26" s="48">
        <v>5</v>
      </c>
      <c r="N26" s="48">
        <v>1.7</v>
      </c>
      <c r="O26" s="48">
        <v>1.6</v>
      </c>
      <c r="P26" s="48">
        <v>1.8</v>
      </c>
      <c r="Q26" s="48">
        <v>1.9</v>
      </c>
      <c r="R26" s="48">
        <v>1.1</v>
      </c>
      <c r="S26" s="48">
        <v>1.2</v>
      </c>
      <c r="T26" s="48">
        <v>1</v>
      </c>
      <c r="U26" s="48">
        <v>1.9</v>
      </c>
      <c r="V26" s="48">
        <v>1.6</v>
      </c>
      <c r="W26" s="48">
        <v>1.9</v>
      </c>
      <c r="X26" s="48">
        <v>12.2</v>
      </c>
      <c r="Y26" s="48">
        <v>10.6</v>
      </c>
      <c r="Z26" s="48">
        <v>18.2</v>
      </c>
      <c r="AA26" s="48">
        <v>19.1</v>
      </c>
      <c r="AB26" s="48">
        <v>13</v>
      </c>
      <c r="AC26" s="49">
        <f t="shared" si="0"/>
        <v>40.15</v>
      </c>
      <c r="AD26" s="50">
        <f t="shared" si="1"/>
        <v>36.55</v>
      </c>
      <c r="AE26" s="51">
        <f t="shared" si="2"/>
        <v>76.7</v>
      </c>
    </row>
    <row r="27" ht="17" customHeight="1" spans="1:31">
      <c r="A27" s="15">
        <v>20</v>
      </c>
      <c r="B27" s="15" t="s">
        <v>91</v>
      </c>
      <c r="C27" s="16" t="s">
        <v>92</v>
      </c>
      <c r="D27" s="52">
        <v>4.2</v>
      </c>
      <c r="E27" s="52">
        <v>3.4</v>
      </c>
      <c r="F27" s="52">
        <v>5.8</v>
      </c>
      <c r="G27" s="52">
        <v>3.9</v>
      </c>
      <c r="H27" s="52">
        <v>4.5</v>
      </c>
      <c r="I27" s="52">
        <v>3.3</v>
      </c>
      <c r="J27" s="52">
        <v>5.7</v>
      </c>
      <c r="K27" s="52">
        <v>3.4</v>
      </c>
      <c r="L27" s="52">
        <v>4.4</v>
      </c>
      <c r="M27" s="52">
        <v>5</v>
      </c>
      <c r="N27" s="52">
        <v>1.7</v>
      </c>
      <c r="O27" s="52">
        <v>1.9</v>
      </c>
      <c r="P27" s="52">
        <v>1.4</v>
      </c>
      <c r="Q27" s="52">
        <v>1.7</v>
      </c>
      <c r="R27" s="52">
        <v>1.2</v>
      </c>
      <c r="S27" s="52">
        <v>1.4</v>
      </c>
      <c r="T27" s="52">
        <v>1.1</v>
      </c>
      <c r="U27" s="52">
        <v>1.5</v>
      </c>
      <c r="V27" s="52">
        <v>1.4</v>
      </c>
      <c r="W27" s="52">
        <v>2</v>
      </c>
      <c r="X27" s="52">
        <v>10.3</v>
      </c>
      <c r="Y27" s="52">
        <v>13.7</v>
      </c>
      <c r="Z27" s="52">
        <v>14.4</v>
      </c>
      <c r="AA27" s="52">
        <v>19.5</v>
      </c>
      <c r="AB27" s="52">
        <v>18.6</v>
      </c>
      <c r="AC27" s="49">
        <f t="shared" si="0"/>
        <v>37.1</v>
      </c>
      <c r="AD27" s="50">
        <f t="shared" si="1"/>
        <v>38.25</v>
      </c>
      <c r="AE27" s="51">
        <f t="shared" si="2"/>
        <v>75.35</v>
      </c>
    </row>
    <row r="28" ht="15.15"/>
    <row r="29" ht="20" customHeight="1" spans="1:31">
      <c r="A29" s="28" t="s">
        <v>93</v>
      </c>
      <c r="D29" s="53">
        <f t="shared" ref="D29:AE29" si="3">AVERAGE(D8:D27)</f>
        <v>4.7</v>
      </c>
      <c r="E29" s="53">
        <f t="shared" si="3"/>
        <v>4.475</v>
      </c>
      <c r="F29" s="53">
        <f t="shared" si="3"/>
        <v>4.75</v>
      </c>
      <c r="G29" s="53">
        <f t="shared" si="3"/>
        <v>4.45</v>
      </c>
      <c r="H29" s="53">
        <f t="shared" si="3"/>
        <v>4.55</v>
      </c>
      <c r="I29" s="53">
        <f t="shared" si="3"/>
        <v>4.59</v>
      </c>
      <c r="J29" s="53">
        <f t="shared" si="3"/>
        <v>4.47</v>
      </c>
      <c r="K29" s="53">
        <f t="shared" si="3"/>
        <v>4.525</v>
      </c>
      <c r="L29" s="53">
        <f t="shared" si="3"/>
        <v>3.855</v>
      </c>
      <c r="M29" s="53">
        <f t="shared" si="3"/>
        <v>4.42</v>
      </c>
      <c r="N29" s="53">
        <f t="shared" si="3"/>
        <v>1.595</v>
      </c>
      <c r="O29" s="53">
        <f t="shared" si="3"/>
        <v>1.505</v>
      </c>
      <c r="P29" s="53">
        <f t="shared" si="3"/>
        <v>1.515</v>
      </c>
      <c r="Q29" s="53">
        <f t="shared" si="3"/>
        <v>1.515</v>
      </c>
      <c r="R29" s="53">
        <f t="shared" si="3"/>
        <v>1.455</v>
      </c>
      <c r="S29" s="53">
        <f t="shared" si="3"/>
        <v>1.615</v>
      </c>
      <c r="T29" s="53">
        <f t="shared" si="3"/>
        <v>1.47</v>
      </c>
      <c r="U29" s="53">
        <f t="shared" si="3"/>
        <v>1.485</v>
      </c>
      <c r="V29" s="53">
        <f t="shared" si="3"/>
        <v>1.525</v>
      </c>
      <c r="W29" s="53">
        <f t="shared" si="3"/>
        <v>1.575</v>
      </c>
      <c r="X29" s="53">
        <f t="shared" si="3"/>
        <v>15.585</v>
      </c>
      <c r="Y29" s="53">
        <f t="shared" si="3"/>
        <v>15.825</v>
      </c>
      <c r="Z29" s="53">
        <f t="shared" si="3"/>
        <v>15.32</v>
      </c>
      <c r="AA29" s="53">
        <f t="shared" si="3"/>
        <v>15.91</v>
      </c>
      <c r="AB29" s="53">
        <f t="shared" si="3"/>
        <v>16.285</v>
      </c>
      <c r="AC29" s="43">
        <f t="shared" si="3"/>
        <v>37.6475</v>
      </c>
      <c r="AD29" s="43">
        <f t="shared" si="3"/>
        <v>39.4625</v>
      </c>
      <c r="AE29" s="43">
        <f t="shared" si="3"/>
        <v>77.11</v>
      </c>
    </row>
    <row r="30" ht="15.15"/>
    <row r="31" ht="22" customHeight="1" spans="1:31">
      <c r="A31" s="31" t="s">
        <v>94</v>
      </c>
      <c r="D31" s="54">
        <f>IFERROR((D29/D6+I29/I6+N29/N6+S29/S6+X29/X6)/5,0)</f>
        <v>0.786516666666667</v>
      </c>
      <c r="E31" s="54">
        <f>IFERROR((E29/E6+J29/J6+O29/O6+T29/T6+Y29/Y6)/5,0)</f>
        <v>0.753916666666667</v>
      </c>
      <c r="F31" s="54">
        <f>IFERROR((F29/F6+K29/K6+P29/P6+U29/U6+Z29/Z6)/5,0)</f>
        <v>0.762366666666667</v>
      </c>
      <c r="G31" s="54">
        <f>IFERROR((G29/G6+L29/L6+Q29/Q6+V29/V6+AA29/AA6)/5,0)</f>
        <v>0.739933333333333</v>
      </c>
      <c r="H31" s="54">
        <f>IFERROR((H29/H6+M29/M6+R29/R6+W29/W6+AB29/AB6)/5,0)</f>
        <v>0.76485</v>
      </c>
    </row>
    <row r="32" ht="22" customHeight="1" spans="1:31">
      <c r="A32" s="30" t="s">
        <v>95</v>
      </c>
      <c r="D32" s="55">
        <f>IF(D31&gt;=0.6,3,IF(D31&gt;=0.4,2,1))</f>
        <v>3</v>
      </c>
      <c r="E32" s="55">
        <f>IF(E31&gt;=0.6,3,IF(E31&gt;=0.4,2,1))</f>
        <v>3</v>
      </c>
      <c r="F32" s="55">
        <f>IF(F31&gt;=0.6,3,IF(F31&gt;=0.4,2,1))</f>
        <v>3</v>
      </c>
      <c r="G32" s="55">
        <f>IF(G31&gt;=0.6,3,IF(G31&gt;=0.4,2,1))</f>
        <v>3</v>
      </c>
      <c r="H32" s="55">
        <f>IF(H31&gt;=0.6,3,IF(H31&gt;=0.4,2,1))</f>
        <v>3</v>
      </c>
    </row>
    <row r="33" ht="20" customHeight="1" spans="1:8">
      <c r="A33" s="29" t="s">
        <v>96</v>
      </c>
      <c r="D33" s="56">
        <f>IFERROR((D29/D6+I29/I6+N29/N6+S29/S6)/4,0)</f>
        <v>0.788333333333333</v>
      </c>
      <c r="E33" s="56">
        <f>IFERROR((E29/E6+J29/J6+O29/O6+T29/T6)/4,0)</f>
        <v>0.744583333333333</v>
      </c>
      <c r="F33" s="56">
        <f>IFERROR((F29/F6+K29/K6+P29/P6+U29/U6)/4,0)</f>
        <v>0.761458333333333</v>
      </c>
      <c r="G33" s="56">
        <f>IFERROR((G29/G6+L29/L6+Q29/Q6+V29/V6)/4,0)</f>
        <v>0.726041666666667</v>
      </c>
      <c r="H33" s="56">
        <f>IFERROR((H29/H6+M29/M6+R29/R6+W29/W6)/4,0)</f>
        <v>0.7525</v>
      </c>
    </row>
    <row r="34" ht="20" customHeight="1" spans="1:8">
      <c r="A34" s="30" t="s">
        <v>97</v>
      </c>
      <c r="D34" s="57">
        <f>IFERROR(X29/X6,0)</f>
        <v>0.77925</v>
      </c>
      <c r="E34" s="57">
        <f>IFERROR(Y29/Y6,0)</f>
        <v>0.79125</v>
      </c>
      <c r="F34" s="57">
        <f>IFERROR(Z29/Z6,0)</f>
        <v>0.766</v>
      </c>
      <c r="G34" s="57">
        <f>IFERROR(AA29/AA6,0)</f>
        <v>0.7955</v>
      </c>
      <c r="H34" s="57">
        <f>IFERROR(AB29/AB6,0)</f>
        <v>0.81425</v>
      </c>
    </row>
    <row r="35" ht="15.15"/>
    <row r="36" ht="18" customHeight="1" spans="1:8">
      <c r="A36" s="28" t="s">
        <v>98</v>
      </c>
      <c r="D36" s="58">
        <f>(D33+E33+F33+G33+H33)/5</f>
        <v>0.754583333333333</v>
      </c>
      <c r="E36" s="59">
        <f>(D34+E34+F34+G34+H34)/5</f>
        <v>0.78925</v>
      </c>
      <c r="F36" s="54">
        <f>(D31+E31+F31+G31+H31)/5</f>
        <v>0.761516666666667</v>
      </c>
    </row>
  </sheetData>
  <mergeCells count="16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7:C7"/>
    <mergeCell ref="A29:C29"/>
    <mergeCell ref="A31:C31"/>
    <mergeCell ref="A32:C32"/>
    <mergeCell ref="A33:C33"/>
    <mergeCell ref="A34:C34"/>
    <mergeCell ref="A36:C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E1"/>
    </sheetView>
  </sheetViews>
  <sheetFormatPr defaultColWidth="9" defaultRowHeight="14.4"/>
  <cols>
    <col min="1" max="1" width="6" customWidth="1"/>
    <col min="2" max="2" width="10" customWidth="1"/>
    <col min="3" max="3" width="22" customWidth="1"/>
    <col min="4" max="31" width="9" customWidth="1"/>
  </cols>
  <sheetData>
    <row r="1" ht="32" customHeight="1" spans="1:31">
      <c r="A1" s="21" t="s">
        <v>100</v>
      </c>
    </row>
    <row r="2" ht="16" customHeight="1" spans="1:31">
      <c r="A2" s="22" t="s">
        <v>36</v>
      </c>
    </row>
    <row r="3" ht="6" customHeight="1"/>
    <row r="4" ht="22" customHeight="1" spans="1:31">
      <c r="A4" s="23" t="s">
        <v>37</v>
      </c>
      <c r="D4" s="24" t="s">
        <v>38</v>
      </c>
      <c r="I4" s="25" t="s">
        <v>39</v>
      </c>
      <c r="N4" s="26" t="s">
        <v>40</v>
      </c>
      <c r="S4" s="27" t="s">
        <v>41</v>
      </c>
      <c r="X4" s="28" t="s">
        <v>42</v>
      </c>
      <c r="AC4" s="29" t="s">
        <v>43</v>
      </c>
      <c r="AD4" s="30" t="s">
        <v>44</v>
      </c>
      <c r="AE4" s="31" t="s">
        <v>45</v>
      </c>
    </row>
    <row r="5" ht="18" customHeight="1" spans="1:31">
      <c r="A5" s="23" t="s">
        <v>46</v>
      </c>
      <c r="B5" s="23" t="s">
        <v>47</v>
      </c>
      <c r="C5" s="23" t="s">
        <v>48</v>
      </c>
      <c r="D5" s="32" t="s">
        <v>9</v>
      </c>
      <c r="E5" s="32" t="s">
        <v>10</v>
      </c>
      <c r="F5" s="32" t="s">
        <v>11</v>
      </c>
      <c r="G5" s="32" t="s">
        <v>12</v>
      </c>
      <c r="H5" s="32" t="s">
        <v>13</v>
      </c>
      <c r="I5" s="33" t="s">
        <v>9</v>
      </c>
      <c r="J5" s="33" t="s">
        <v>10</v>
      </c>
      <c r="K5" s="33" t="s">
        <v>11</v>
      </c>
      <c r="L5" s="33" t="s">
        <v>12</v>
      </c>
      <c r="M5" s="33" t="s">
        <v>13</v>
      </c>
      <c r="N5" s="34" t="s">
        <v>9</v>
      </c>
      <c r="O5" s="34" t="s">
        <v>10</v>
      </c>
      <c r="P5" s="34" t="s">
        <v>11</v>
      </c>
      <c r="Q5" s="34" t="s">
        <v>12</v>
      </c>
      <c r="R5" s="34" t="s">
        <v>13</v>
      </c>
      <c r="S5" s="35" t="s">
        <v>9</v>
      </c>
      <c r="T5" s="35" t="s">
        <v>10</v>
      </c>
      <c r="U5" s="35" t="s">
        <v>11</v>
      </c>
      <c r="V5" s="35" t="s">
        <v>12</v>
      </c>
      <c r="W5" s="35" t="s">
        <v>13</v>
      </c>
      <c r="X5" s="36" t="s">
        <v>9</v>
      </c>
      <c r="Y5" s="36" t="s">
        <v>10</v>
      </c>
      <c r="Z5" s="36" t="s">
        <v>11</v>
      </c>
      <c r="AA5" s="36" t="s">
        <v>12</v>
      </c>
      <c r="AB5" s="36" t="s">
        <v>13</v>
      </c>
      <c r="AC5" s="37" t="s">
        <v>49</v>
      </c>
      <c r="AD5" s="38" t="s">
        <v>49</v>
      </c>
      <c r="AE5" s="39" t="s">
        <v>49</v>
      </c>
    </row>
    <row r="6" ht="18" customHeight="1" spans="1:31">
      <c r="A6" s="40" t="s">
        <v>50</v>
      </c>
      <c r="B6" s="41"/>
      <c r="C6" s="42"/>
      <c r="D6" s="43">
        <v>6</v>
      </c>
      <c r="E6" s="43">
        <v>6</v>
      </c>
      <c r="F6" s="43">
        <v>6</v>
      </c>
      <c r="G6" s="43">
        <v>6</v>
      </c>
      <c r="H6" s="43">
        <v>6</v>
      </c>
      <c r="I6" s="43">
        <v>6</v>
      </c>
      <c r="J6" s="43">
        <v>6</v>
      </c>
      <c r="K6" s="43">
        <v>6</v>
      </c>
      <c r="L6" s="43">
        <v>6</v>
      </c>
      <c r="M6" s="43">
        <v>6</v>
      </c>
      <c r="N6" s="43">
        <v>2</v>
      </c>
      <c r="O6" s="43">
        <v>2</v>
      </c>
      <c r="P6" s="43">
        <v>2</v>
      </c>
      <c r="Q6" s="43">
        <v>2</v>
      </c>
      <c r="R6" s="43">
        <v>2</v>
      </c>
      <c r="S6" s="43">
        <v>2</v>
      </c>
      <c r="T6" s="43">
        <v>2</v>
      </c>
      <c r="U6" s="43">
        <v>2</v>
      </c>
      <c r="V6" s="43">
        <v>2</v>
      </c>
      <c r="W6" s="43">
        <v>2</v>
      </c>
      <c r="X6" s="43">
        <v>20</v>
      </c>
      <c r="Y6" s="43">
        <v>20</v>
      </c>
      <c r="Z6" s="43">
        <v>20</v>
      </c>
      <c r="AA6" s="43">
        <v>20</v>
      </c>
      <c r="AB6" s="43">
        <v>20</v>
      </c>
      <c r="AC6" s="44">
        <v>50</v>
      </c>
      <c r="AD6" s="45">
        <v>50</v>
      </c>
      <c r="AE6" s="46">
        <v>100</v>
      </c>
    </row>
    <row r="7" ht="14" customHeight="1" spans="1:31">
      <c r="A7" s="47" t="s">
        <v>51</v>
      </c>
      <c r="D7" s="8" t="s">
        <v>52</v>
      </c>
      <c r="E7" s="8" t="s">
        <v>52</v>
      </c>
      <c r="F7" s="8" t="s">
        <v>52</v>
      </c>
      <c r="G7" s="8" t="s">
        <v>52</v>
      </c>
      <c r="H7" s="8" t="s">
        <v>52</v>
      </c>
      <c r="I7" s="8" t="s">
        <v>52</v>
      </c>
      <c r="J7" s="8" t="s">
        <v>52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 t="s">
        <v>52</v>
      </c>
      <c r="Q7" s="8" t="s">
        <v>52</v>
      </c>
      <c r="R7" s="8" t="s">
        <v>52</v>
      </c>
      <c r="S7" s="8" t="s">
        <v>52</v>
      </c>
      <c r="T7" s="8" t="s">
        <v>52</v>
      </c>
      <c r="U7" s="8" t="s">
        <v>52</v>
      </c>
      <c r="V7" s="8" t="s">
        <v>52</v>
      </c>
      <c r="W7" s="8" t="s">
        <v>52</v>
      </c>
      <c r="X7" s="8" t="s">
        <v>52</v>
      </c>
      <c r="Y7" s="8" t="s">
        <v>52</v>
      </c>
      <c r="Z7" s="8" t="s">
        <v>52</v>
      </c>
      <c r="AA7" s="8" t="s">
        <v>52</v>
      </c>
      <c r="AB7" s="8" t="s">
        <v>52</v>
      </c>
      <c r="AC7" s="8" t="s">
        <v>52</v>
      </c>
      <c r="AD7" s="8" t="s">
        <v>52</v>
      </c>
      <c r="AE7" s="8" t="s">
        <v>52</v>
      </c>
    </row>
    <row r="8" ht="17" customHeight="1" spans="1:31">
      <c r="A8" s="8">
        <v>1</v>
      </c>
      <c r="B8" s="8" t="s">
        <v>53</v>
      </c>
      <c r="C8" s="9" t="s">
        <v>54</v>
      </c>
      <c r="D8" s="48">
        <v>3.3</v>
      </c>
      <c r="E8" s="48">
        <v>5.1</v>
      </c>
      <c r="F8" s="48">
        <v>4.6</v>
      </c>
      <c r="G8" s="48">
        <v>5.9</v>
      </c>
      <c r="H8" s="48">
        <v>4.1</v>
      </c>
      <c r="I8" s="48">
        <v>4.2</v>
      </c>
      <c r="J8" s="48">
        <v>3.6</v>
      </c>
      <c r="K8" s="48">
        <v>3.4</v>
      </c>
      <c r="L8" s="48">
        <v>5.5</v>
      </c>
      <c r="M8" s="48">
        <v>4.4</v>
      </c>
      <c r="N8" s="48">
        <v>1.7</v>
      </c>
      <c r="O8" s="48">
        <v>1.6</v>
      </c>
      <c r="P8" s="48">
        <v>1.6</v>
      </c>
      <c r="Q8" s="48">
        <v>1</v>
      </c>
      <c r="R8" s="48">
        <v>1.8</v>
      </c>
      <c r="S8" s="48">
        <v>1.2</v>
      </c>
      <c r="T8" s="48">
        <v>1.1</v>
      </c>
      <c r="U8" s="48">
        <v>1.6</v>
      </c>
      <c r="V8" s="48">
        <v>1.1</v>
      </c>
      <c r="W8" s="48">
        <v>1.8</v>
      </c>
      <c r="X8" s="48">
        <v>12.1</v>
      </c>
      <c r="Y8" s="48">
        <v>12.2</v>
      </c>
      <c r="Z8" s="48">
        <v>18.7</v>
      </c>
      <c r="AA8" s="48">
        <v>13.3</v>
      </c>
      <c r="AB8" s="48">
        <v>11.5</v>
      </c>
      <c r="AC8" s="49">
        <f t="shared" ref="AC8:AC27" si="0">(SUM(D8:H8)+SUM(I8:M8))/2+SUM(N8:R8)+SUM(S8:W8)</f>
        <v>36.55</v>
      </c>
      <c r="AD8" s="50">
        <f t="shared" ref="AD8:AD27" si="1">SUM(X8:AB8)/100*50</f>
        <v>33.9</v>
      </c>
      <c r="AE8" s="51">
        <f t="shared" ref="AE8:AE27" si="2">AC8+AD8</f>
        <v>70.45</v>
      </c>
    </row>
    <row r="9" ht="17" customHeight="1" spans="1:31">
      <c r="A9" s="15">
        <v>2</v>
      </c>
      <c r="B9" s="15" t="s">
        <v>55</v>
      </c>
      <c r="C9" s="16" t="s">
        <v>56</v>
      </c>
      <c r="D9" s="52">
        <v>5.7</v>
      </c>
      <c r="E9" s="52">
        <v>3</v>
      </c>
      <c r="F9" s="52">
        <v>5.6</v>
      </c>
      <c r="G9" s="52">
        <v>3.4</v>
      </c>
      <c r="H9" s="52">
        <v>3.4</v>
      </c>
      <c r="I9" s="52">
        <v>3.8</v>
      </c>
      <c r="J9" s="52">
        <v>3.5</v>
      </c>
      <c r="K9" s="52">
        <v>5</v>
      </c>
      <c r="L9" s="52">
        <v>3.1</v>
      </c>
      <c r="M9" s="52">
        <v>3</v>
      </c>
      <c r="N9" s="52">
        <v>1.8</v>
      </c>
      <c r="O9" s="52">
        <v>1.2</v>
      </c>
      <c r="P9" s="52">
        <v>1.3</v>
      </c>
      <c r="Q9" s="52">
        <v>1.2</v>
      </c>
      <c r="R9" s="52">
        <v>1.1</v>
      </c>
      <c r="S9" s="52">
        <v>1.7</v>
      </c>
      <c r="T9" s="52">
        <v>1.5</v>
      </c>
      <c r="U9" s="52">
        <v>1.7</v>
      </c>
      <c r="V9" s="52">
        <v>1.5</v>
      </c>
      <c r="W9" s="52">
        <v>1.8</v>
      </c>
      <c r="X9" s="52">
        <v>15.1</v>
      </c>
      <c r="Y9" s="52">
        <v>11.1</v>
      </c>
      <c r="Z9" s="52">
        <v>15</v>
      </c>
      <c r="AA9" s="52">
        <v>19.5</v>
      </c>
      <c r="AB9" s="52">
        <v>10.4</v>
      </c>
      <c r="AC9" s="49">
        <f t="shared" si="0"/>
        <v>34.55</v>
      </c>
      <c r="AD9" s="50">
        <f t="shared" si="1"/>
        <v>35.55</v>
      </c>
      <c r="AE9" s="51">
        <f t="shared" si="2"/>
        <v>70.1</v>
      </c>
    </row>
    <row r="10" ht="17" customHeight="1" spans="1:31">
      <c r="A10" s="8">
        <v>3</v>
      </c>
      <c r="B10" s="8" t="s">
        <v>57</v>
      </c>
      <c r="C10" s="9" t="s">
        <v>58</v>
      </c>
      <c r="D10" s="48">
        <v>5.3</v>
      </c>
      <c r="E10" s="48">
        <v>5.6</v>
      </c>
      <c r="F10" s="48">
        <v>4.6</v>
      </c>
      <c r="G10" s="48">
        <v>4.4</v>
      </c>
      <c r="H10" s="48">
        <v>5.9</v>
      </c>
      <c r="I10" s="48">
        <v>3.2</v>
      </c>
      <c r="J10" s="48">
        <v>4.4</v>
      </c>
      <c r="K10" s="48">
        <v>4.2</v>
      </c>
      <c r="L10" s="48">
        <v>5.1</v>
      </c>
      <c r="M10" s="48">
        <v>4.5</v>
      </c>
      <c r="N10" s="48">
        <v>1.9</v>
      </c>
      <c r="O10" s="48">
        <v>1.1</v>
      </c>
      <c r="P10" s="48">
        <v>1.1</v>
      </c>
      <c r="Q10" s="48">
        <v>1.6</v>
      </c>
      <c r="R10" s="48">
        <v>1.1</v>
      </c>
      <c r="S10" s="48">
        <v>1.3</v>
      </c>
      <c r="T10" s="48">
        <v>1.6</v>
      </c>
      <c r="U10" s="48">
        <v>1.5</v>
      </c>
      <c r="V10" s="48">
        <v>1.3</v>
      </c>
      <c r="W10" s="48">
        <v>2</v>
      </c>
      <c r="X10" s="48">
        <v>15.3</v>
      </c>
      <c r="Y10" s="48">
        <v>14.5</v>
      </c>
      <c r="Z10" s="48">
        <v>16.1</v>
      </c>
      <c r="AA10" s="48">
        <v>11</v>
      </c>
      <c r="AB10" s="48">
        <v>17</v>
      </c>
      <c r="AC10" s="49">
        <f t="shared" si="0"/>
        <v>38.1</v>
      </c>
      <c r="AD10" s="50">
        <f t="shared" si="1"/>
        <v>36.95</v>
      </c>
      <c r="AE10" s="51">
        <f t="shared" si="2"/>
        <v>75.05</v>
      </c>
    </row>
    <row r="11" ht="17" customHeight="1" spans="1:31">
      <c r="A11" s="15">
        <v>4</v>
      </c>
      <c r="B11" s="15" t="s">
        <v>59</v>
      </c>
      <c r="C11" s="16" t="s">
        <v>60</v>
      </c>
      <c r="D11" s="52">
        <v>5.6</v>
      </c>
      <c r="E11" s="52">
        <v>5</v>
      </c>
      <c r="F11" s="52">
        <v>5.3</v>
      </c>
      <c r="G11" s="52">
        <v>5.2</v>
      </c>
      <c r="H11" s="52">
        <v>3.6</v>
      </c>
      <c r="I11" s="52">
        <v>4.4</v>
      </c>
      <c r="J11" s="52">
        <v>3.7</v>
      </c>
      <c r="K11" s="52">
        <v>4</v>
      </c>
      <c r="L11" s="52">
        <v>4.4</v>
      </c>
      <c r="M11" s="52">
        <v>4.2</v>
      </c>
      <c r="N11" s="52">
        <v>1.1</v>
      </c>
      <c r="O11" s="52">
        <v>1.4</v>
      </c>
      <c r="P11" s="52">
        <v>1.7</v>
      </c>
      <c r="Q11" s="52">
        <v>1.4</v>
      </c>
      <c r="R11" s="52">
        <v>1.2</v>
      </c>
      <c r="S11" s="52">
        <v>1.9</v>
      </c>
      <c r="T11" s="52">
        <v>1.1</v>
      </c>
      <c r="U11" s="52">
        <v>1.8</v>
      </c>
      <c r="V11" s="52">
        <v>1.1</v>
      </c>
      <c r="W11" s="52">
        <v>1.1</v>
      </c>
      <c r="X11" s="52">
        <v>17.4</v>
      </c>
      <c r="Y11" s="52">
        <v>18.1</v>
      </c>
      <c r="Z11" s="52">
        <v>15.6</v>
      </c>
      <c r="AA11" s="52">
        <v>15.9</v>
      </c>
      <c r="AB11" s="52">
        <v>15.6</v>
      </c>
      <c r="AC11" s="49">
        <f t="shared" si="0"/>
        <v>36.5</v>
      </c>
      <c r="AD11" s="50">
        <f t="shared" si="1"/>
        <v>41.3</v>
      </c>
      <c r="AE11" s="51">
        <f t="shared" si="2"/>
        <v>77.8</v>
      </c>
    </row>
    <row r="12" ht="17" customHeight="1" spans="1:31">
      <c r="A12" s="8">
        <v>5</v>
      </c>
      <c r="B12" s="8" t="s">
        <v>61</v>
      </c>
      <c r="C12" s="9" t="s">
        <v>62</v>
      </c>
      <c r="D12" s="48">
        <v>4</v>
      </c>
      <c r="E12" s="48">
        <v>3.4</v>
      </c>
      <c r="F12" s="48">
        <v>4.1</v>
      </c>
      <c r="G12" s="48">
        <v>5</v>
      </c>
      <c r="H12" s="48">
        <v>5.3</v>
      </c>
      <c r="I12" s="48">
        <v>5.6</v>
      </c>
      <c r="J12" s="48">
        <v>5.2</v>
      </c>
      <c r="K12" s="48">
        <v>5.9</v>
      </c>
      <c r="L12" s="48">
        <v>4.8</v>
      </c>
      <c r="M12" s="48">
        <v>4.1</v>
      </c>
      <c r="N12" s="48">
        <v>1.6</v>
      </c>
      <c r="O12" s="48">
        <v>1.2</v>
      </c>
      <c r="P12" s="48">
        <v>1.7</v>
      </c>
      <c r="Q12" s="48">
        <v>1.2</v>
      </c>
      <c r="R12" s="48">
        <v>1.1</v>
      </c>
      <c r="S12" s="48">
        <v>1.8</v>
      </c>
      <c r="T12" s="48">
        <v>1.4</v>
      </c>
      <c r="U12" s="48">
        <v>1.8</v>
      </c>
      <c r="V12" s="48">
        <v>1.6</v>
      </c>
      <c r="W12" s="48">
        <v>1.8</v>
      </c>
      <c r="X12" s="48">
        <v>18.5</v>
      </c>
      <c r="Y12" s="48">
        <v>19.7</v>
      </c>
      <c r="Z12" s="48">
        <v>18.2</v>
      </c>
      <c r="AA12" s="48">
        <v>16.1</v>
      </c>
      <c r="AB12" s="48">
        <v>16.4</v>
      </c>
      <c r="AC12" s="49">
        <f t="shared" si="0"/>
        <v>38.9</v>
      </c>
      <c r="AD12" s="50">
        <f t="shared" si="1"/>
        <v>44.45</v>
      </c>
      <c r="AE12" s="51">
        <f t="shared" si="2"/>
        <v>83.35</v>
      </c>
    </row>
    <row r="13" ht="17" customHeight="1" spans="1:31">
      <c r="A13" s="15">
        <v>6</v>
      </c>
      <c r="B13" s="15" t="s">
        <v>63</v>
      </c>
      <c r="C13" s="16" t="s">
        <v>64</v>
      </c>
      <c r="D13" s="52">
        <v>3.1</v>
      </c>
      <c r="E13" s="52">
        <v>5.8</v>
      </c>
      <c r="F13" s="52">
        <v>5.5</v>
      </c>
      <c r="G13" s="52">
        <v>3.8</v>
      </c>
      <c r="H13" s="52">
        <v>3.5</v>
      </c>
      <c r="I13" s="52">
        <v>5.1</v>
      </c>
      <c r="J13" s="52">
        <v>3.9</v>
      </c>
      <c r="K13" s="52">
        <v>4</v>
      </c>
      <c r="L13" s="52">
        <v>3</v>
      </c>
      <c r="M13" s="52">
        <v>5.6</v>
      </c>
      <c r="N13" s="52">
        <v>1.6</v>
      </c>
      <c r="O13" s="52">
        <v>1.4</v>
      </c>
      <c r="P13" s="52">
        <v>1.1</v>
      </c>
      <c r="Q13" s="52">
        <v>1.6</v>
      </c>
      <c r="R13" s="52">
        <v>1</v>
      </c>
      <c r="S13" s="52">
        <v>1.7</v>
      </c>
      <c r="T13" s="52">
        <v>1.2</v>
      </c>
      <c r="U13" s="52">
        <v>1.4</v>
      </c>
      <c r="V13" s="52">
        <v>1.3</v>
      </c>
      <c r="W13" s="52">
        <v>1.4</v>
      </c>
      <c r="X13" s="52">
        <v>17.2</v>
      </c>
      <c r="Y13" s="52">
        <v>17.8</v>
      </c>
      <c r="Z13" s="52">
        <v>15.7</v>
      </c>
      <c r="AA13" s="52">
        <v>10.8</v>
      </c>
      <c r="AB13" s="52">
        <v>10.5</v>
      </c>
      <c r="AC13" s="49">
        <f t="shared" si="0"/>
        <v>35.35</v>
      </c>
      <c r="AD13" s="50">
        <f t="shared" si="1"/>
        <v>36</v>
      </c>
      <c r="AE13" s="51">
        <f t="shared" si="2"/>
        <v>71.35</v>
      </c>
    </row>
    <row r="14" ht="17" customHeight="1" spans="1:31">
      <c r="A14" s="8">
        <v>7</v>
      </c>
      <c r="B14" s="8" t="s">
        <v>65</v>
      </c>
      <c r="C14" s="9" t="s">
        <v>66</v>
      </c>
      <c r="D14" s="48">
        <v>3.5</v>
      </c>
      <c r="E14" s="48">
        <v>4.9</v>
      </c>
      <c r="F14" s="48">
        <v>5</v>
      </c>
      <c r="G14" s="48">
        <v>3.8</v>
      </c>
      <c r="H14" s="48">
        <v>5</v>
      </c>
      <c r="I14" s="48">
        <v>4.5</v>
      </c>
      <c r="J14" s="48">
        <v>4.3</v>
      </c>
      <c r="K14" s="48">
        <v>3.8</v>
      </c>
      <c r="L14" s="48">
        <v>5.3</v>
      </c>
      <c r="M14" s="48">
        <v>3.3</v>
      </c>
      <c r="N14" s="48">
        <v>1.4</v>
      </c>
      <c r="O14" s="48">
        <v>1.3</v>
      </c>
      <c r="P14" s="48">
        <v>1.7</v>
      </c>
      <c r="Q14" s="48">
        <v>1.5</v>
      </c>
      <c r="R14" s="48">
        <v>1.7</v>
      </c>
      <c r="S14" s="48">
        <v>1</v>
      </c>
      <c r="T14" s="48">
        <v>1.4</v>
      </c>
      <c r="U14" s="48">
        <v>1.6</v>
      </c>
      <c r="V14" s="48">
        <v>1</v>
      </c>
      <c r="W14" s="48">
        <v>1.3</v>
      </c>
      <c r="X14" s="48">
        <v>12.1</v>
      </c>
      <c r="Y14" s="48">
        <v>11.4</v>
      </c>
      <c r="Z14" s="48">
        <v>12.6</v>
      </c>
      <c r="AA14" s="48">
        <v>13.3</v>
      </c>
      <c r="AB14" s="48">
        <v>10.1</v>
      </c>
      <c r="AC14" s="49">
        <f t="shared" si="0"/>
        <v>35.6</v>
      </c>
      <c r="AD14" s="50">
        <f t="shared" si="1"/>
        <v>29.75</v>
      </c>
      <c r="AE14" s="51">
        <f t="shared" si="2"/>
        <v>65.35</v>
      </c>
    </row>
    <row r="15" ht="17" customHeight="1" spans="1:31">
      <c r="A15" s="15">
        <v>8</v>
      </c>
      <c r="B15" s="15" t="s">
        <v>67</v>
      </c>
      <c r="C15" s="16" t="s">
        <v>68</v>
      </c>
      <c r="D15" s="52">
        <v>5.2</v>
      </c>
      <c r="E15" s="52">
        <v>3.5</v>
      </c>
      <c r="F15" s="52">
        <v>4.1</v>
      </c>
      <c r="G15" s="52">
        <v>5.1</v>
      </c>
      <c r="H15" s="52">
        <v>4.5</v>
      </c>
      <c r="I15" s="52">
        <v>5.5</v>
      </c>
      <c r="J15" s="52">
        <v>5.4</v>
      </c>
      <c r="K15" s="52">
        <v>3.2</v>
      </c>
      <c r="L15" s="52">
        <v>5.6</v>
      </c>
      <c r="M15" s="52">
        <v>3.1</v>
      </c>
      <c r="N15" s="52">
        <v>1</v>
      </c>
      <c r="O15" s="52">
        <v>1.9</v>
      </c>
      <c r="P15" s="52">
        <v>1.9</v>
      </c>
      <c r="Q15" s="52">
        <v>1.6</v>
      </c>
      <c r="R15" s="52">
        <v>1.6</v>
      </c>
      <c r="S15" s="52">
        <v>1.7</v>
      </c>
      <c r="T15" s="52">
        <v>1.4</v>
      </c>
      <c r="U15" s="52">
        <v>1.1</v>
      </c>
      <c r="V15" s="52">
        <v>1</v>
      </c>
      <c r="W15" s="52">
        <v>1.3</v>
      </c>
      <c r="X15" s="52">
        <v>18</v>
      </c>
      <c r="Y15" s="52">
        <v>16.2</v>
      </c>
      <c r="Z15" s="52">
        <v>18.3</v>
      </c>
      <c r="AA15" s="52">
        <v>19.2</v>
      </c>
      <c r="AB15" s="52">
        <v>10.9</v>
      </c>
      <c r="AC15" s="49">
        <f t="shared" si="0"/>
        <v>37.1</v>
      </c>
      <c r="AD15" s="50">
        <f t="shared" si="1"/>
        <v>41.3</v>
      </c>
      <c r="AE15" s="51">
        <f t="shared" si="2"/>
        <v>78.4</v>
      </c>
    </row>
    <row r="16" ht="17" customHeight="1" spans="1:31">
      <c r="A16" s="8">
        <v>9</v>
      </c>
      <c r="B16" s="8" t="s">
        <v>69</v>
      </c>
      <c r="C16" s="9" t="s">
        <v>70</v>
      </c>
      <c r="D16" s="48">
        <v>5.5</v>
      </c>
      <c r="E16" s="48">
        <v>3.7</v>
      </c>
      <c r="F16" s="48">
        <v>4.8</v>
      </c>
      <c r="G16" s="48">
        <v>4.6</v>
      </c>
      <c r="H16" s="48">
        <v>4.2</v>
      </c>
      <c r="I16" s="48">
        <v>3.9</v>
      </c>
      <c r="J16" s="48">
        <v>4</v>
      </c>
      <c r="K16" s="48">
        <v>4</v>
      </c>
      <c r="L16" s="48">
        <v>3.5</v>
      </c>
      <c r="M16" s="48">
        <v>4.5</v>
      </c>
      <c r="N16" s="48">
        <v>1.1</v>
      </c>
      <c r="O16" s="48">
        <v>1.5</v>
      </c>
      <c r="P16" s="48">
        <v>1.9</v>
      </c>
      <c r="Q16" s="48">
        <v>1.3</v>
      </c>
      <c r="R16" s="48">
        <v>1.7</v>
      </c>
      <c r="S16" s="48">
        <v>1.8</v>
      </c>
      <c r="T16" s="48">
        <v>1.8</v>
      </c>
      <c r="U16" s="48">
        <v>1.2</v>
      </c>
      <c r="V16" s="48">
        <v>1.1</v>
      </c>
      <c r="W16" s="48">
        <v>1.2</v>
      </c>
      <c r="X16" s="48">
        <v>16</v>
      </c>
      <c r="Y16" s="48">
        <v>17.6</v>
      </c>
      <c r="Z16" s="48">
        <v>16.6</v>
      </c>
      <c r="AA16" s="48">
        <v>11.8</v>
      </c>
      <c r="AB16" s="48">
        <v>17.7</v>
      </c>
      <c r="AC16" s="49">
        <f t="shared" si="0"/>
        <v>35.95</v>
      </c>
      <c r="AD16" s="50">
        <f t="shared" si="1"/>
        <v>39.85</v>
      </c>
      <c r="AE16" s="51">
        <f t="shared" si="2"/>
        <v>75.8</v>
      </c>
    </row>
    <row r="17" ht="17" customHeight="1" spans="1:31">
      <c r="A17" s="15">
        <v>10</v>
      </c>
      <c r="B17" s="15" t="s">
        <v>71</v>
      </c>
      <c r="C17" s="16" t="s">
        <v>72</v>
      </c>
      <c r="D17" s="52">
        <v>4.5</v>
      </c>
      <c r="E17" s="52">
        <v>5.3</v>
      </c>
      <c r="F17" s="52">
        <v>5.3</v>
      </c>
      <c r="G17" s="52">
        <v>4.3</v>
      </c>
      <c r="H17" s="52">
        <v>5.8</v>
      </c>
      <c r="I17" s="52">
        <v>4.7</v>
      </c>
      <c r="J17" s="52">
        <v>4.9</v>
      </c>
      <c r="K17" s="52">
        <v>4.9</v>
      </c>
      <c r="L17" s="52">
        <v>5.6</v>
      </c>
      <c r="M17" s="52">
        <v>4.9</v>
      </c>
      <c r="N17" s="52">
        <v>1.2</v>
      </c>
      <c r="O17" s="52">
        <v>1.1</v>
      </c>
      <c r="P17" s="52">
        <v>1.4</v>
      </c>
      <c r="Q17" s="52">
        <v>1.3</v>
      </c>
      <c r="R17" s="52">
        <v>1.3</v>
      </c>
      <c r="S17" s="52">
        <v>1.1</v>
      </c>
      <c r="T17" s="52">
        <v>1.5</v>
      </c>
      <c r="U17" s="52">
        <v>1.3</v>
      </c>
      <c r="V17" s="52">
        <v>1.5</v>
      </c>
      <c r="W17" s="52">
        <v>1.1</v>
      </c>
      <c r="X17" s="52">
        <v>18.3</v>
      </c>
      <c r="Y17" s="52">
        <v>10.8</v>
      </c>
      <c r="Z17" s="52">
        <v>18.6</v>
      </c>
      <c r="AA17" s="52">
        <v>18.6</v>
      </c>
      <c r="AB17" s="52">
        <v>16.2</v>
      </c>
      <c r="AC17" s="49">
        <f t="shared" si="0"/>
        <v>37.9</v>
      </c>
      <c r="AD17" s="50">
        <f t="shared" si="1"/>
        <v>41.25</v>
      </c>
      <c r="AE17" s="51">
        <f t="shared" si="2"/>
        <v>79.15</v>
      </c>
    </row>
    <row r="18" ht="17" customHeight="1" spans="1:31">
      <c r="A18" s="8">
        <v>11</v>
      </c>
      <c r="B18" s="8" t="s">
        <v>73</v>
      </c>
      <c r="C18" s="9" t="s">
        <v>74</v>
      </c>
      <c r="D18" s="48">
        <v>4.5</v>
      </c>
      <c r="E18" s="48">
        <v>4.4</v>
      </c>
      <c r="F18" s="48">
        <v>4.7</v>
      </c>
      <c r="G18" s="48">
        <v>5.4</v>
      </c>
      <c r="H18" s="48">
        <v>5.7</v>
      </c>
      <c r="I18" s="48">
        <v>4.3</v>
      </c>
      <c r="J18" s="48">
        <v>5.4</v>
      </c>
      <c r="K18" s="48">
        <v>5</v>
      </c>
      <c r="L18" s="48">
        <v>4</v>
      </c>
      <c r="M18" s="48">
        <v>4.4</v>
      </c>
      <c r="N18" s="48">
        <v>1.2</v>
      </c>
      <c r="O18" s="48">
        <v>1.1</v>
      </c>
      <c r="P18" s="48">
        <v>1.1</v>
      </c>
      <c r="Q18" s="48">
        <v>1.9</v>
      </c>
      <c r="R18" s="48">
        <v>1.3</v>
      </c>
      <c r="S18" s="48">
        <v>1.7</v>
      </c>
      <c r="T18" s="48">
        <v>1.5</v>
      </c>
      <c r="U18" s="48">
        <v>1.2</v>
      </c>
      <c r="V18" s="48">
        <v>1.2</v>
      </c>
      <c r="W18" s="48">
        <v>1.4</v>
      </c>
      <c r="X18" s="48">
        <v>14.4</v>
      </c>
      <c r="Y18" s="48">
        <v>15.2</v>
      </c>
      <c r="Z18" s="48">
        <v>11.6</v>
      </c>
      <c r="AA18" s="48">
        <v>13.7</v>
      </c>
      <c r="AB18" s="48">
        <v>12.8</v>
      </c>
      <c r="AC18" s="49">
        <f t="shared" si="0"/>
        <v>37.5</v>
      </c>
      <c r="AD18" s="50">
        <f t="shared" si="1"/>
        <v>33.85</v>
      </c>
      <c r="AE18" s="51">
        <f t="shared" si="2"/>
        <v>71.35</v>
      </c>
    </row>
    <row r="19" ht="17" customHeight="1" spans="1:31">
      <c r="A19" s="15">
        <v>12</v>
      </c>
      <c r="B19" s="15" t="s">
        <v>75</v>
      </c>
      <c r="C19" s="16" t="s">
        <v>76</v>
      </c>
      <c r="D19" s="52">
        <v>4.2</v>
      </c>
      <c r="E19" s="52">
        <v>4</v>
      </c>
      <c r="F19" s="52">
        <v>4.8</v>
      </c>
      <c r="G19" s="52">
        <v>5.4</v>
      </c>
      <c r="H19" s="52">
        <v>4.9</v>
      </c>
      <c r="I19" s="52">
        <v>3.2</v>
      </c>
      <c r="J19" s="52">
        <v>3.3</v>
      </c>
      <c r="K19" s="52">
        <v>5</v>
      </c>
      <c r="L19" s="52">
        <v>3.9</v>
      </c>
      <c r="M19" s="52">
        <v>5.2</v>
      </c>
      <c r="N19" s="52">
        <v>1.7</v>
      </c>
      <c r="O19" s="52">
        <v>1.9</v>
      </c>
      <c r="P19" s="52">
        <v>1.9</v>
      </c>
      <c r="Q19" s="52">
        <v>1.3</v>
      </c>
      <c r="R19" s="52">
        <v>1.6</v>
      </c>
      <c r="S19" s="52">
        <v>1.1</v>
      </c>
      <c r="T19" s="52">
        <v>1.3</v>
      </c>
      <c r="U19" s="52">
        <v>2</v>
      </c>
      <c r="V19" s="52">
        <v>1.7</v>
      </c>
      <c r="W19" s="52">
        <v>1.4</v>
      </c>
      <c r="X19" s="52">
        <v>16</v>
      </c>
      <c r="Y19" s="52">
        <v>19.4</v>
      </c>
      <c r="Z19" s="52">
        <v>13.1</v>
      </c>
      <c r="AA19" s="52">
        <v>13.8</v>
      </c>
      <c r="AB19" s="52">
        <v>17.9</v>
      </c>
      <c r="AC19" s="49">
        <f t="shared" si="0"/>
        <v>37.85</v>
      </c>
      <c r="AD19" s="50">
        <f t="shared" si="1"/>
        <v>40.1</v>
      </c>
      <c r="AE19" s="51">
        <f t="shared" si="2"/>
        <v>77.95</v>
      </c>
    </row>
    <row r="20" ht="17" customHeight="1" spans="1:31">
      <c r="A20" s="8">
        <v>13</v>
      </c>
      <c r="B20" s="8" t="s">
        <v>77</v>
      </c>
      <c r="C20" s="9" t="s">
        <v>78</v>
      </c>
      <c r="D20" s="48">
        <v>5.4</v>
      </c>
      <c r="E20" s="48">
        <v>5</v>
      </c>
      <c r="F20" s="48">
        <v>5.5</v>
      </c>
      <c r="G20" s="48">
        <v>5.2</v>
      </c>
      <c r="H20" s="48">
        <v>5.1</v>
      </c>
      <c r="I20" s="48">
        <v>4.6</v>
      </c>
      <c r="J20" s="48">
        <v>4.9</v>
      </c>
      <c r="K20" s="48">
        <v>4.3</v>
      </c>
      <c r="L20" s="48">
        <v>4.1</v>
      </c>
      <c r="M20" s="48">
        <v>4.1</v>
      </c>
      <c r="N20" s="48">
        <v>1.2</v>
      </c>
      <c r="O20" s="48">
        <v>1.2</v>
      </c>
      <c r="P20" s="48">
        <v>1.9</v>
      </c>
      <c r="Q20" s="48">
        <v>1.5</v>
      </c>
      <c r="R20" s="48">
        <v>1.2</v>
      </c>
      <c r="S20" s="48">
        <v>1.1</v>
      </c>
      <c r="T20" s="48">
        <v>1.1</v>
      </c>
      <c r="U20" s="48">
        <v>1.8</v>
      </c>
      <c r="V20" s="48">
        <v>1.1</v>
      </c>
      <c r="W20" s="48">
        <v>1.8</v>
      </c>
      <c r="X20" s="48">
        <v>18.4</v>
      </c>
      <c r="Y20" s="48">
        <v>18.8</v>
      </c>
      <c r="Z20" s="48">
        <v>10.4</v>
      </c>
      <c r="AA20" s="48">
        <v>13.4</v>
      </c>
      <c r="AB20" s="48">
        <v>17.7</v>
      </c>
      <c r="AC20" s="49">
        <f t="shared" si="0"/>
        <v>38</v>
      </c>
      <c r="AD20" s="50">
        <f t="shared" si="1"/>
        <v>39.35</v>
      </c>
      <c r="AE20" s="51">
        <f t="shared" si="2"/>
        <v>77.35</v>
      </c>
    </row>
    <row r="21" ht="17" customHeight="1" spans="1:31">
      <c r="A21" s="15">
        <v>14</v>
      </c>
      <c r="B21" s="15" t="s">
        <v>79</v>
      </c>
      <c r="C21" s="16" t="s">
        <v>80</v>
      </c>
      <c r="D21" s="52">
        <v>3.4</v>
      </c>
      <c r="E21" s="52">
        <v>4.1</v>
      </c>
      <c r="F21" s="52">
        <v>3.5</v>
      </c>
      <c r="G21" s="52">
        <v>5.5</v>
      </c>
      <c r="H21" s="52">
        <v>5.3</v>
      </c>
      <c r="I21" s="52">
        <v>5.4</v>
      </c>
      <c r="J21" s="52">
        <v>3.5</v>
      </c>
      <c r="K21" s="52">
        <v>4.3</v>
      </c>
      <c r="L21" s="52">
        <v>4.2</v>
      </c>
      <c r="M21" s="52">
        <v>5</v>
      </c>
      <c r="N21" s="52">
        <v>1.2</v>
      </c>
      <c r="O21" s="52">
        <v>1.4</v>
      </c>
      <c r="P21" s="52">
        <v>1.3</v>
      </c>
      <c r="Q21" s="52">
        <v>1.7</v>
      </c>
      <c r="R21" s="52">
        <v>1.4</v>
      </c>
      <c r="S21" s="52">
        <v>1.5</v>
      </c>
      <c r="T21" s="52">
        <v>1.3</v>
      </c>
      <c r="U21" s="52">
        <v>1.8</v>
      </c>
      <c r="V21" s="52">
        <v>1.5</v>
      </c>
      <c r="W21" s="52">
        <v>1.8</v>
      </c>
      <c r="X21" s="52">
        <v>13.7</v>
      </c>
      <c r="Y21" s="52">
        <v>19.5</v>
      </c>
      <c r="Z21" s="52">
        <v>19.8</v>
      </c>
      <c r="AA21" s="52">
        <v>14.6</v>
      </c>
      <c r="AB21" s="52">
        <v>12.8</v>
      </c>
      <c r="AC21" s="49">
        <f t="shared" si="0"/>
        <v>37</v>
      </c>
      <c r="AD21" s="50">
        <f t="shared" si="1"/>
        <v>40.2</v>
      </c>
      <c r="AE21" s="51">
        <f t="shared" si="2"/>
        <v>77.2</v>
      </c>
    </row>
    <row r="22" ht="17" customHeight="1" spans="1:31">
      <c r="A22" s="8">
        <v>15</v>
      </c>
      <c r="B22" s="8" t="s">
        <v>81</v>
      </c>
      <c r="C22" s="9" t="s">
        <v>82</v>
      </c>
      <c r="D22" s="48">
        <v>4.1</v>
      </c>
      <c r="E22" s="48">
        <v>4.6</v>
      </c>
      <c r="F22" s="48">
        <v>5.9</v>
      </c>
      <c r="G22" s="48">
        <v>5.5</v>
      </c>
      <c r="H22" s="48">
        <v>5.4</v>
      </c>
      <c r="I22" s="48">
        <v>3.4</v>
      </c>
      <c r="J22" s="48">
        <v>3.8</v>
      </c>
      <c r="K22" s="48">
        <v>4.9</v>
      </c>
      <c r="L22" s="48">
        <v>5.6</v>
      </c>
      <c r="M22" s="48">
        <v>4.7</v>
      </c>
      <c r="N22" s="48">
        <v>1.1</v>
      </c>
      <c r="O22" s="48">
        <v>1.8</v>
      </c>
      <c r="P22" s="48">
        <v>1.9</v>
      </c>
      <c r="Q22" s="48">
        <v>1.3</v>
      </c>
      <c r="R22" s="48">
        <v>1.8</v>
      </c>
      <c r="S22" s="48">
        <v>1.3</v>
      </c>
      <c r="T22" s="48">
        <v>1.9</v>
      </c>
      <c r="U22" s="48">
        <v>1.1</v>
      </c>
      <c r="V22" s="48">
        <v>1.4</v>
      </c>
      <c r="W22" s="48">
        <v>1.9</v>
      </c>
      <c r="X22" s="48">
        <v>12.2</v>
      </c>
      <c r="Y22" s="48">
        <v>14.5</v>
      </c>
      <c r="Z22" s="48">
        <v>13.5</v>
      </c>
      <c r="AA22" s="48">
        <v>10.3</v>
      </c>
      <c r="AB22" s="48">
        <v>10.5</v>
      </c>
      <c r="AC22" s="49">
        <f t="shared" si="0"/>
        <v>39.45</v>
      </c>
      <c r="AD22" s="50">
        <f t="shared" si="1"/>
        <v>30.5</v>
      </c>
      <c r="AE22" s="51">
        <f t="shared" si="2"/>
        <v>69.95</v>
      </c>
    </row>
    <row r="23" ht="17" customHeight="1" spans="1:31">
      <c r="A23" s="15">
        <v>16</v>
      </c>
      <c r="B23" s="15" t="s">
        <v>83</v>
      </c>
      <c r="C23" s="16" t="s">
        <v>84</v>
      </c>
      <c r="D23" s="52">
        <v>4.5</v>
      </c>
      <c r="E23" s="52">
        <v>3.7</v>
      </c>
      <c r="F23" s="52">
        <v>6</v>
      </c>
      <c r="G23" s="52">
        <v>4.1</v>
      </c>
      <c r="H23" s="52">
        <v>3.1</v>
      </c>
      <c r="I23" s="52">
        <v>5.8</v>
      </c>
      <c r="J23" s="52">
        <v>5.5</v>
      </c>
      <c r="K23" s="52">
        <v>4.9</v>
      </c>
      <c r="L23" s="52">
        <v>5.4</v>
      </c>
      <c r="M23" s="52">
        <v>3.4</v>
      </c>
      <c r="N23" s="52">
        <v>1.3</v>
      </c>
      <c r="O23" s="52">
        <v>1.8</v>
      </c>
      <c r="P23" s="52">
        <v>1.7</v>
      </c>
      <c r="Q23" s="52">
        <v>1.1</v>
      </c>
      <c r="R23" s="52">
        <v>1.7</v>
      </c>
      <c r="S23" s="52">
        <v>1.4</v>
      </c>
      <c r="T23" s="52">
        <v>1</v>
      </c>
      <c r="U23" s="52">
        <v>1.1</v>
      </c>
      <c r="V23" s="52">
        <v>1.3</v>
      </c>
      <c r="W23" s="52">
        <v>1.8</v>
      </c>
      <c r="X23" s="52">
        <v>15.5</v>
      </c>
      <c r="Y23" s="52">
        <v>17.3</v>
      </c>
      <c r="Z23" s="52">
        <v>15.3</v>
      </c>
      <c r="AA23" s="52">
        <v>11.1</v>
      </c>
      <c r="AB23" s="52">
        <v>12.9</v>
      </c>
      <c r="AC23" s="49">
        <f t="shared" si="0"/>
        <v>37.4</v>
      </c>
      <c r="AD23" s="50">
        <f t="shared" si="1"/>
        <v>36.05</v>
      </c>
      <c r="AE23" s="51">
        <f t="shared" si="2"/>
        <v>73.45</v>
      </c>
    </row>
    <row r="24" ht="17" customHeight="1" spans="1:31">
      <c r="A24" s="8">
        <v>17</v>
      </c>
      <c r="B24" s="8" t="s">
        <v>85</v>
      </c>
      <c r="C24" s="9" t="s">
        <v>86</v>
      </c>
      <c r="D24" s="48">
        <v>3.9</v>
      </c>
      <c r="E24" s="48">
        <v>3.1</v>
      </c>
      <c r="F24" s="48">
        <v>4.3</v>
      </c>
      <c r="G24" s="48">
        <v>5.4</v>
      </c>
      <c r="H24" s="48">
        <v>4.4</v>
      </c>
      <c r="I24" s="48">
        <v>3.3</v>
      </c>
      <c r="J24" s="48">
        <v>5.7</v>
      </c>
      <c r="K24" s="48">
        <v>4.8</v>
      </c>
      <c r="L24" s="48">
        <v>3</v>
      </c>
      <c r="M24" s="48">
        <v>4.5</v>
      </c>
      <c r="N24" s="48">
        <v>1.2</v>
      </c>
      <c r="O24" s="48">
        <v>1.1</v>
      </c>
      <c r="P24" s="48">
        <v>1.4</v>
      </c>
      <c r="Q24" s="48">
        <v>1.6</v>
      </c>
      <c r="R24" s="48">
        <v>1.2</v>
      </c>
      <c r="S24" s="48">
        <v>1.4</v>
      </c>
      <c r="T24" s="48">
        <v>1.7</v>
      </c>
      <c r="U24" s="48">
        <v>1.1</v>
      </c>
      <c r="V24" s="48">
        <v>2</v>
      </c>
      <c r="W24" s="48">
        <v>1.1</v>
      </c>
      <c r="X24" s="48">
        <v>15.3</v>
      </c>
      <c r="Y24" s="48">
        <v>15.1</v>
      </c>
      <c r="Z24" s="48">
        <v>19.9</v>
      </c>
      <c r="AA24" s="48">
        <v>15.5</v>
      </c>
      <c r="AB24" s="48">
        <v>13.9</v>
      </c>
      <c r="AC24" s="49">
        <f t="shared" si="0"/>
        <v>35</v>
      </c>
      <c r="AD24" s="50">
        <f t="shared" si="1"/>
        <v>39.85</v>
      </c>
      <c r="AE24" s="51">
        <f t="shared" si="2"/>
        <v>74.85</v>
      </c>
    </row>
    <row r="25" ht="17" customHeight="1" spans="1:31">
      <c r="A25" s="15">
        <v>18</v>
      </c>
      <c r="B25" s="15" t="s">
        <v>87</v>
      </c>
      <c r="C25" s="16" t="s">
        <v>88</v>
      </c>
      <c r="D25" s="52">
        <v>4.4</v>
      </c>
      <c r="E25" s="52">
        <v>4.9</v>
      </c>
      <c r="F25" s="52">
        <v>5.9</v>
      </c>
      <c r="G25" s="52">
        <v>3.8</v>
      </c>
      <c r="H25" s="52">
        <v>3</v>
      </c>
      <c r="I25" s="52">
        <v>5.4</v>
      </c>
      <c r="J25" s="52">
        <v>4</v>
      </c>
      <c r="K25" s="52">
        <v>5.2</v>
      </c>
      <c r="L25" s="52">
        <v>4.9</v>
      </c>
      <c r="M25" s="52">
        <v>5.3</v>
      </c>
      <c r="N25" s="52">
        <v>1.7</v>
      </c>
      <c r="O25" s="52">
        <v>1.3</v>
      </c>
      <c r="P25" s="52">
        <v>1</v>
      </c>
      <c r="Q25" s="52">
        <v>1.5</v>
      </c>
      <c r="R25" s="52">
        <v>1.8</v>
      </c>
      <c r="S25" s="52">
        <v>1.2</v>
      </c>
      <c r="T25" s="52">
        <v>1.8</v>
      </c>
      <c r="U25" s="52">
        <v>1.5</v>
      </c>
      <c r="V25" s="52">
        <v>1.7</v>
      </c>
      <c r="W25" s="52">
        <v>1.6</v>
      </c>
      <c r="X25" s="52">
        <v>18.1</v>
      </c>
      <c r="Y25" s="52">
        <v>10.6</v>
      </c>
      <c r="Z25" s="52">
        <v>17.8</v>
      </c>
      <c r="AA25" s="52">
        <v>14.6</v>
      </c>
      <c r="AB25" s="52">
        <v>12.9</v>
      </c>
      <c r="AC25" s="49">
        <f t="shared" si="0"/>
        <v>38.5</v>
      </c>
      <c r="AD25" s="50">
        <f t="shared" si="1"/>
        <v>37</v>
      </c>
      <c r="AE25" s="51">
        <f t="shared" si="2"/>
        <v>75.5</v>
      </c>
    </row>
    <row r="26" ht="17" customHeight="1" spans="1:31">
      <c r="A26" s="8">
        <v>19</v>
      </c>
      <c r="B26" s="8" t="s">
        <v>89</v>
      </c>
      <c r="C26" s="9" t="s">
        <v>90</v>
      </c>
      <c r="D26" s="48">
        <v>3.1</v>
      </c>
      <c r="E26" s="48">
        <v>3.6</v>
      </c>
      <c r="F26" s="48">
        <v>3.1</v>
      </c>
      <c r="G26" s="48">
        <v>5.8</v>
      </c>
      <c r="H26" s="48">
        <v>4.5</v>
      </c>
      <c r="I26" s="48">
        <v>6</v>
      </c>
      <c r="J26" s="48">
        <v>4.6</v>
      </c>
      <c r="K26" s="48">
        <v>3.8</v>
      </c>
      <c r="L26" s="48">
        <v>5.3</v>
      </c>
      <c r="M26" s="48">
        <v>3.6</v>
      </c>
      <c r="N26" s="48">
        <v>1.4</v>
      </c>
      <c r="O26" s="48">
        <v>1.8</v>
      </c>
      <c r="P26" s="48">
        <v>1.9</v>
      </c>
      <c r="Q26" s="48">
        <v>1.3</v>
      </c>
      <c r="R26" s="48">
        <v>1.1</v>
      </c>
      <c r="S26" s="48">
        <v>1.4</v>
      </c>
      <c r="T26" s="48">
        <v>1.9</v>
      </c>
      <c r="U26" s="48">
        <v>1.7</v>
      </c>
      <c r="V26" s="48">
        <v>1.9</v>
      </c>
      <c r="W26" s="48">
        <v>1.4</v>
      </c>
      <c r="X26" s="48">
        <v>19.7</v>
      </c>
      <c r="Y26" s="48">
        <v>15</v>
      </c>
      <c r="Z26" s="48">
        <v>15</v>
      </c>
      <c r="AA26" s="48">
        <v>19.2</v>
      </c>
      <c r="AB26" s="48">
        <v>15.2</v>
      </c>
      <c r="AC26" s="49">
        <f t="shared" si="0"/>
        <v>37.5</v>
      </c>
      <c r="AD26" s="50">
        <f t="shared" si="1"/>
        <v>42.05</v>
      </c>
      <c r="AE26" s="51">
        <f t="shared" si="2"/>
        <v>79.55</v>
      </c>
    </row>
    <row r="27" ht="17" customHeight="1" spans="1:31">
      <c r="A27" s="15">
        <v>20</v>
      </c>
      <c r="B27" s="15" t="s">
        <v>91</v>
      </c>
      <c r="C27" s="16" t="s">
        <v>92</v>
      </c>
      <c r="D27" s="52">
        <v>5.4</v>
      </c>
      <c r="E27" s="52">
        <v>5.2</v>
      </c>
      <c r="F27" s="52">
        <v>3.2</v>
      </c>
      <c r="G27" s="52">
        <v>4.8</v>
      </c>
      <c r="H27" s="52">
        <v>5.5</v>
      </c>
      <c r="I27" s="52">
        <v>4.6</v>
      </c>
      <c r="J27" s="52">
        <v>4</v>
      </c>
      <c r="K27" s="52">
        <v>3.2</v>
      </c>
      <c r="L27" s="52">
        <v>5</v>
      </c>
      <c r="M27" s="52">
        <v>3.9</v>
      </c>
      <c r="N27" s="52">
        <v>1.6</v>
      </c>
      <c r="O27" s="52">
        <v>1.4</v>
      </c>
      <c r="P27" s="52">
        <v>1.7</v>
      </c>
      <c r="Q27" s="52">
        <v>1.4</v>
      </c>
      <c r="R27" s="52">
        <v>1</v>
      </c>
      <c r="S27" s="52">
        <v>1.9</v>
      </c>
      <c r="T27" s="52">
        <v>1.4</v>
      </c>
      <c r="U27" s="52">
        <v>2</v>
      </c>
      <c r="V27" s="52">
        <v>1.3</v>
      </c>
      <c r="W27" s="52">
        <v>2</v>
      </c>
      <c r="X27" s="52">
        <v>19.5</v>
      </c>
      <c r="Y27" s="52">
        <v>10.8</v>
      </c>
      <c r="Z27" s="52">
        <v>16.4</v>
      </c>
      <c r="AA27" s="52">
        <v>13.6</v>
      </c>
      <c r="AB27" s="52">
        <v>18</v>
      </c>
      <c r="AC27" s="49">
        <f t="shared" si="0"/>
        <v>38.1</v>
      </c>
      <c r="AD27" s="50">
        <f t="shared" si="1"/>
        <v>39.15</v>
      </c>
      <c r="AE27" s="51">
        <f t="shared" si="2"/>
        <v>77.25</v>
      </c>
    </row>
    <row r="28" ht="15.15"/>
    <row r="29" ht="20" customHeight="1" spans="1:31">
      <c r="A29" s="28" t="s">
        <v>93</v>
      </c>
      <c r="D29" s="53">
        <f t="shared" ref="D29:AE29" si="3">AVERAGE(D8:D27)</f>
        <v>4.43</v>
      </c>
      <c r="E29" s="53">
        <f t="shared" si="3"/>
        <v>4.395</v>
      </c>
      <c r="F29" s="53">
        <f t="shared" si="3"/>
        <v>4.79</v>
      </c>
      <c r="G29" s="53">
        <f t="shared" si="3"/>
        <v>4.82</v>
      </c>
      <c r="H29" s="53">
        <f t="shared" si="3"/>
        <v>4.61</v>
      </c>
      <c r="I29" s="53">
        <f t="shared" si="3"/>
        <v>4.545</v>
      </c>
      <c r="J29" s="53">
        <f t="shared" si="3"/>
        <v>4.38</v>
      </c>
      <c r="K29" s="53">
        <f t="shared" si="3"/>
        <v>4.39</v>
      </c>
      <c r="L29" s="53">
        <f t="shared" si="3"/>
        <v>4.565</v>
      </c>
      <c r="M29" s="53">
        <f t="shared" si="3"/>
        <v>4.285</v>
      </c>
      <c r="N29" s="53">
        <f t="shared" si="3"/>
        <v>1.4</v>
      </c>
      <c r="O29" s="53">
        <f t="shared" si="3"/>
        <v>1.425</v>
      </c>
      <c r="P29" s="53">
        <f t="shared" si="3"/>
        <v>1.56</v>
      </c>
      <c r="Q29" s="53">
        <f t="shared" si="3"/>
        <v>1.415</v>
      </c>
      <c r="R29" s="53">
        <f t="shared" si="3"/>
        <v>1.385</v>
      </c>
      <c r="S29" s="53">
        <f t="shared" si="3"/>
        <v>1.46</v>
      </c>
      <c r="T29" s="53">
        <f t="shared" si="3"/>
        <v>1.445</v>
      </c>
      <c r="U29" s="53">
        <f t="shared" si="3"/>
        <v>1.515</v>
      </c>
      <c r="V29" s="53">
        <f t="shared" si="3"/>
        <v>1.38</v>
      </c>
      <c r="W29" s="53">
        <f t="shared" si="3"/>
        <v>1.55</v>
      </c>
      <c r="X29" s="53">
        <f t="shared" si="3"/>
        <v>16.14</v>
      </c>
      <c r="Y29" s="53">
        <f t="shared" si="3"/>
        <v>15.28</v>
      </c>
      <c r="Z29" s="53">
        <f t="shared" si="3"/>
        <v>15.91</v>
      </c>
      <c r="AA29" s="53">
        <f t="shared" si="3"/>
        <v>14.465</v>
      </c>
      <c r="AB29" s="53">
        <f t="shared" si="3"/>
        <v>14.045</v>
      </c>
      <c r="AC29" s="43">
        <f t="shared" si="3"/>
        <v>37.14</v>
      </c>
      <c r="AD29" s="43">
        <f t="shared" si="3"/>
        <v>37.92</v>
      </c>
      <c r="AE29" s="43">
        <f t="shared" si="3"/>
        <v>75.06</v>
      </c>
    </row>
    <row r="30" ht="15.15"/>
    <row r="31" ht="22" customHeight="1" spans="1:31">
      <c r="A31" s="31" t="s">
        <v>94</v>
      </c>
      <c r="D31" s="54">
        <f>IFERROR((D29/D6+I29/I6+N29/N6+S29/S6+X29/X6)/5,0)</f>
        <v>0.746566666666667</v>
      </c>
      <c r="E31" s="54">
        <f>IFERROR((E29/E6+J29/J6+O29/O6+T29/T6+Y29/Y6)/5,0)</f>
        <v>0.7323</v>
      </c>
      <c r="F31" s="54">
        <f>IFERROR((F29/F6+K29/K6+P29/P6+U29/U6+Z29/Z6)/5,0)</f>
        <v>0.7726</v>
      </c>
      <c r="G31" s="54">
        <f>IFERROR((G29/G6+L29/L6+Q29/Q6+V29/V6+AA29/AA6)/5,0)</f>
        <v>0.736983333333333</v>
      </c>
      <c r="H31" s="54">
        <f>IFERROR((H29/H6+M29/M6+R29/R6+W29/W6+AB29/AB6)/5,0)</f>
        <v>0.73045</v>
      </c>
    </row>
    <row r="32" ht="22" customHeight="1" spans="1:31">
      <c r="A32" s="30" t="s">
        <v>95</v>
      </c>
      <c r="D32" s="55">
        <f>IF(D31&gt;=0.6,3,IF(D31&gt;=0.4,2,1))</f>
        <v>3</v>
      </c>
      <c r="E32" s="55">
        <f>IF(E31&gt;=0.6,3,IF(E31&gt;=0.4,2,1))</f>
        <v>3</v>
      </c>
      <c r="F32" s="55">
        <f>IF(F31&gt;=0.6,3,IF(F31&gt;=0.4,2,1))</f>
        <v>3</v>
      </c>
      <c r="G32" s="55">
        <f>IF(G31&gt;=0.6,3,IF(G31&gt;=0.4,2,1))</f>
        <v>3</v>
      </c>
      <c r="H32" s="55">
        <f>IF(H31&gt;=0.6,3,IF(H31&gt;=0.4,2,1))</f>
        <v>3</v>
      </c>
    </row>
    <row r="33" ht="20" customHeight="1" spans="1:8">
      <c r="A33" s="29" t="s">
        <v>96</v>
      </c>
      <c r="D33" s="56">
        <f>IFERROR((D29/D6+I29/I6+N29/N6+S29/S6)/4,0)</f>
        <v>0.731458333333333</v>
      </c>
      <c r="E33" s="56">
        <f>IFERROR((E29/E6+J29/J6+O29/O6+T29/T6)/4,0)</f>
        <v>0.724375</v>
      </c>
      <c r="F33" s="56">
        <f>IFERROR((F29/F6+K29/K6+P29/P6+U29/U6)/4,0)</f>
        <v>0.766875</v>
      </c>
      <c r="G33" s="56">
        <f>IFERROR((G29/G6+L29/L6+Q29/Q6+V29/V6)/4,0)</f>
        <v>0.740416666666667</v>
      </c>
      <c r="H33" s="56">
        <f>IFERROR((H29/H6+M29/M6+R29/R6+W29/W6)/4,0)</f>
        <v>0.7375</v>
      </c>
    </row>
    <row r="34" ht="20" customHeight="1" spans="1:8">
      <c r="A34" s="30" t="s">
        <v>97</v>
      </c>
      <c r="D34" s="57">
        <f>IFERROR(X29/X6,0)</f>
        <v>0.807</v>
      </c>
      <c r="E34" s="57">
        <f>IFERROR(Y29/Y6,0)</f>
        <v>0.764</v>
      </c>
      <c r="F34" s="57">
        <f>IFERROR(Z29/Z6,0)</f>
        <v>0.7955</v>
      </c>
      <c r="G34" s="57">
        <f>IFERROR(AA29/AA6,0)</f>
        <v>0.72325</v>
      </c>
      <c r="H34" s="57">
        <f>IFERROR(AB29/AB6,0)</f>
        <v>0.70225</v>
      </c>
    </row>
    <row r="35" ht="15.15"/>
    <row r="36" ht="18" customHeight="1" spans="1:8">
      <c r="A36" s="28" t="s">
        <v>98</v>
      </c>
      <c r="D36" s="58">
        <f>(D33+E33+F33+G33+H33)/5</f>
        <v>0.740125</v>
      </c>
      <c r="E36" s="59">
        <f>(D34+E34+F34+G34+H34)/5</f>
        <v>0.7584</v>
      </c>
      <c r="F36" s="54">
        <f>(D31+E31+F31+G31+H31)/5</f>
        <v>0.74378</v>
      </c>
    </row>
  </sheetData>
  <mergeCells count="16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7:C7"/>
    <mergeCell ref="A29:C29"/>
    <mergeCell ref="A31:C31"/>
    <mergeCell ref="A32:C32"/>
    <mergeCell ref="A33:C33"/>
    <mergeCell ref="A34:C34"/>
    <mergeCell ref="A36:C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E1"/>
    </sheetView>
  </sheetViews>
  <sheetFormatPr defaultColWidth="9" defaultRowHeight="14.4"/>
  <cols>
    <col min="1" max="1" width="6" customWidth="1"/>
    <col min="2" max="2" width="10" customWidth="1"/>
    <col min="3" max="3" width="22" customWidth="1"/>
    <col min="4" max="31" width="9" customWidth="1"/>
  </cols>
  <sheetData>
    <row r="1" ht="32" customHeight="1" spans="1:31">
      <c r="A1" s="21" t="s">
        <v>101</v>
      </c>
    </row>
    <row r="2" ht="16" customHeight="1" spans="1:31">
      <c r="A2" s="22" t="s">
        <v>36</v>
      </c>
    </row>
    <row r="3" ht="6" customHeight="1"/>
    <row r="4" ht="22" customHeight="1" spans="1:31">
      <c r="A4" s="23" t="s">
        <v>37</v>
      </c>
      <c r="D4" s="24" t="s">
        <v>38</v>
      </c>
      <c r="I4" s="25" t="s">
        <v>39</v>
      </c>
      <c r="N4" s="26" t="s">
        <v>40</v>
      </c>
      <c r="S4" s="27" t="s">
        <v>41</v>
      </c>
      <c r="X4" s="28" t="s">
        <v>42</v>
      </c>
      <c r="AC4" s="29" t="s">
        <v>43</v>
      </c>
      <c r="AD4" s="30" t="s">
        <v>44</v>
      </c>
      <c r="AE4" s="31" t="s">
        <v>45</v>
      </c>
    </row>
    <row r="5" ht="18" customHeight="1" spans="1:31">
      <c r="A5" s="23" t="s">
        <v>46</v>
      </c>
      <c r="B5" s="23" t="s">
        <v>47</v>
      </c>
      <c r="C5" s="23" t="s">
        <v>48</v>
      </c>
      <c r="D5" s="32" t="s">
        <v>9</v>
      </c>
      <c r="E5" s="32" t="s">
        <v>10</v>
      </c>
      <c r="F5" s="32" t="s">
        <v>11</v>
      </c>
      <c r="G5" s="32" t="s">
        <v>12</v>
      </c>
      <c r="H5" s="32" t="s">
        <v>13</v>
      </c>
      <c r="I5" s="33" t="s">
        <v>9</v>
      </c>
      <c r="J5" s="33" t="s">
        <v>10</v>
      </c>
      <c r="K5" s="33" t="s">
        <v>11</v>
      </c>
      <c r="L5" s="33" t="s">
        <v>12</v>
      </c>
      <c r="M5" s="33" t="s">
        <v>13</v>
      </c>
      <c r="N5" s="34" t="s">
        <v>9</v>
      </c>
      <c r="O5" s="34" t="s">
        <v>10</v>
      </c>
      <c r="P5" s="34" t="s">
        <v>11</v>
      </c>
      <c r="Q5" s="34" t="s">
        <v>12</v>
      </c>
      <c r="R5" s="34" t="s">
        <v>13</v>
      </c>
      <c r="S5" s="35" t="s">
        <v>9</v>
      </c>
      <c r="T5" s="35" t="s">
        <v>10</v>
      </c>
      <c r="U5" s="35" t="s">
        <v>11</v>
      </c>
      <c r="V5" s="35" t="s">
        <v>12</v>
      </c>
      <c r="W5" s="35" t="s">
        <v>13</v>
      </c>
      <c r="X5" s="36" t="s">
        <v>9</v>
      </c>
      <c r="Y5" s="36" t="s">
        <v>10</v>
      </c>
      <c r="Z5" s="36" t="s">
        <v>11</v>
      </c>
      <c r="AA5" s="36" t="s">
        <v>12</v>
      </c>
      <c r="AB5" s="36" t="s">
        <v>13</v>
      </c>
      <c r="AC5" s="37" t="s">
        <v>49</v>
      </c>
      <c r="AD5" s="38" t="s">
        <v>49</v>
      </c>
      <c r="AE5" s="39" t="s">
        <v>49</v>
      </c>
    </row>
    <row r="6" ht="18" customHeight="1" spans="1:31">
      <c r="A6" s="40" t="s">
        <v>50</v>
      </c>
      <c r="B6" s="41"/>
      <c r="C6" s="42"/>
      <c r="D6" s="43">
        <v>6</v>
      </c>
      <c r="E6" s="43">
        <v>6</v>
      </c>
      <c r="F6" s="43">
        <v>6</v>
      </c>
      <c r="G6" s="43">
        <v>6</v>
      </c>
      <c r="H6" s="43">
        <v>6</v>
      </c>
      <c r="I6" s="43">
        <v>6</v>
      </c>
      <c r="J6" s="43">
        <v>6</v>
      </c>
      <c r="K6" s="43">
        <v>6</v>
      </c>
      <c r="L6" s="43">
        <v>6</v>
      </c>
      <c r="M6" s="43">
        <v>6</v>
      </c>
      <c r="N6" s="43">
        <v>2</v>
      </c>
      <c r="O6" s="43">
        <v>2</v>
      </c>
      <c r="P6" s="43">
        <v>2</v>
      </c>
      <c r="Q6" s="43">
        <v>2</v>
      </c>
      <c r="R6" s="43">
        <v>2</v>
      </c>
      <c r="S6" s="43">
        <v>2</v>
      </c>
      <c r="T6" s="43">
        <v>2</v>
      </c>
      <c r="U6" s="43">
        <v>2</v>
      </c>
      <c r="V6" s="43">
        <v>2</v>
      </c>
      <c r="W6" s="43">
        <v>2</v>
      </c>
      <c r="X6" s="43">
        <v>20</v>
      </c>
      <c r="Y6" s="43">
        <v>20</v>
      </c>
      <c r="Z6" s="43">
        <v>20</v>
      </c>
      <c r="AA6" s="43">
        <v>20</v>
      </c>
      <c r="AB6" s="43">
        <v>20</v>
      </c>
      <c r="AC6" s="44">
        <v>50</v>
      </c>
      <c r="AD6" s="45">
        <v>50</v>
      </c>
      <c r="AE6" s="46">
        <v>100</v>
      </c>
    </row>
    <row r="7" ht="14" customHeight="1" spans="1:31">
      <c r="A7" s="47" t="s">
        <v>51</v>
      </c>
      <c r="D7" s="8" t="s">
        <v>52</v>
      </c>
      <c r="E7" s="8" t="s">
        <v>52</v>
      </c>
      <c r="F7" s="8" t="s">
        <v>52</v>
      </c>
      <c r="G7" s="8" t="s">
        <v>52</v>
      </c>
      <c r="H7" s="8" t="s">
        <v>52</v>
      </c>
      <c r="I7" s="8" t="s">
        <v>52</v>
      </c>
      <c r="J7" s="8" t="s">
        <v>52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 t="s">
        <v>52</v>
      </c>
      <c r="Q7" s="8" t="s">
        <v>52</v>
      </c>
      <c r="R7" s="8" t="s">
        <v>52</v>
      </c>
      <c r="S7" s="8" t="s">
        <v>52</v>
      </c>
      <c r="T7" s="8" t="s">
        <v>52</v>
      </c>
      <c r="U7" s="8" t="s">
        <v>52</v>
      </c>
      <c r="V7" s="8" t="s">
        <v>52</v>
      </c>
      <c r="W7" s="8" t="s">
        <v>52</v>
      </c>
      <c r="X7" s="8" t="s">
        <v>52</v>
      </c>
      <c r="Y7" s="8" t="s">
        <v>52</v>
      </c>
      <c r="Z7" s="8" t="s">
        <v>52</v>
      </c>
      <c r="AA7" s="8" t="s">
        <v>52</v>
      </c>
      <c r="AB7" s="8" t="s">
        <v>52</v>
      </c>
      <c r="AC7" s="8" t="s">
        <v>52</v>
      </c>
      <c r="AD7" s="8" t="s">
        <v>52</v>
      </c>
      <c r="AE7" s="8" t="s">
        <v>52</v>
      </c>
    </row>
    <row r="8" ht="17" customHeight="1" spans="1:31">
      <c r="A8" s="8">
        <v>1</v>
      </c>
      <c r="B8" s="8" t="s">
        <v>53</v>
      </c>
      <c r="C8" s="9" t="s">
        <v>54</v>
      </c>
      <c r="D8" s="48">
        <v>5</v>
      </c>
      <c r="E8" s="48">
        <v>5.9</v>
      </c>
      <c r="F8" s="48">
        <v>3.4</v>
      </c>
      <c r="G8" s="48">
        <v>4.8</v>
      </c>
      <c r="H8" s="48">
        <v>5.3</v>
      </c>
      <c r="I8" s="48">
        <v>3.1</v>
      </c>
      <c r="J8" s="48">
        <v>3.2</v>
      </c>
      <c r="K8" s="48">
        <v>5.3</v>
      </c>
      <c r="L8" s="48">
        <v>4.1</v>
      </c>
      <c r="M8" s="48">
        <v>4.1</v>
      </c>
      <c r="N8" s="48">
        <v>1.6</v>
      </c>
      <c r="O8" s="48">
        <v>1.6</v>
      </c>
      <c r="P8" s="48">
        <v>1.7</v>
      </c>
      <c r="Q8" s="48">
        <v>1.9</v>
      </c>
      <c r="R8" s="48">
        <v>1.4</v>
      </c>
      <c r="S8" s="48">
        <v>1.8</v>
      </c>
      <c r="T8" s="48">
        <v>1.6</v>
      </c>
      <c r="U8" s="48">
        <v>1.5</v>
      </c>
      <c r="V8" s="48">
        <v>1.4</v>
      </c>
      <c r="W8" s="48">
        <v>1.6</v>
      </c>
      <c r="X8" s="48">
        <v>12.5</v>
      </c>
      <c r="Y8" s="48">
        <v>11.1</v>
      </c>
      <c r="Z8" s="48">
        <v>17.4</v>
      </c>
      <c r="AA8" s="48">
        <v>15</v>
      </c>
      <c r="AB8" s="48">
        <v>13.9</v>
      </c>
      <c r="AC8" s="49">
        <f t="shared" ref="AC8:AC27" si="0">(SUM(D8:H8)+SUM(I8:M8))/2+SUM(N8:R8)+SUM(S8:W8)</f>
        <v>38.2</v>
      </c>
      <c r="AD8" s="50">
        <f t="shared" ref="AD8:AD27" si="1">SUM(X8:AB8)/100*50</f>
        <v>34.95</v>
      </c>
      <c r="AE8" s="51">
        <f t="shared" ref="AE8:AE27" si="2">AC8+AD8</f>
        <v>73.15</v>
      </c>
    </row>
    <row r="9" ht="17" customHeight="1" spans="1:31">
      <c r="A9" s="15">
        <v>2</v>
      </c>
      <c r="B9" s="15" t="s">
        <v>55</v>
      </c>
      <c r="C9" s="16" t="s">
        <v>56</v>
      </c>
      <c r="D9" s="52">
        <v>4.7</v>
      </c>
      <c r="E9" s="52">
        <v>3.8</v>
      </c>
      <c r="F9" s="52">
        <v>3.8</v>
      </c>
      <c r="G9" s="52">
        <v>4.3</v>
      </c>
      <c r="H9" s="52">
        <v>6</v>
      </c>
      <c r="I9" s="52">
        <v>3.9</v>
      </c>
      <c r="J9" s="52">
        <v>5.7</v>
      </c>
      <c r="K9" s="52">
        <v>4.5</v>
      </c>
      <c r="L9" s="52">
        <v>3.4</v>
      </c>
      <c r="M9" s="52">
        <v>5.6</v>
      </c>
      <c r="N9" s="52">
        <v>1.5</v>
      </c>
      <c r="O9" s="52">
        <v>1.9</v>
      </c>
      <c r="P9" s="52">
        <v>1.4</v>
      </c>
      <c r="Q9" s="52">
        <v>1.1</v>
      </c>
      <c r="R9" s="52">
        <v>1.7</v>
      </c>
      <c r="S9" s="52">
        <v>1.8</v>
      </c>
      <c r="T9" s="52">
        <v>1.3</v>
      </c>
      <c r="U9" s="52">
        <v>1.3</v>
      </c>
      <c r="V9" s="52">
        <v>1.1</v>
      </c>
      <c r="W9" s="52">
        <v>1.5</v>
      </c>
      <c r="X9" s="52">
        <v>18.9</v>
      </c>
      <c r="Y9" s="52">
        <v>18.5</v>
      </c>
      <c r="Z9" s="52">
        <v>17.1</v>
      </c>
      <c r="AA9" s="52">
        <v>19.3</v>
      </c>
      <c r="AB9" s="52">
        <v>16.4</v>
      </c>
      <c r="AC9" s="49">
        <f t="shared" si="0"/>
        <v>37.45</v>
      </c>
      <c r="AD9" s="50">
        <f t="shared" si="1"/>
        <v>45.1</v>
      </c>
      <c r="AE9" s="51">
        <f t="shared" si="2"/>
        <v>82.55</v>
      </c>
    </row>
    <row r="10" ht="17" customHeight="1" spans="1:31">
      <c r="A10" s="8">
        <v>3</v>
      </c>
      <c r="B10" s="8" t="s">
        <v>57</v>
      </c>
      <c r="C10" s="9" t="s">
        <v>58</v>
      </c>
      <c r="D10" s="48">
        <v>5.4</v>
      </c>
      <c r="E10" s="48">
        <v>4.5</v>
      </c>
      <c r="F10" s="48">
        <v>3.4</v>
      </c>
      <c r="G10" s="48">
        <v>3.6</v>
      </c>
      <c r="H10" s="48">
        <v>3.4</v>
      </c>
      <c r="I10" s="48">
        <v>5.4</v>
      </c>
      <c r="J10" s="48">
        <v>3.1</v>
      </c>
      <c r="K10" s="48">
        <v>4.7</v>
      </c>
      <c r="L10" s="48">
        <v>4.1</v>
      </c>
      <c r="M10" s="48">
        <v>5.4</v>
      </c>
      <c r="N10" s="48">
        <v>1.6</v>
      </c>
      <c r="O10" s="48">
        <v>1.6</v>
      </c>
      <c r="P10" s="48">
        <v>1.1</v>
      </c>
      <c r="Q10" s="48">
        <v>1.3</v>
      </c>
      <c r="R10" s="48">
        <v>2</v>
      </c>
      <c r="S10" s="48">
        <v>1.7</v>
      </c>
      <c r="T10" s="48">
        <v>1.5</v>
      </c>
      <c r="U10" s="48">
        <v>1.8</v>
      </c>
      <c r="V10" s="48">
        <v>1.8</v>
      </c>
      <c r="W10" s="48">
        <v>1.1</v>
      </c>
      <c r="X10" s="48">
        <v>19.7</v>
      </c>
      <c r="Y10" s="48">
        <v>16.4</v>
      </c>
      <c r="Z10" s="48">
        <v>14.5</v>
      </c>
      <c r="AA10" s="48">
        <v>16.8</v>
      </c>
      <c r="AB10" s="48">
        <v>13.4</v>
      </c>
      <c r="AC10" s="49">
        <f t="shared" si="0"/>
        <v>37</v>
      </c>
      <c r="AD10" s="50">
        <f t="shared" si="1"/>
        <v>40.4</v>
      </c>
      <c r="AE10" s="51">
        <f t="shared" si="2"/>
        <v>77.4</v>
      </c>
    </row>
    <row r="11" ht="17" customHeight="1" spans="1:31">
      <c r="A11" s="15">
        <v>4</v>
      </c>
      <c r="B11" s="15" t="s">
        <v>59</v>
      </c>
      <c r="C11" s="16" t="s">
        <v>60</v>
      </c>
      <c r="D11" s="52">
        <v>5.6</v>
      </c>
      <c r="E11" s="52">
        <v>5.3</v>
      </c>
      <c r="F11" s="52">
        <v>4.9</v>
      </c>
      <c r="G11" s="52">
        <v>3.5</v>
      </c>
      <c r="H11" s="52">
        <v>5.9</v>
      </c>
      <c r="I11" s="52">
        <v>4.3</v>
      </c>
      <c r="J11" s="52">
        <v>5.7</v>
      </c>
      <c r="K11" s="52">
        <v>3.2</v>
      </c>
      <c r="L11" s="52">
        <v>3.4</v>
      </c>
      <c r="M11" s="52">
        <v>3.5</v>
      </c>
      <c r="N11" s="52">
        <v>1.2</v>
      </c>
      <c r="O11" s="52">
        <v>1.3</v>
      </c>
      <c r="P11" s="52">
        <v>1.7</v>
      </c>
      <c r="Q11" s="52">
        <v>1.3</v>
      </c>
      <c r="R11" s="52">
        <v>1.9</v>
      </c>
      <c r="S11" s="52">
        <v>1.9</v>
      </c>
      <c r="T11" s="52">
        <v>1.8</v>
      </c>
      <c r="U11" s="52">
        <v>1.3</v>
      </c>
      <c r="V11" s="52">
        <v>1.6</v>
      </c>
      <c r="W11" s="52">
        <v>1.6</v>
      </c>
      <c r="X11" s="52">
        <v>11.3</v>
      </c>
      <c r="Y11" s="52">
        <v>13</v>
      </c>
      <c r="Z11" s="52">
        <v>15.3</v>
      </c>
      <c r="AA11" s="52">
        <v>15</v>
      </c>
      <c r="AB11" s="52">
        <v>11.7</v>
      </c>
      <c r="AC11" s="49">
        <f t="shared" si="0"/>
        <v>38.25</v>
      </c>
      <c r="AD11" s="50">
        <f t="shared" si="1"/>
        <v>33.15</v>
      </c>
      <c r="AE11" s="51">
        <f t="shared" si="2"/>
        <v>71.4</v>
      </c>
    </row>
    <row r="12" ht="17" customHeight="1" spans="1:31">
      <c r="A12" s="8">
        <v>5</v>
      </c>
      <c r="B12" s="8" t="s">
        <v>61</v>
      </c>
      <c r="C12" s="9" t="s">
        <v>62</v>
      </c>
      <c r="D12" s="48">
        <v>5.8</v>
      </c>
      <c r="E12" s="48">
        <v>3.5</v>
      </c>
      <c r="F12" s="48">
        <v>5</v>
      </c>
      <c r="G12" s="48">
        <v>5.2</v>
      </c>
      <c r="H12" s="48">
        <v>4.8</v>
      </c>
      <c r="I12" s="48">
        <v>5.5</v>
      </c>
      <c r="J12" s="48">
        <v>4.7</v>
      </c>
      <c r="K12" s="48">
        <v>5.5</v>
      </c>
      <c r="L12" s="48">
        <v>3.1</v>
      </c>
      <c r="M12" s="48">
        <v>3.1</v>
      </c>
      <c r="N12" s="48">
        <v>1.6</v>
      </c>
      <c r="O12" s="48">
        <v>1.6</v>
      </c>
      <c r="P12" s="48">
        <v>1.7</v>
      </c>
      <c r="Q12" s="48">
        <v>1.8</v>
      </c>
      <c r="R12" s="48">
        <v>1.4</v>
      </c>
      <c r="S12" s="48">
        <v>1.6</v>
      </c>
      <c r="T12" s="48">
        <v>1.5</v>
      </c>
      <c r="U12" s="48">
        <v>1.6</v>
      </c>
      <c r="V12" s="48">
        <v>1.3</v>
      </c>
      <c r="W12" s="48">
        <v>2</v>
      </c>
      <c r="X12" s="48">
        <v>14.8</v>
      </c>
      <c r="Y12" s="48">
        <v>18</v>
      </c>
      <c r="Z12" s="48">
        <v>16.8</v>
      </c>
      <c r="AA12" s="48">
        <v>13</v>
      </c>
      <c r="AB12" s="48">
        <v>10.7</v>
      </c>
      <c r="AC12" s="49">
        <f t="shared" si="0"/>
        <v>39.2</v>
      </c>
      <c r="AD12" s="50">
        <f t="shared" si="1"/>
        <v>36.65</v>
      </c>
      <c r="AE12" s="51">
        <f t="shared" si="2"/>
        <v>75.85</v>
      </c>
    </row>
    <row r="13" ht="17" customHeight="1" spans="1:31">
      <c r="A13" s="15">
        <v>6</v>
      </c>
      <c r="B13" s="15" t="s">
        <v>63</v>
      </c>
      <c r="C13" s="16" t="s">
        <v>64</v>
      </c>
      <c r="D13" s="52">
        <v>3.2</v>
      </c>
      <c r="E13" s="52">
        <v>4.3</v>
      </c>
      <c r="F13" s="52">
        <v>4.5</v>
      </c>
      <c r="G13" s="52">
        <v>3.6</v>
      </c>
      <c r="H13" s="52">
        <v>4.8</v>
      </c>
      <c r="I13" s="52">
        <v>3.9</v>
      </c>
      <c r="J13" s="52">
        <v>5.2</v>
      </c>
      <c r="K13" s="52">
        <v>5.2</v>
      </c>
      <c r="L13" s="52">
        <v>5.6</v>
      </c>
      <c r="M13" s="52">
        <v>5.9</v>
      </c>
      <c r="N13" s="52">
        <v>1.1</v>
      </c>
      <c r="O13" s="52">
        <v>1.4</v>
      </c>
      <c r="P13" s="52">
        <v>1.6</v>
      </c>
      <c r="Q13" s="52">
        <v>1.3</v>
      </c>
      <c r="R13" s="52">
        <v>1.5</v>
      </c>
      <c r="S13" s="52">
        <v>1.3</v>
      </c>
      <c r="T13" s="52">
        <v>1.2</v>
      </c>
      <c r="U13" s="52">
        <v>1.1</v>
      </c>
      <c r="V13" s="52">
        <v>1.3</v>
      </c>
      <c r="W13" s="52">
        <v>1.4</v>
      </c>
      <c r="X13" s="52">
        <v>16.2</v>
      </c>
      <c r="Y13" s="52">
        <v>12.5</v>
      </c>
      <c r="Z13" s="52">
        <v>18.7</v>
      </c>
      <c r="AA13" s="52">
        <v>11.6</v>
      </c>
      <c r="AB13" s="52">
        <v>13.3</v>
      </c>
      <c r="AC13" s="49">
        <f t="shared" si="0"/>
        <v>36.3</v>
      </c>
      <c r="AD13" s="50">
        <f t="shared" si="1"/>
        <v>36.15</v>
      </c>
      <c r="AE13" s="51">
        <f t="shared" si="2"/>
        <v>72.45</v>
      </c>
    </row>
    <row r="14" ht="17" customHeight="1" spans="1:31">
      <c r="A14" s="8">
        <v>7</v>
      </c>
      <c r="B14" s="8" t="s">
        <v>65</v>
      </c>
      <c r="C14" s="9" t="s">
        <v>66</v>
      </c>
      <c r="D14" s="48">
        <v>4.7</v>
      </c>
      <c r="E14" s="48">
        <v>3.9</v>
      </c>
      <c r="F14" s="48">
        <v>5.3</v>
      </c>
      <c r="G14" s="48">
        <v>4.5</v>
      </c>
      <c r="H14" s="48">
        <v>4.5</v>
      </c>
      <c r="I14" s="48">
        <v>4.5</v>
      </c>
      <c r="J14" s="48">
        <v>3.9</v>
      </c>
      <c r="K14" s="48">
        <v>3.1</v>
      </c>
      <c r="L14" s="48">
        <v>5.8</v>
      </c>
      <c r="M14" s="48">
        <v>4.5</v>
      </c>
      <c r="N14" s="48">
        <v>2</v>
      </c>
      <c r="O14" s="48">
        <v>1.2</v>
      </c>
      <c r="P14" s="48">
        <v>1.4</v>
      </c>
      <c r="Q14" s="48">
        <v>1.1</v>
      </c>
      <c r="R14" s="48">
        <v>1.5</v>
      </c>
      <c r="S14" s="48">
        <v>1.9</v>
      </c>
      <c r="T14" s="48">
        <v>1.7</v>
      </c>
      <c r="U14" s="48">
        <v>1.5</v>
      </c>
      <c r="V14" s="48">
        <v>1.5</v>
      </c>
      <c r="W14" s="48">
        <v>1.8</v>
      </c>
      <c r="X14" s="48">
        <v>14.3</v>
      </c>
      <c r="Y14" s="48">
        <v>18.8</v>
      </c>
      <c r="Z14" s="48">
        <v>17.3</v>
      </c>
      <c r="AA14" s="48">
        <v>17.6</v>
      </c>
      <c r="AB14" s="48">
        <v>13.7</v>
      </c>
      <c r="AC14" s="49">
        <f t="shared" si="0"/>
        <v>37.95</v>
      </c>
      <c r="AD14" s="50">
        <f t="shared" si="1"/>
        <v>40.85</v>
      </c>
      <c r="AE14" s="51">
        <f t="shared" si="2"/>
        <v>78.8</v>
      </c>
    </row>
    <row r="15" ht="17" customHeight="1" spans="1:31">
      <c r="A15" s="15">
        <v>8</v>
      </c>
      <c r="B15" s="15" t="s">
        <v>67</v>
      </c>
      <c r="C15" s="16" t="s">
        <v>68</v>
      </c>
      <c r="D15" s="52">
        <v>4.2</v>
      </c>
      <c r="E15" s="52">
        <v>4.7</v>
      </c>
      <c r="F15" s="52">
        <v>3.6</v>
      </c>
      <c r="G15" s="52">
        <v>4.7</v>
      </c>
      <c r="H15" s="52">
        <v>3.2</v>
      </c>
      <c r="I15" s="52">
        <v>4.5</v>
      </c>
      <c r="J15" s="52">
        <v>5.3</v>
      </c>
      <c r="K15" s="52">
        <v>3.8</v>
      </c>
      <c r="L15" s="52">
        <v>6</v>
      </c>
      <c r="M15" s="52">
        <v>5</v>
      </c>
      <c r="N15" s="52">
        <v>1.1</v>
      </c>
      <c r="O15" s="52">
        <v>2</v>
      </c>
      <c r="P15" s="52">
        <v>1.4</v>
      </c>
      <c r="Q15" s="52">
        <v>1.8</v>
      </c>
      <c r="R15" s="52">
        <v>1.3</v>
      </c>
      <c r="S15" s="52">
        <v>1.9</v>
      </c>
      <c r="T15" s="52">
        <v>1.8</v>
      </c>
      <c r="U15" s="52">
        <v>1.2</v>
      </c>
      <c r="V15" s="52">
        <v>1.5</v>
      </c>
      <c r="W15" s="52">
        <v>1.5</v>
      </c>
      <c r="X15" s="52">
        <v>10.5</v>
      </c>
      <c r="Y15" s="52">
        <v>11.4</v>
      </c>
      <c r="Z15" s="52">
        <v>13.3</v>
      </c>
      <c r="AA15" s="52">
        <v>14.7</v>
      </c>
      <c r="AB15" s="52">
        <v>14.6</v>
      </c>
      <c r="AC15" s="49">
        <f t="shared" si="0"/>
        <v>38</v>
      </c>
      <c r="AD15" s="50">
        <f t="shared" si="1"/>
        <v>32.25</v>
      </c>
      <c r="AE15" s="51">
        <f t="shared" si="2"/>
        <v>70.25</v>
      </c>
    </row>
    <row r="16" ht="17" customHeight="1" spans="1:31">
      <c r="A16" s="8">
        <v>9</v>
      </c>
      <c r="B16" s="8" t="s">
        <v>69</v>
      </c>
      <c r="C16" s="9" t="s">
        <v>70</v>
      </c>
      <c r="D16" s="48">
        <v>4.8</v>
      </c>
      <c r="E16" s="48">
        <v>4.5</v>
      </c>
      <c r="F16" s="48">
        <v>4</v>
      </c>
      <c r="G16" s="48">
        <v>4.8</v>
      </c>
      <c r="H16" s="48">
        <v>3.5</v>
      </c>
      <c r="I16" s="48">
        <v>6</v>
      </c>
      <c r="J16" s="48">
        <v>5.2</v>
      </c>
      <c r="K16" s="48">
        <v>3.9</v>
      </c>
      <c r="L16" s="48">
        <v>4</v>
      </c>
      <c r="M16" s="48">
        <v>5.5</v>
      </c>
      <c r="N16" s="48">
        <v>1.5</v>
      </c>
      <c r="O16" s="48">
        <v>1.7</v>
      </c>
      <c r="P16" s="48">
        <v>1.3</v>
      </c>
      <c r="Q16" s="48">
        <v>1.8</v>
      </c>
      <c r="R16" s="48">
        <v>1.4</v>
      </c>
      <c r="S16" s="48">
        <v>1.7</v>
      </c>
      <c r="T16" s="48">
        <v>2</v>
      </c>
      <c r="U16" s="48">
        <v>1.6</v>
      </c>
      <c r="V16" s="48">
        <v>1.8</v>
      </c>
      <c r="W16" s="48">
        <v>1.7</v>
      </c>
      <c r="X16" s="48">
        <v>16.9</v>
      </c>
      <c r="Y16" s="48">
        <v>10.3</v>
      </c>
      <c r="Z16" s="48">
        <v>14.7</v>
      </c>
      <c r="AA16" s="48">
        <v>19.7</v>
      </c>
      <c r="AB16" s="48">
        <v>17.8</v>
      </c>
      <c r="AC16" s="49">
        <f t="shared" si="0"/>
        <v>39.6</v>
      </c>
      <c r="AD16" s="50">
        <f t="shared" si="1"/>
        <v>39.7</v>
      </c>
      <c r="AE16" s="51">
        <f t="shared" si="2"/>
        <v>79.3</v>
      </c>
    </row>
    <row r="17" ht="17" customHeight="1" spans="1:31">
      <c r="A17" s="15">
        <v>10</v>
      </c>
      <c r="B17" s="15" t="s">
        <v>71</v>
      </c>
      <c r="C17" s="16" t="s">
        <v>72</v>
      </c>
      <c r="D17" s="52">
        <v>5.3</v>
      </c>
      <c r="E17" s="52">
        <v>4.7</v>
      </c>
      <c r="F17" s="52">
        <v>5.2</v>
      </c>
      <c r="G17" s="52">
        <v>4.8</v>
      </c>
      <c r="H17" s="52">
        <v>3.5</v>
      </c>
      <c r="I17" s="52">
        <v>4.9</v>
      </c>
      <c r="J17" s="52">
        <v>4.9</v>
      </c>
      <c r="K17" s="52">
        <v>5.5</v>
      </c>
      <c r="L17" s="52">
        <v>3.4</v>
      </c>
      <c r="M17" s="52">
        <v>5</v>
      </c>
      <c r="N17" s="52">
        <v>1</v>
      </c>
      <c r="O17" s="52">
        <v>1.9</v>
      </c>
      <c r="P17" s="52">
        <v>1.1</v>
      </c>
      <c r="Q17" s="52">
        <v>1</v>
      </c>
      <c r="R17" s="52">
        <v>1.3</v>
      </c>
      <c r="S17" s="52">
        <v>1.2</v>
      </c>
      <c r="T17" s="52">
        <v>1.7</v>
      </c>
      <c r="U17" s="52">
        <v>1.4</v>
      </c>
      <c r="V17" s="52">
        <v>1.8</v>
      </c>
      <c r="W17" s="52">
        <v>1.9</v>
      </c>
      <c r="X17" s="52">
        <v>18.7</v>
      </c>
      <c r="Y17" s="52">
        <v>17.4</v>
      </c>
      <c r="Z17" s="52">
        <v>10.6</v>
      </c>
      <c r="AA17" s="52">
        <v>11.4</v>
      </c>
      <c r="AB17" s="52">
        <v>12.1</v>
      </c>
      <c r="AC17" s="49">
        <f t="shared" si="0"/>
        <v>37.9</v>
      </c>
      <c r="AD17" s="50">
        <f t="shared" si="1"/>
        <v>35.1</v>
      </c>
      <c r="AE17" s="51">
        <f t="shared" si="2"/>
        <v>73</v>
      </c>
    </row>
    <row r="18" ht="17" customHeight="1" spans="1:31">
      <c r="A18" s="8">
        <v>11</v>
      </c>
      <c r="B18" s="8" t="s">
        <v>73</v>
      </c>
      <c r="C18" s="9" t="s">
        <v>74</v>
      </c>
      <c r="D18" s="48">
        <v>4</v>
      </c>
      <c r="E18" s="48">
        <v>5</v>
      </c>
      <c r="F18" s="48">
        <v>4.6</v>
      </c>
      <c r="G18" s="48">
        <v>3.9</v>
      </c>
      <c r="H18" s="48">
        <v>3.5</v>
      </c>
      <c r="I18" s="48">
        <v>5.7</v>
      </c>
      <c r="J18" s="48">
        <v>4</v>
      </c>
      <c r="K18" s="48">
        <v>4.1</v>
      </c>
      <c r="L18" s="48">
        <v>5.3</v>
      </c>
      <c r="M18" s="48">
        <v>5.2</v>
      </c>
      <c r="N18" s="48">
        <v>1.6</v>
      </c>
      <c r="O18" s="48">
        <v>1.7</v>
      </c>
      <c r="P18" s="48">
        <v>1.6</v>
      </c>
      <c r="Q18" s="48">
        <v>1.2</v>
      </c>
      <c r="R18" s="48">
        <v>1.2</v>
      </c>
      <c r="S18" s="48">
        <v>1.6</v>
      </c>
      <c r="T18" s="48">
        <v>1.2</v>
      </c>
      <c r="U18" s="48">
        <v>2</v>
      </c>
      <c r="V18" s="48">
        <v>1.3</v>
      </c>
      <c r="W18" s="48">
        <v>1.3</v>
      </c>
      <c r="X18" s="48">
        <v>12.1</v>
      </c>
      <c r="Y18" s="48">
        <v>17</v>
      </c>
      <c r="Z18" s="48">
        <v>13.2</v>
      </c>
      <c r="AA18" s="48">
        <v>13.5</v>
      </c>
      <c r="AB18" s="48">
        <v>19.3</v>
      </c>
      <c r="AC18" s="49">
        <f t="shared" si="0"/>
        <v>37.35</v>
      </c>
      <c r="AD18" s="50">
        <f t="shared" si="1"/>
        <v>37.55</v>
      </c>
      <c r="AE18" s="51">
        <f t="shared" si="2"/>
        <v>74.9</v>
      </c>
    </row>
    <row r="19" ht="17" customHeight="1" spans="1:31">
      <c r="A19" s="15">
        <v>12</v>
      </c>
      <c r="B19" s="15" t="s">
        <v>75</v>
      </c>
      <c r="C19" s="16" t="s">
        <v>76</v>
      </c>
      <c r="D19" s="52">
        <v>5.4</v>
      </c>
      <c r="E19" s="52">
        <v>3.8</v>
      </c>
      <c r="F19" s="52">
        <v>3.4</v>
      </c>
      <c r="G19" s="52">
        <v>5</v>
      </c>
      <c r="H19" s="52">
        <v>4.1</v>
      </c>
      <c r="I19" s="52">
        <v>5.9</v>
      </c>
      <c r="J19" s="52">
        <v>5.5</v>
      </c>
      <c r="K19" s="52">
        <v>5.9</v>
      </c>
      <c r="L19" s="52">
        <v>5.4</v>
      </c>
      <c r="M19" s="52">
        <v>3.9</v>
      </c>
      <c r="N19" s="52">
        <v>1.3</v>
      </c>
      <c r="O19" s="52">
        <v>1.7</v>
      </c>
      <c r="P19" s="52">
        <v>1.3</v>
      </c>
      <c r="Q19" s="52">
        <v>1.4</v>
      </c>
      <c r="R19" s="52">
        <v>1.3</v>
      </c>
      <c r="S19" s="52">
        <v>1.5</v>
      </c>
      <c r="T19" s="52">
        <v>1.2</v>
      </c>
      <c r="U19" s="52">
        <v>1.5</v>
      </c>
      <c r="V19" s="52">
        <v>1.9</v>
      </c>
      <c r="W19" s="52">
        <v>1.7</v>
      </c>
      <c r="X19" s="52">
        <v>11.4</v>
      </c>
      <c r="Y19" s="52">
        <v>16.2</v>
      </c>
      <c r="Z19" s="52">
        <v>15.9</v>
      </c>
      <c r="AA19" s="52">
        <v>12.4</v>
      </c>
      <c r="AB19" s="52">
        <v>16.7</v>
      </c>
      <c r="AC19" s="49">
        <f t="shared" si="0"/>
        <v>38.95</v>
      </c>
      <c r="AD19" s="50">
        <f t="shared" si="1"/>
        <v>36.3</v>
      </c>
      <c r="AE19" s="51">
        <f t="shared" si="2"/>
        <v>75.25</v>
      </c>
    </row>
    <row r="20" ht="17" customHeight="1" spans="1:31">
      <c r="A20" s="8">
        <v>13</v>
      </c>
      <c r="B20" s="8" t="s">
        <v>77</v>
      </c>
      <c r="C20" s="9" t="s">
        <v>78</v>
      </c>
      <c r="D20" s="48">
        <v>4.6</v>
      </c>
      <c r="E20" s="48">
        <v>4.9</v>
      </c>
      <c r="F20" s="48">
        <v>3.2</v>
      </c>
      <c r="G20" s="48">
        <v>4.2</v>
      </c>
      <c r="H20" s="48">
        <v>5.2</v>
      </c>
      <c r="I20" s="48">
        <v>3.3</v>
      </c>
      <c r="J20" s="48">
        <v>5.3</v>
      </c>
      <c r="K20" s="48">
        <v>3</v>
      </c>
      <c r="L20" s="48">
        <v>4.7</v>
      </c>
      <c r="M20" s="48">
        <v>5.8</v>
      </c>
      <c r="N20" s="48">
        <v>1.4</v>
      </c>
      <c r="O20" s="48">
        <v>1.9</v>
      </c>
      <c r="P20" s="48">
        <v>1.9</v>
      </c>
      <c r="Q20" s="48">
        <v>1.5</v>
      </c>
      <c r="R20" s="48">
        <v>1.2</v>
      </c>
      <c r="S20" s="48">
        <v>2</v>
      </c>
      <c r="T20" s="48">
        <v>1.3</v>
      </c>
      <c r="U20" s="48">
        <v>1.6</v>
      </c>
      <c r="V20" s="48">
        <v>1.9</v>
      </c>
      <c r="W20" s="48">
        <v>1.1</v>
      </c>
      <c r="X20" s="48">
        <v>15.7</v>
      </c>
      <c r="Y20" s="48">
        <v>15.4</v>
      </c>
      <c r="Z20" s="48">
        <v>17.2</v>
      </c>
      <c r="AA20" s="48">
        <v>19.4</v>
      </c>
      <c r="AB20" s="48">
        <v>19.1</v>
      </c>
      <c r="AC20" s="49">
        <f t="shared" si="0"/>
        <v>37.9</v>
      </c>
      <c r="AD20" s="50">
        <f t="shared" si="1"/>
        <v>43.4</v>
      </c>
      <c r="AE20" s="51">
        <f t="shared" si="2"/>
        <v>81.3</v>
      </c>
    </row>
    <row r="21" ht="17" customHeight="1" spans="1:31">
      <c r="A21" s="15">
        <v>14</v>
      </c>
      <c r="B21" s="15" t="s">
        <v>79</v>
      </c>
      <c r="C21" s="16" t="s">
        <v>80</v>
      </c>
      <c r="D21" s="52">
        <v>3.5</v>
      </c>
      <c r="E21" s="52">
        <v>5.6</v>
      </c>
      <c r="F21" s="52">
        <v>3.5</v>
      </c>
      <c r="G21" s="52">
        <v>5.8</v>
      </c>
      <c r="H21" s="52">
        <v>6</v>
      </c>
      <c r="I21" s="52">
        <v>4.2</v>
      </c>
      <c r="J21" s="52">
        <v>4.5</v>
      </c>
      <c r="K21" s="52">
        <v>5.8</v>
      </c>
      <c r="L21" s="52">
        <v>5.9</v>
      </c>
      <c r="M21" s="52">
        <v>5.8</v>
      </c>
      <c r="N21" s="52">
        <v>1.9</v>
      </c>
      <c r="O21" s="52">
        <v>1</v>
      </c>
      <c r="P21" s="52">
        <v>1.6</v>
      </c>
      <c r="Q21" s="52">
        <v>1.1</v>
      </c>
      <c r="R21" s="52">
        <v>2</v>
      </c>
      <c r="S21" s="52">
        <v>1.3</v>
      </c>
      <c r="T21" s="52">
        <v>2</v>
      </c>
      <c r="U21" s="52">
        <v>1.5</v>
      </c>
      <c r="V21" s="52">
        <v>1.5</v>
      </c>
      <c r="W21" s="52">
        <v>1.9</v>
      </c>
      <c r="X21" s="52">
        <v>18.5</v>
      </c>
      <c r="Y21" s="52">
        <v>14.7</v>
      </c>
      <c r="Z21" s="52">
        <v>11.9</v>
      </c>
      <c r="AA21" s="52">
        <v>11.1</v>
      </c>
      <c r="AB21" s="52">
        <v>11.6</v>
      </c>
      <c r="AC21" s="49">
        <f t="shared" si="0"/>
        <v>41.1</v>
      </c>
      <c r="AD21" s="50">
        <f t="shared" si="1"/>
        <v>33.9</v>
      </c>
      <c r="AE21" s="51">
        <f t="shared" si="2"/>
        <v>75</v>
      </c>
    </row>
    <row r="22" ht="17" customHeight="1" spans="1:31">
      <c r="A22" s="8">
        <v>15</v>
      </c>
      <c r="B22" s="8" t="s">
        <v>81</v>
      </c>
      <c r="C22" s="9" t="s">
        <v>82</v>
      </c>
      <c r="D22" s="48">
        <v>4.4</v>
      </c>
      <c r="E22" s="48">
        <v>3.8</v>
      </c>
      <c r="F22" s="48">
        <v>3.6</v>
      </c>
      <c r="G22" s="48">
        <v>5.2</v>
      </c>
      <c r="H22" s="48">
        <v>5.4</v>
      </c>
      <c r="I22" s="48">
        <v>4.7</v>
      </c>
      <c r="J22" s="48">
        <v>5.3</v>
      </c>
      <c r="K22" s="48">
        <v>3.5</v>
      </c>
      <c r="L22" s="48">
        <v>5.6</v>
      </c>
      <c r="M22" s="48">
        <v>5.7</v>
      </c>
      <c r="N22" s="48">
        <v>1.8</v>
      </c>
      <c r="O22" s="48">
        <v>1.5</v>
      </c>
      <c r="P22" s="48">
        <v>1.1</v>
      </c>
      <c r="Q22" s="48">
        <v>1.7</v>
      </c>
      <c r="R22" s="48">
        <v>1.2</v>
      </c>
      <c r="S22" s="48">
        <v>1.1</v>
      </c>
      <c r="T22" s="48">
        <v>1.3</v>
      </c>
      <c r="U22" s="48">
        <v>1.2</v>
      </c>
      <c r="V22" s="48">
        <v>1.3</v>
      </c>
      <c r="W22" s="48">
        <v>1.2</v>
      </c>
      <c r="X22" s="48">
        <v>17.5</v>
      </c>
      <c r="Y22" s="48">
        <v>19.5</v>
      </c>
      <c r="Z22" s="48">
        <v>13</v>
      </c>
      <c r="AA22" s="48">
        <v>17.2</v>
      </c>
      <c r="AB22" s="48">
        <v>10.1</v>
      </c>
      <c r="AC22" s="49">
        <f t="shared" si="0"/>
        <v>37</v>
      </c>
      <c r="AD22" s="50">
        <f t="shared" si="1"/>
        <v>38.65</v>
      </c>
      <c r="AE22" s="51">
        <f t="shared" si="2"/>
        <v>75.65</v>
      </c>
    </row>
    <row r="23" ht="17" customHeight="1" spans="1:31">
      <c r="A23" s="15">
        <v>16</v>
      </c>
      <c r="B23" s="15" t="s">
        <v>83</v>
      </c>
      <c r="C23" s="16" t="s">
        <v>84</v>
      </c>
      <c r="D23" s="52">
        <v>5</v>
      </c>
      <c r="E23" s="52">
        <v>5.1</v>
      </c>
      <c r="F23" s="52">
        <v>3.2</v>
      </c>
      <c r="G23" s="52">
        <v>3.4</v>
      </c>
      <c r="H23" s="52">
        <v>3.9</v>
      </c>
      <c r="I23" s="52">
        <v>4.2</v>
      </c>
      <c r="J23" s="52">
        <v>4.5</v>
      </c>
      <c r="K23" s="52">
        <v>5.7</v>
      </c>
      <c r="L23" s="52">
        <v>5.1</v>
      </c>
      <c r="M23" s="52">
        <v>3.9</v>
      </c>
      <c r="N23" s="52">
        <v>1.1</v>
      </c>
      <c r="O23" s="52">
        <v>1.9</v>
      </c>
      <c r="P23" s="52">
        <v>1.3</v>
      </c>
      <c r="Q23" s="52">
        <v>1.6</v>
      </c>
      <c r="R23" s="52">
        <v>1.2</v>
      </c>
      <c r="S23" s="52">
        <v>1.1</v>
      </c>
      <c r="T23" s="52">
        <v>1.2</v>
      </c>
      <c r="U23" s="52">
        <v>1.7</v>
      </c>
      <c r="V23" s="52">
        <v>1.6</v>
      </c>
      <c r="W23" s="52">
        <v>1.4</v>
      </c>
      <c r="X23" s="52">
        <v>15.5</v>
      </c>
      <c r="Y23" s="52">
        <v>14.7</v>
      </c>
      <c r="Z23" s="52">
        <v>15.4</v>
      </c>
      <c r="AA23" s="52">
        <v>16.6</v>
      </c>
      <c r="AB23" s="52">
        <v>12.2</v>
      </c>
      <c r="AC23" s="49">
        <f t="shared" si="0"/>
        <v>36.1</v>
      </c>
      <c r="AD23" s="50">
        <f t="shared" si="1"/>
        <v>37.2</v>
      </c>
      <c r="AE23" s="51">
        <f t="shared" si="2"/>
        <v>73.3</v>
      </c>
    </row>
    <row r="24" ht="17" customHeight="1" spans="1:31">
      <c r="A24" s="8">
        <v>17</v>
      </c>
      <c r="B24" s="8" t="s">
        <v>85</v>
      </c>
      <c r="C24" s="9" t="s">
        <v>86</v>
      </c>
      <c r="D24" s="48">
        <v>3.7</v>
      </c>
      <c r="E24" s="48">
        <v>5.3</v>
      </c>
      <c r="F24" s="48">
        <v>5.6</v>
      </c>
      <c r="G24" s="48">
        <v>3.2</v>
      </c>
      <c r="H24" s="48">
        <v>4.3</v>
      </c>
      <c r="I24" s="48">
        <v>5.1</v>
      </c>
      <c r="J24" s="48">
        <v>3.2</v>
      </c>
      <c r="K24" s="48">
        <v>4.7</v>
      </c>
      <c r="L24" s="48">
        <v>3.2</v>
      </c>
      <c r="M24" s="48">
        <v>4.6</v>
      </c>
      <c r="N24" s="48">
        <v>1.5</v>
      </c>
      <c r="O24" s="48">
        <v>1.6</v>
      </c>
      <c r="P24" s="48">
        <v>1.1</v>
      </c>
      <c r="Q24" s="48">
        <v>1.3</v>
      </c>
      <c r="R24" s="48">
        <v>1.5</v>
      </c>
      <c r="S24" s="48">
        <v>1.1</v>
      </c>
      <c r="T24" s="48">
        <v>1.2</v>
      </c>
      <c r="U24" s="48">
        <v>1.6</v>
      </c>
      <c r="V24" s="48">
        <v>1.1</v>
      </c>
      <c r="W24" s="48">
        <v>1.5</v>
      </c>
      <c r="X24" s="48">
        <v>18.1</v>
      </c>
      <c r="Y24" s="48">
        <v>14.5</v>
      </c>
      <c r="Z24" s="48">
        <v>15.1</v>
      </c>
      <c r="AA24" s="48">
        <v>14.6</v>
      </c>
      <c r="AB24" s="48">
        <v>10.6</v>
      </c>
      <c r="AC24" s="49">
        <f t="shared" si="0"/>
        <v>34.95</v>
      </c>
      <c r="AD24" s="50">
        <f t="shared" si="1"/>
        <v>36.45</v>
      </c>
      <c r="AE24" s="51">
        <f t="shared" si="2"/>
        <v>71.4</v>
      </c>
    </row>
    <row r="25" ht="17" customHeight="1" spans="1:31">
      <c r="A25" s="15">
        <v>18</v>
      </c>
      <c r="B25" s="15" t="s">
        <v>87</v>
      </c>
      <c r="C25" s="16" t="s">
        <v>88</v>
      </c>
      <c r="D25" s="52">
        <v>4.4</v>
      </c>
      <c r="E25" s="52">
        <v>5.4</v>
      </c>
      <c r="F25" s="52">
        <v>5.2</v>
      </c>
      <c r="G25" s="52">
        <v>4.2</v>
      </c>
      <c r="H25" s="52">
        <v>5.4</v>
      </c>
      <c r="I25" s="52">
        <v>5.2</v>
      </c>
      <c r="J25" s="52">
        <v>4.7</v>
      </c>
      <c r="K25" s="52">
        <v>3.1</v>
      </c>
      <c r="L25" s="52">
        <v>4</v>
      </c>
      <c r="M25" s="52">
        <v>3.2</v>
      </c>
      <c r="N25" s="52">
        <v>2</v>
      </c>
      <c r="O25" s="52">
        <v>1.9</v>
      </c>
      <c r="P25" s="52">
        <v>1.1</v>
      </c>
      <c r="Q25" s="52">
        <v>1.9</v>
      </c>
      <c r="R25" s="52">
        <v>1</v>
      </c>
      <c r="S25" s="52">
        <v>1.4</v>
      </c>
      <c r="T25" s="52">
        <v>1.8</v>
      </c>
      <c r="U25" s="52">
        <v>1.8</v>
      </c>
      <c r="V25" s="52">
        <v>2</v>
      </c>
      <c r="W25" s="52">
        <v>1.6</v>
      </c>
      <c r="X25" s="52">
        <v>14.2</v>
      </c>
      <c r="Y25" s="52">
        <v>19.9</v>
      </c>
      <c r="Z25" s="52">
        <v>13.8</v>
      </c>
      <c r="AA25" s="52">
        <v>18.7</v>
      </c>
      <c r="AB25" s="52">
        <v>19.1</v>
      </c>
      <c r="AC25" s="49">
        <f t="shared" si="0"/>
        <v>38.9</v>
      </c>
      <c r="AD25" s="50">
        <f t="shared" si="1"/>
        <v>42.85</v>
      </c>
      <c r="AE25" s="51">
        <f t="shared" si="2"/>
        <v>81.75</v>
      </c>
    </row>
    <row r="26" ht="17" customHeight="1" spans="1:31">
      <c r="A26" s="8">
        <v>19</v>
      </c>
      <c r="B26" s="8" t="s">
        <v>89</v>
      </c>
      <c r="C26" s="9" t="s">
        <v>90</v>
      </c>
      <c r="D26" s="48">
        <v>4.1</v>
      </c>
      <c r="E26" s="48">
        <v>5</v>
      </c>
      <c r="F26" s="48">
        <v>5</v>
      </c>
      <c r="G26" s="48">
        <v>4.6</v>
      </c>
      <c r="H26" s="48">
        <v>5</v>
      </c>
      <c r="I26" s="48">
        <v>4</v>
      </c>
      <c r="J26" s="48">
        <v>3.5</v>
      </c>
      <c r="K26" s="48">
        <v>4.6</v>
      </c>
      <c r="L26" s="48">
        <v>4.6</v>
      </c>
      <c r="M26" s="48">
        <v>5.2</v>
      </c>
      <c r="N26" s="48">
        <v>1.2</v>
      </c>
      <c r="O26" s="48">
        <v>1</v>
      </c>
      <c r="P26" s="48">
        <v>1</v>
      </c>
      <c r="Q26" s="48">
        <v>1.3</v>
      </c>
      <c r="R26" s="48">
        <v>1.7</v>
      </c>
      <c r="S26" s="48">
        <v>1.5</v>
      </c>
      <c r="T26" s="48">
        <v>1.5</v>
      </c>
      <c r="U26" s="48">
        <v>1.8</v>
      </c>
      <c r="V26" s="48">
        <v>1.2</v>
      </c>
      <c r="W26" s="48">
        <v>1.3</v>
      </c>
      <c r="X26" s="48">
        <v>12.8</v>
      </c>
      <c r="Y26" s="48">
        <v>19.4</v>
      </c>
      <c r="Z26" s="48">
        <v>17.3</v>
      </c>
      <c r="AA26" s="48">
        <v>11.1</v>
      </c>
      <c r="AB26" s="48">
        <v>18.1</v>
      </c>
      <c r="AC26" s="49">
        <f t="shared" si="0"/>
        <v>36.3</v>
      </c>
      <c r="AD26" s="50">
        <f t="shared" si="1"/>
        <v>39.35</v>
      </c>
      <c r="AE26" s="51">
        <f t="shared" si="2"/>
        <v>75.65</v>
      </c>
    </row>
    <row r="27" ht="17" customHeight="1" spans="1:31">
      <c r="A27" s="15">
        <v>20</v>
      </c>
      <c r="B27" s="15" t="s">
        <v>91</v>
      </c>
      <c r="C27" s="16" t="s">
        <v>92</v>
      </c>
      <c r="D27" s="52">
        <v>4.3</v>
      </c>
      <c r="E27" s="52">
        <v>5.3</v>
      </c>
      <c r="F27" s="52">
        <v>5.7</v>
      </c>
      <c r="G27" s="52">
        <v>3</v>
      </c>
      <c r="H27" s="52">
        <v>3.6</v>
      </c>
      <c r="I27" s="52">
        <v>3.3</v>
      </c>
      <c r="J27" s="52">
        <v>3.1</v>
      </c>
      <c r="K27" s="52">
        <v>4.8</v>
      </c>
      <c r="L27" s="52">
        <v>5.1</v>
      </c>
      <c r="M27" s="52">
        <v>3.1</v>
      </c>
      <c r="N27" s="52">
        <v>1.7</v>
      </c>
      <c r="O27" s="52">
        <v>1.4</v>
      </c>
      <c r="P27" s="52">
        <v>1.2</v>
      </c>
      <c r="Q27" s="52">
        <v>1.2</v>
      </c>
      <c r="R27" s="52">
        <v>1.9</v>
      </c>
      <c r="S27" s="52">
        <v>1.1</v>
      </c>
      <c r="T27" s="52">
        <v>1.5</v>
      </c>
      <c r="U27" s="52">
        <v>1.3</v>
      </c>
      <c r="V27" s="52">
        <v>1.8</v>
      </c>
      <c r="W27" s="52">
        <v>1.7</v>
      </c>
      <c r="X27" s="52">
        <v>13.2</v>
      </c>
      <c r="Y27" s="52">
        <v>16</v>
      </c>
      <c r="Z27" s="52">
        <v>16.7</v>
      </c>
      <c r="AA27" s="52">
        <v>13.2</v>
      </c>
      <c r="AB27" s="52">
        <v>13</v>
      </c>
      <c r="AC27" s="49">
        <f t="shared" si="0"/>
        <v>35.45</v>
      </c>
      <c r="AD27" s="50">
        <f t="shared" si="1"/>
        <v>36.05</v>
      </c>
      <c r="AE27" s="51">
        <f t="shared" si="2"/>
        <v>71.5</v>
      </c>
    </row>
    <row r="28" ht="15.15"/>
    <row r="29" ht="20" customHeight="1" spans="1:31">
      <c r="A29" s="28" t="s">
        <v>93</v>
      </c>
      <c r="D29" s="53">
        <f t="shared" ref="D29:AE29" si="3">AVERAGE(D8:D27)</f>
        <v>4.605</v>
      </c>
      <c r="E29" s="53">
        <f t="shared" si="3"/>
        <v>4.715</v>
      </c>
      <c r="F29" s="53">
        <f t="shared" si="3"/>
        <v>4.305</v>
      </c>
      <c r="G29" s="53">
        <f t="shared" si="3"/>
        <v>4.315</v>
      </c>
      <c r="H29" s="53">
        <f t="shared" si="3"/>
        <v>4.565</v>
      </c>
      <c r="I29" s="53">
        <f t="shared" si="3"/>
        <v>4.58</v>
      </c>
      <c r="J29" s="53">
        <f t="shared" si="3"/>
        <v>4.525</v>
      </c>
      <c r="K29" s="53">
        <f t="shared" si="3"/>
        <v>4.495</v>
      </c>
      <c r="L29" s="53">
        <f t="shared" si="3"/>
        <v>4.59</v>
      </c>
      <c r="M29" s="53">
        <f t="shared" si="3"/>
        <v>4.7</v>
      </c>
      <c r="N29" s="53">
        <f t="shared" si="3"/>
        <v>1.485</v>
      </c>
      <c r="O29" s="53">
        <f t="shared" si="3"/>
        <v>1.59</v>
      </c>
      <c r="P29" s="53">
        <f t="shared" si="3"/>
        <v>1.38</v>
      </c>
      <c r="Q29" s="53">
        <f t="shared" si="3"/>
        <v>1.43</v>
      </c>
      <c r="R29" s="53">
        <f t="shared" si="3"/>
        <v>1.48</v>
      </c>
      <c r="S29" s="53">
        <f t="shared" si="3"/>
        <v>1.525</v>
      </c>
      <c r="T29" s="53">
        <f t="shared" si="3"/>
        <v>1.515</v>
      </c>
      <c r="U29" s="53">
        <f t="shared" si="3"/>
        <v>1.515</v>
      </c>
      <c r="V29" s="53">
        <f t="shared" si="3"/>
        <v>1.535</v>
      </c>
      <c r="W29" s="53">
        <f t="shared" si="3"/>
        <v>1.54</v>
      </c>
      <c r="X29" s="53">
        <f t="shared" si="3"/>
        <v>15.14</v>
      </c>
      <c r="Y29" s="53">
        <f t="shared" si="3"/>
        <v>15.735</v>
      </c>
      <c r="Z29" s="53">
        <f t="shared" si="3"/>
        <v>15.26</v>
      </c>
      <c r="AA29" s="53">
        <f t="shared" si="3"/>
        <v>15.095</v>
      </c>
      <c r="AB29" s="53">
        <f t="shared" si="3"/>
        <v>14.37</v>
      </c>
      <c r="AC29" s="43">
        <f t="shared" si="3"/>
        <v>37.6925</v>
      </c>
      <c r="AD29" s="43">
        <f t="shared" si="3"/>
        <v>37.8</v>
      </c>
      <c r="AE29" s="43">
        <f t="shared" si="3"/>
        <v>75.4925</v>
      </c>
    </row>
    <row r="30" ht="15.15"/>
    <row r="31" ht="22" customHeight="1" spans="1:31">
      <c r="A31" s="31" t="s">
        <v>94</v>
      </c>
      <c r="D31" s="54">
        <f>IFERROR((D29/D6+I29/I6+N29/N6+S29/S6+X29/X6)/5,0)</f>
        <v>0.758566666666667</v>
      </c>
      <c r="E31" s="54">
        <f>IFERROR((E29/E6+J29/J6+O29/O6+T29/T6+Y29/Y6)/5,0)</f>
        <v>0.77585</v>
      </c>
      <c r="F31" s="54">
        <f>IFERROR((F29/F6+K29/K6+P29/P6+U29/U6+Z29/Z6)/5,0)</f>
        <v>0.735433333333333</v>
      </c>
      <c r="G31" s="54">
        <f>IFERROR((G29/G6+L29/L6+Q29/Q6+V29/V6+AA29/AA6)/5,0)</f>
        <v>0.744283333333333</v>
      </c>
      <c r="H31" s="54">
        <f>IFERROR((H29/H6+M29/M6+R29/R6+W29/W6+AB29/AB6)/5,0)</f>
        <v>0.754533333333333</v>
      </c>
    </row>
    <row r="32" ht="22" customHeight="1" spans="1:31">
      <c r="A32" s="30" t="s">
        <v>95</v>
      </c>
      <c r="D32" s="55">
        <f>IF(D31&gt;=0.6,3,IF(D31&gt;=0.4,2,1))</f>
        <v>3</v>
      </c>
      <c r="E32" s="55">
        <f>IF(E31&gt;=0.6,3,IF(E31&gt;=0.4,2,1))</f>
        <v>3</v>
      </c>
      <c r="F32" s="55">
        <f>IF(F31&gt;=0.6,3,IF(F31&gt;=0.4,2,1))</f>
        <v>3</v>
      </c>
      <c r="G32" s="55">
        <f>IF(G31&gt;=0.6,3,IF(G31&gt;=0.4,2,1))</f>
        <v>3</v>
      </c>
      <c r="H32" s="55">
        <f>IF(H31&gt;=0.6,3,IF(H31&gt;=0.4,2,1))</f>
        <v>3</v>
      </c>
    </row>
    <row r="33" ht="20" customHeight="1" spans="1:8">
      <c r="A33" s="29" t="s">
        <v>96</v>
      </c>
      <c r="D33" s="56">
        <f>IFERROR((D29/D6+I29/I6+N29/N6+S29/S6)/4,0)</f>
        <v>0.758958333333333</v>
      </c>
      <c r="E33" s="56">
        <f>IFERROR((E29/E6+J29/J6+O29/O6+T29/T6)/4,0)</f>
        <v>0.773125</v>
      </c>
      <c r="F33" s="56">
        <f>IFERROR((F29/F6+K29/K6+P29/P6+U29/U6)/4,0)</f>
        <v>0.728541666666667</v>
      </c>
      <c r="G33" s="56">
        <f>IFERROR((G29/G6+L29/L6+Q29/Q6+V29/V6)/4,0)</f>
        <v>0.741666666666667</v>
      </c>
      <c r="H33" s="56">
        <f>IFERROR((H29/H6+M29/M6+R29/R6+W29/W6)/4,0)</f>
        <v>0.763541666666667</v>
      </c>
    </row>
    <row r="34" ht="20" customHeight="1" spans="1:8">
      <c r="A34" s="30" t="s">
        <v>97</v>
      </c>
      <c r="D34" s="57">
        <f>IFERROR(X29/X6,0)</f>
        <v>0.757</v>
      </c>
      <c r="E34" s="57">
        <f>IFERROR(Y29/Y6,0)</f>
        <v>0.78675</v>
      </c>
      <c r="F34" s="57">
        <f>IFERROR(Z29/Z6,0)</f>
        <v>0.763</v>
      </c>
      <c r="G34" s="57">
        <f>IFERROR(AA29/AA6,0)</f>
        <v>0.75475</v>
      </c>
      <c r="H34" s="57">
        <f>IFERROR(AB29/AB6,0)</f>
        <v>0.7185</v>
      </c>
    </row>
    <row r="35" ht="15.15"/>
    <row r="36" ht="18" customHeight="1" spans="1:8">
      <c r="A36" s="28" t="s">
        <v>98</v>
      </c>
      <c r="D36" s="58">
        <f>(D33+E33+F33+G33+H33)/5</f>
        <v>0.753166666666667</v>
      </c>
      <c r="E36" s="59">
        <f>(D34+E34+F34+G34+H34)/5</f>
        <v>0.756</v>
      </c>
      <c r="F36" s="54">
        <f>(D31+E31+F31+G31+H31)/5</f>
        <v>0.753733333333333</v>
      </c>
    </row>
  </sheetData>
  <mergeCells count="16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7:C7"/>
    <mergeCell ref="A29:C29"/>
    <mergeCell ref="A31:C31"/>
    <mergeCell ref="A32:C32"/>
    <mergeCell ref="A33:C33"/>
    <mergeCell ref="A34:C34"/>
    <mergeCell ref="A36:C3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6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J1"/>
    </sheetView>
  </sheetViews>
  <sheetFormatPr defaultColWidth="9" defaultRowHeight="14.4"/>
  <cols>
    <col min="1" max="1" width="6" customWidth="1"/>
    <col min="2" max="2" width="10" customWidth="1"/>
    <col min="3" max="3" width="22" customWidth="1"/>
    <col min="4" max="36" width="9" customWidth="1"/>
  </cols>
  <sheetData>
    <row r="1" ht="32" customHeight="1" spans="1:36">
      <c r="A1" s="21" t="s">
        <v>102</v>
      </c>
    </row>
    <row r="2" ht="16" customHeight="1" spans="1:36">
      <c r="A2" s="22" t="s">
        <v>36</v>
      </c>
    </row>
    <row r="3" ht="6" customHeight="1"/>
    <row r="4" ht="22" customHeight="1" spans="1:36">
      <c r="A4" s="23" t="s">
        <v>37</v>
      </c>
      <c r="D4" s="24" t="s">
        <v>38</v>
      </c>
      <c r="J4" s="25" t="s">
        <v>39</v>
      </c>
      <c r="P4" s="26" t="s">
        <v>40</v>
      </c>
      <c r="V4" s="27" t="s">
        <v>41</v>
      </c>
      <c r="AB4" s="28" t="s">
        <v>42</v>
      </c>
      <c r="AH4" s="29" t="s">
        <v>43</v>
      </c>
      <c r="AI4" s="30" t="s">
        <v>44</v>
      </c>
      <c r="AJ4" s="31" t="s">
        <v>45</v>
      </c>
    </row>
    <row r="5" ht="18" customHeight="1" spans="1:36">
      <c r="A5" s="23" t="s">
        <v>46</v>
      </c>
      <c r="B5" s="23" t="s">
        <v>47</v>
      </c>
      <c r="C5" s="23" t="s">
        <v>48</v>
      </c>
      <c r="D5" s="32" t="s">
        <v>9</v>
      </c>
      <c r="E5" s="32" t="s">
        <v>10</v>
      </c>
      <c r="F5" s="32" t="s">
        <v>11</v>
      </c>
      <c r="G5" s="32" t="s">
        <v>12</v>
      </c>
      <c r="H5" s="32" t="s">
        <v>13</v>
      </c>
      <c r="I5" s="32" t="s">
        <v>14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4" t="s">
        <v>9</v>
      </c>
      <c r="Q5" s="34" t="s">
        <v>10</v>
      </c>
      <c r="R5" s="34" t="s">
        <v>11</v>
      </c>
      <c r="S5" s="34" t="s">
        <v>12</v>
      </c>
      <c r="T5" s="34" t="s">
        <v>13</v>
      </c>
      <c r="U5" s="34" t="s">
        <v>14</v>
      </c>
      <c r="V5" s="35" t="s">
        <v>9</v>
      </c>
      <c r="W5" s="35" t="s">
        <v>10</v>
      </c>
      <c r="X5" s="35" t="s">
        <v>11</v>
      </c>
      <c r="Y5" s="35" t="s">
        <v>12</v>
      </c>
      <c r="Z5" s="35" t="s">
        <v>13</v>
      </c>
      <c r="AA5" s="35" t="s">
        <v>14</v>
      </c>
      <c r="AB5" s="36" t="s">
        <v>9</v>
      </c>
      <c r="AC5" s="36" t="s">
        <v>10</v>
      </c>
      <c r="AD5" s="36" t="s">
        <v>11</v>
      </c>
      <c r="AE5" s="36" t="s">
        <v>12</v>
      </c>
      <c r="AF5" s="36" t="s">
        <v>13</v>
      </c>
      <c r="AG5" s="36" t="s">
        <v>14</v>
      </c>
      <c r="AH5" s="37" t="s">
        <v>49</v>
      </c>
      <c r="AI5" s="38" t="s">
        <v>49</v>
      </c>
      <c r="AJ5" s="39" t="s">
        <v>49</v>
      </c>
    </row>
    <row r="6" ht="18" customHeight="1" spans="1:36">
      <c r="A6" s="40" t="s">
        <v>50</v>
      </c>
      <c r="B6" s="41"/>
      <c r="C6" s="42"/>
      <c r="D6" s="43">
        <v>5</v>
      </c>
      <c r="E6" s="43">
        <v>5</v>
      </c>
      <c r="F6" s="43">
        <v>5</v>
      </c>
      <c r="G6" s="43">
        <v>5</v>
      </c>
      <c r="H6" s="43">
        <v>5</v>
      </c>
      <c r="I6" s="43">
        <v>5</v>
      </c>
      <c r="J6" s="43">
        <v>5</v>
      </c>
      <c r="K6" s="43">
        <v>5</v>
      </c>
      <c r="L6" s="43">
        <v>5</v>
      </c>
      <c r="M6" s="43">
        <v>5</v>
      </c>
      <c r="N6" s="43">
        <v>5</v>
      </c>
      <c r="O6" s="43">
        <v>5</v>
      </c>
      <c r="P6" s="43">
        <v>1.67</v>
      </c>
      <c r="Q6" s="43">
        <v>1.67</v>
      </c>
      <c r="R6" s="43">
        <v>1.67</v>
      </c>
      <c r="S6" s="43">
        <v>1.67</v>
      </c>
      <c r="T6" s="43">
        <v>1.67</v>
      </c>
      <c r="U6" s="43">
        <v>1.67</v>
      </c>
      <c r="V6" s="43">
        <v>1.67</v>
      </c>
      <c r="W6" s="43">
        <v>1.67</v>
      </c>
      <c r="X6" s="43">
        <v>1.67</v>
      </c>
      <c r="Y6" s="43">
        <v>1.67</v>
      </c>
      <c r="Z6" s="43">
        <v>1.67</v>
      </c>
      <c r="AA6" s="43">
        <v>1.67</v>
      </c>
      <c r="AB6" s="43">
        <v>16.67</v>
      </c>
      <c r="AC6" s="43">
        <v>16.67</v>
      </c>
      <c r="AD6" s="43">
        <v>16.67</v>
      </c>
      <c r="AE6" s="43">
        <v>16.67</v>
      </c>
      <c r="AF6" s="43">
        <v>16.67</v>
      </c>
      <c r="AG6" s="43">
        <v>16.67</v>
      </c>
      <c r="AH6" s="44">
        <v>50</v>
      </c>
      <c r="AI6" s="45">
        <v>50</v>
      </c>
      <c r="AJ6" s="46">
        <v>100</v>
      </c>
    </row>
    <row r="7" ht="14" customHeight="1" spans="1:36">
      <c r="A7" s="47" t="s">
        <v>51</v>
      </c>
      <c r="D7" s="8" t="s">
        <v>52</v>
      </c>
      <c r="E7" s="8" t="s">
        <v>52</v>
      </c>
      <c r="F7" s="8" t="s">
        <v>52</v>
      </c>
      <c r="G7" s="8" t="s">
        <v>52</v>
      </c>
      <c r="H7" s="8" t="s">
        <v>52</v>
      </c>
      <c r="I7" s="8" t="s">
        <v>52</v>
      </c>
      <c r="J7" s="8" t="s">
        <v>52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 t="s">
        <v>52</v>
      </c>
      <c r="Q7" s="8" t="s">
        <v>52</v>
      </c>
      <c r="R7" s="8" t="s">
        <v>52</v>
      </c>
      <c r="S7" s="8" t="s">
        <v>52</v>
      </c>
      <c r="T7" s="8" t="s">
        <v>52</v>
      </c>
      <c r="U7" s="8" t="s">
        <v>52</v>
      </c>
      <c r="V7" s="8" t="s">
        <v>52</v>
      </c>
      <c r="W7" s="8" t="s">
        <v>52</v>
      </c>
      <c r="X7" s="8" t="s">
        <v>52</v>
      </c>
      <c r="Y7" s="8" t="s">
        <v>52</v>
      </c>
      <c r="Z7" s="8" t="s">
        <v>52</v>
      </c>
      <c r="AA7" s="8" t="s">
        <v>52</v>
      </c>
      <c r="AB7" s="8" t="s">
        <v>52</v>
      </c>
      <c r="AC7" s="8" t="s">
        <v>52</v>
      </c>
      <c r="AD7" s="8" t="s">
        <v>52</v>
      </c>
      <c r="AE7" s="8" t="s">
        <v>52</v>
      </c>
      <c r="AF7" s="8" t="s">
        <v>52</v>
      </c>
      <c r="AG7" s="8" t="s">
        <v>52</v>
      </c>
      <c r="AH7" s="8" t="s">
        <v>52</v>
      </c>
      <c r="AI7" s="8" t="s">
        <v>52</v>
      </c>
      <c r="AJ7" s="8" t="s">
        <v>52</v>
      </c>
    </row>
    <row r="8" ht="17" customHeight="1" spans="1:36">
      <c r="A8" s="8">
        <v>1</v>
      </c>
      <c r="B8" s="8" t="s">
        <v>53</v>
      </c>
      <c r="C8" s="9" t="s">
        <v>54</v>
      </c>
      <c r="D8" s="48">
        <v>2.9</v>
      </c>
      <c r="E8" s="48">
        <v>4.2</v>
      </c>
      <c r="F8" s="48">
        <v>3.1</v>
      </c>
      <c r="G8" s="48">
        <v>3.3</v>
      </c>
      <c r="H8" s="48">
        <v>2.7</v>
      </c>
      <c r="I8" s="48">
        <v>4.9</v>
      </c>
      <c r="J8" s="48">
        <v>4.7</v>
      </c>
      <c r="K8" s="48">
        <v>4.8</v>
      </c>
      <c r="L8" s="48">
        <v>4.1</v>
      </c>
      <c r="M8" s="48">
        <v>3.6</v>
      </c>
      <c r="N8" s="48">
        <v>3.7</v>
      </c>
      <c r="O8" s="48">
        <v>4.9</v>
      </c>
      <c r="P8" s="48">
        <v>1.6</v>
      </c>
      <c r="Q8" s="48">
        <v>1.4</v>
      </c>
      <c r="R8" s="48">
        <v>1.5</v>
      </c>
      <c r="S8" s="48">
        <v>1.1</v>
      </c>
      <c r="T8" s="48">
        <v>1.2</v>
      </c>
      <c r="U8" s="48">
        <v>1</v>
      </c>
      <c r="V8" s="48">
        <v>1.1</v>
      </c>
      <c r="W8" s="48">
        <v>1.5</v>
      </c>
      <c r="X8" s="48">
        <v>1.2</v>
      </c>
      <c r="Y8" s="48">
        <v>1.5</v>
      </c>
      <c r="Z8" s="48">
        <v>1.1</v>
      </c>
      <c r="AA8" s="48">
        <v>1.4</v>
      </c>
      <c r="AB8" s="48">
        <v>15</v>
      </c>
      <c r="AC8" s="48">
        <v>16</v>
      </c>
      <c r="AD8" s="48">
        <v>13</v>
      </c>
      <c r="AE8" s="48">
        <v>16.4</v>
      </c>
      <c r="AF8" s="48">
        <v>13</v>
      </c>
      <c r="AG8" s="48">
        <v>9.5</v>
      </c>
      <c r="AH8" s="49">
        <f t="shared" ref="AH8:AH27" si="0">(SUM(D8:I8)+SUM(J8:O8))/2+SUM(P8:U8)+SUM(V8:AA8)</f>
        <v>39.05</v>
      </c>
      <c r="AI8" s="50">
        <f t="shared" ref="AI8:AI27" si="1">SUM(AB8:AG8)/100*50</f>
        <v>41.45</v>
      </c>
      <c r="AJ8" s="51">
        <f t="shared" ref="AJ8:AJ27" si="2">AH8+AI8</f>
        <v>80.5</v>
      </c>
    </row>
    <row r="9" ht="17" customHeight="1" spans="1:36">
      <c r="A9" s="15">
        <v>2</v>
      </c>
      <c r="B9" s="15" t="s">
        <v>55</v>
      </c>
      <c r="C9" s="16" t="s">
        <v>56</v>
      </c>
      <c r="D9" s="52">
        <v>3.1</v>
      </c>
      <c r="E9" s="52">
        <v>3</v>
      </c>
      <c r="F9" s="52">
        <v>4.1</v>
      </c>
      <c r="G9" s="52">
        <v>4.8</v>
      </c>
      <c r="H9" s="52">
        <v>4.6</v>
      </c>
      <c r="I9" s="52">
        <v>2.7</v>
      </c>
      <c r="J9" s="52">
        <v>4.3</v>
      </c>
      <c r="K9" s="52">
        <v>3</v>
      </c>
      <c r="L9" s="52">
        <v>3.2</v>
      </c>
      <c r="M9" s="52">
        <v>4.2</v>
      </c>
      <c r="N9" s="52">
        <v>4</v>
      </c>
      <c r="O9" s="52">
        <v>4.7</v>
      </c>
      <c r="P9" s="52">
        <v>1</v>
      </c>
      <c r="Q9" s="52">
        <v>1.5</v>
      </c>
      <c r="R9" s="52">
        <v>1.4</v>
      </c>
      <c r="S9" s="52">
        <v>1.3</v>
      </c>
      <c r="T9" s="52">
        <v>1.2</v>
      </c>
      <c r="U9" s="52">
        <v>1.6</v>
      </c>
      <c r="V9" s="52">
        <v>1.1</v>
      </c>
      <c r="W9" s="52">
        <v>1.6</v>
      </c>
      <c r="X9" s="52">
        <v>0.8</v>
      </c>
      <c r="Y9" s="52">
        <v>1.6</v>
      </c>
      <c r="Z9" s="52">
        <v>1.6</v>
      </c>
      <c r="AA9" s="52">
        <v>0.9</v>
      </c>
      <c r="AB9" s="52">
        <v>16.7</v>
      </c>
      <c r="AC9" s="52">
        <v>12.3</v>
      </c>
      <c r="AD9" s="52">
        <v>10.4</v>
      </c>
      <c r="AE9" s="52">
        <v>13.4</v>
      </c>
      <c r="AF9" s="52">
        <v>10</v>
      </c>
      <c r="AG9" s="52">
        <v>16</v>
      </c>
      <c r="AH9" s="49">
        <f t="shared" si="0"/>
        <v>38.45</v>
      </c>
      <c r="AI9" s="50">
        <f t="shared" si="1"/>
        <v>39.4</v>
      </c>
      <c r="AJ9" s="51">
        <f t="shared" si="2"/>
        <v>77.85</v>
      </c>
    </row>
    <row r="10" ht="17" customHeight="1" spans="1:36">
      <c r="A10" s="8">
        <v>3</v>
      </c>
      <c r="B10" s="8" t="s">
        <v>57</v>
      </c>
      <c r="C10" s="9" t="s">
        <v>58</v>
      </c>
      <c r="D10" s="48">
        <v>3.9</v>
      </c>
      <c r="E10" s="48">
        <v>4.4</v>
      </c>
      <c r="F10" s="48">
        <v>3.5</v>
      </c>
      <c r="G10" s="48">
        <v>3.8</v>
      </c>
      <c r="H10" s="48">
        <v>3.4</v>
      </c>
      <c r="I10" s="48">
        <v>3.2</v>
      </c>
      <c r="J10" s="48">
        <v>3.8</v>
      </c>
      <c r="K10" s="48">
        <v>3.7</v>
      </c>
      <c r="L10" s="48">
        <v>2.7</v>
      </c>
      <c r="M10" s="48">
        <v>5</v>
      </c>
      <c r="N10" s="48">
        <v>3.7</v>
      </c>
      <c r="O10" s="48">
        <v>4.6</v>
      </c>
      <c r="P10" s="48">
        <v>1.6</v>
      </c>
      <c r="Q10" s="48">
        <v>1.1</v>
      </c>
      <c r="R10" s="48">
        <v>1.2</v>
      </c>
      <c r="S10" s="48">
        <v>1.3</v>
      </c>
      <c r="T10" s="48">
        <v>1</v>
      </c>
      <c r="U10" s="48">
        <v>1</v>
      </c>
      <c r="V10" s="48">
        <v>1.1</v>
      </c>
      <c r="W10" s="48">
        <v>1.6</v>
      </c>
      <c r="X10" s="48">
        <v>1.3</v>
      </c>
      <c r="Y10" s="48">
        <v>1.2</v>
      </c>
      <c r="Z10" s="48">
        <v>1</v>
      </c>
      <c r="AA10" s="48">
        <v>1.1</v>
      </c>
      <c r="AB10" s="48">
        <v>11.5</v>
      </c>
      <c r="AC10" s="48">
        <v>15.3</v>
      </c>
      <c r="AD10" s="48">
        <v>12.5</v>
      </c>
      <c r="AE10" s="48">
        <v>13.8</v>
      </c>
      <c r="AF10" s="48">
        <v>14</v>
      </c>
      <c r="AG10" s="48">
        <v>10.5</v>
      </c>
      <c r="AH10" s="49">
        <f t="shared" si="0"/>
        <v>37.35</v>
      </c>
      <c r="AI10" s="50">
        <f t="shared" si="1"/>
        <v>38.8</v>
      </c>
      <c r="AJ10" s="51">
        <f t="shared" si="2"/>
        <v>76.15</v>
      </c>
    </row>
    <row r="11" ht="17" customHeight="1" spans="1:36">
      <c r="A11" s="15">
        <v>4</v>
      </c>
      <c r="B11" s="15" t="s">
        <v>59</v>
      </c>
      <c r="C11" s="16" t="s">
        <v>60</v>
      </c>
      <c r="D11" s="52">
        <v>4.6</v>
      </c>
      <c r="E11" s="52">
        <v>4.9</v>
      </c>
      <c r="F11" s="52">
        <v>4.1</v>
      </c>
      <c r="G11" s="52">
        <v>3.7</v>
      </c>
      <c r="H11" s="52">
        <v>2.9</v>
      </c>
      <c r="I11" s="52">
        <v>4.5</v>
      </c>
      <c r="J11" s="52">
        <v>2.9</v>
      </c>
      <c r="K11" s="52">
        <v>4.3</v>
      </c>
      <c r="L11" s="52">
        <v>3.7</v>
      </c>
      <c r="M11" s="52">
        <v>4.8</v>
      </c>
      <c r="N11" s="52">
        <v>3.9</v>
      </c>
      <c r="O11" s="52">
        <v>4.1</v>
      </c>
      <c r="P11" s="52">
        <v>0.9</v>
      </c>
      <c r="Q11" s="52">
        <v>0.9</v>
      </c>
      <c r="R11" s="52">
        <v>1.5</v>
      </c>
      <c r="S11" s="52">
        <v>1.6</v>
      </c>
      <c r="T11" s="52">
        <v>1.4</v>
      </c>
      <c r="U11" s="52">
        <v>1.5</v>
      </c>
      <c r="V11" s="52">
        <v>1.2</v>
      </c>
      <c r="W11" s="52">
        <v>1.5</v>
      </c>
      <c r="X11" s="52">
        <v>1</v>
      </c>
      <c r="Y11" s="52">
        <v>1.4</v>
      </c>
      <c r="Z11" s="52">
        <v>0.8</v>
      </c>
      <c r="AA11" s="52">
        <v>1.3</v>
      </c>
      <c r="AB11" s="52">
        <v>11.4</v>
      </c>
      <c r="AC11" s="52">
        <v>13.5</v>
      </c>
      <c r="AD11" s="52">
        <v>13.9</v>
      </c>
      <c r="AE11" s="52">
        <v>13.5</v>
      </c>
      <c r="AF11" s="52">
        <v>12.4</v>
      </c>
      <c r="AG11" s="52">
        <v>12.4</v>
      </c>
      <c r="AH11" s="49">
        <f t="shared" si="0"/>
        <v>39.2</v>
      </c>
      <c r="AI11" s="50">
        <f t="shared" si="1"/>
        <v>38.55</v>
      </c>
      <c r="AJ11" s="51">
        <f t="shared" si="2"/>
        <v>77.75</v>
      </c>
    </row>
    <row r="12" ht="17" customHeight="1" spans="1:36">
      <c r="A12" s="8">
        <v>5</v>
      </c>
      <c r="B12" s="8" t="s">
        <v>61</v>
      </c>
      <c r="C12" s="9" t="s">
        <v>62</v>
      </c>
      <c r="D12" s="48">
        <v>2.5</v>
      </c>
      <c r="E12" s="48">
        <v>3.9</v>
      </c>
      <c r="F12" s="48">
        <v>2.5</v>
      </c>
      <c r="G12" s="48">
        <v>3.8</v>
      </c>
      <c r="H12" s="48">
        <v>3.2</v>
      </c>
      <c r="I12" s="48">
        <v>4.9</v>
      </c>
      <c r="J12" s="48">
        <v>2.5</v>
      </c>
      <c r="K12" s="48">
        <v>4.5</v>
      </c>
      <c r="L12" s="48">
        <v>4.2</v>
      </c>
      <c r="M12" s="48">
        <v>4.5</v>
      </c>
      <c r="N12" s="48">
        <v>4.8</v>
      </c>
      <c r="O12" s="48">
        <v>2.8</v>
      </c>
      <c r="P12" s="48">
        <v>0.9</v>
      </c>
      <c r="Q12" s="48">
        <v>1</v>
      </c>
      <c r="R12" s="48">
        <v>1</v>
      </c>
      <c r="S12" s="48">
        <v>1.3</v>
      </c>
      <c r="T12" s="48">
        <v>1.5</v>
      </c>
      <c r="U12" s="48">
        <v>1.1</v>
      </c>
      <c r="V12" s="48">
        <v>1.2</v>
      </c>
      <c r="W12" s="48">
        <v>1.1</v>
      </c>
      <c r="X12" s="48">
        <v>1.2</v>
      </c>
      <c r="Y12" s="48">
        <v>1.3</v>
      </c>
      <c r="Z12" s="48">
        <v>1.7</v>
      </c>
      <c r="AA12" s="48">
        <v>1</v>
      </c>
      <c r="AB12" s="48">
        <v>14</v>
      </c>
      <c r="AC12" s="48">
        <v>15.4</v>
      </c>
      <c r="AD12" s="48">
        <v>13.8</v>
      </c>
      <c r="AE12" s="48">
        <v>15.5</v>
      </c>
      <c r="AF12" s="48">
        <v>14.7</v>
      </c>
      <c r="AG12" s="48">
        <v>9.1</v>
      </c>
      <c r="AH12" s="49">
        <f t="shared" si="0"/>
        <v>36.35</v>
      </c>
      <c r="AI12" s="50">
        <f t="shared" si="1"/>
        <v>41.25</v>
      </c>
      <c r="AJ12" s="51">
        <f t="shared" si="2"/>
        <v>77.6</v>
      </c>
    </row>
    <row r="13" ht="17" customHeight="1" spans="1:36">
      <c r="A13" s="15">
        <v>6</v>
      </c>
      <c r="B13" s="15" t="s">
        <v>63</v>
      </c>
      <c r="C13" s="16" t="s">
        <v>64</v>
      </c>
      <c r="D13" s="52">
        <v>3.4</v>
      </c>
      <c r="E13" s="52">
        <v>3.9</v>
      </c>
      <c r="F13" s="52">
        <v>2.6</v>
      </c>
      <c r="G13" s="52">
        <v>2.5</v>
      </c>
      <c r="H13" s="52">
        <v>2.9</v>
      </c>
      <c r="I13" s="52">
        <v>3.7</v>
      </c>
      <c r="J13" s="52">
        <v>3.6</v>
      </c>
      <c r="K13" s="52">
        <v>4.5</v>
      </c>
      <c r="L13" s="52">
        <v>3.9</v>
      </c>
      <c r="M13" s="52">
        <v>4.6</v>
      </c>
      <c r="N13" s="52">
        <v>2.7</v>
      </c>
      <c r="O13" s="52">
        <v>3.8</v>
      </c>
      <c r="P13" s="52">
        <v>0.9</v>
      </c>
      <c r="Q13" s="52">
        <v>1</v>
      </c>
      <c r="R13" s="52">
        <v>1.6</v>
      </c>
      <c r="S13" s="52">
        <v>1.6</v>
      </c>
      <c r="T13" s="52">
        <v>1.2</v>
      </c>
      <c r="U13" s="52">
        <v>0.9</v>
      </c>
      <c r="V13" s="52">
        <v>0.9</v>
      </c>
      <c r="W13" s="52">
        <v>1.6</v>
      </c>
      <c r="X13" s="52">
        <v>1.6</v>
      </c>
      <c r="Y13" s="52">
        <v>1.3</v>
      </c>
      <c r="Z13" s="52">
        <v>0.9</v>
      </c>
      <c r="AA13" s="52">
        <v>1.6</v>
      </c>
      <c r="AB13" s="52">
        <v>11</v>
      </c>
      <c r="AC13" s="52">
        <v>16.3</v>
      </c>
      <c r="AD13" s="52">
        <v>13.2</v>
      </c>
      <c r="AE13" s="52">
        <v>14.6</v>
      </c>
      <c r="AF13" s="52">
        <v>14.3</v>
      </c>
      <c r="AG13" s="52">
        <v>11.7</v>
      </c>
      <c r="AH13" s="49">
        <f t="shared" si="0"/>
        <v>36.15</v>
      </c>
      <c r="AI13" s="50">
        <f t="shared" si="1"/>
        <v>40.55</v>
      </c>
      <c r="AJ13" s="51">
        <f t="shared" si="2"/>
        <v>76.7</v>
      </c>
    </row>
    <row r="14" ht="17" customHeight="1" spans="1:36">
      <c r="A14" s="8">
        <v>7</v>
      </c>
      <c r="B14" s="8" t="s">
        <v>65</v>
      </c>
      <c r="C14" s="9" t="s">
        <v>66</v>
      </c>
      <c r="D14" s="48">
        <v>2.7</v>
      </c>
      <c r="E14" s="48">
        <v>2.9</v>
      </c>
      <c r="F14" s="48">
        <v>3.1</v>
      </c>
      <c r="G14" s="48">
        <v>4.6</v>
      </c>
      <c r="H14" s="48">
        <v>3.5</v>
      </c>
      <c r="I14" s="48">
        <v>4.7</v>
      </c>
      <c r="J14" s="48">
        <v>3.3</v>
      </c>
      <c r="K14" s="48">
        <v>4.4</v>
      </c>
      <c r="L14" s="48">
        <v>2.8</v>
      </c>
      <c r="M14" s="48">
        <v>5</v>
      </c>
      <c r="N14" s="48">
        <v>4.3</v>
      </c>
      <c r="O14" s="48">
        <v>3.8</v>
      </c>
      <c r="P14" s="48">
        <v>1.6</v>
      </c>
      <c r="Q14" s="48">
        <v>0.9</v>
      </c>
      <c r="R14" s="48">
        <v>1.2</v>
      </c>
      <c r="S14" s="48">
        <v>1.5</v>
      </c>
      <c r="T14" s="48">
        <v>1.1</v>
      </c>
      <c r="U14" s="48">
        <v>1.5</v>
      </c>
      <c r="V14" s="48">
        <v>1.6</v>
      </c>
      <c r="W14" s="48">
        <v>1.2</v>
      </c>
      <c r="X14" s="48">
        <v>1.5</v>
      </c>
      <c r="Y14" s="48">
        <v>0.9</v>
      </c>
      <c r="Z14" s="48">
        <v>1.1</v>
      </c>
      <c r="AA14" s="48">
        <v>1.7</v>
      </c>
      <c r="AB14" s="48">
        <v>12.4</v>
      </c>
      <c r="AC14" s="48">
        <v>11.3</v>
      </c>
      <c r="AD14" s="48">
        <v>16.2</v>
      </c>
      <c r="AE14" s="48">
        <v>11.9</v>
      </c>
      <c r="AF14" s="48">
        <v>14</v>
      </c>
      <c r="AG14" s="48">
        <v>13.8</v>
      </c>
      <c r="AH14" s="49">
        <f t="shared" si="0"/>
        <v>38.35</v>
      </c>
      <c r="AI14" s="50">
        <f t="shared" si="1"/>
        <v>39.8</v>
      </c>
      <c r="AJ14" s="51">
        <f t="shared" si="2"/>
        <v>78.15</v>
      </c>
    </row>
    <row r="15" ht="17" customHeight="1" spans="1:36">
      <c r="A15" s="15">
        <v>8</v>
      </c>
      <c r="B15" s="15" t="s">
        <v>67</v>
      </c>
      <c r="C15" s="16" t="s">
        <v>68</v>
      </c>
      <c r="D15" s="52">
        <v>2.7</v>
      </c>
      <c r="E15" s="52">
        <v>4</v>
      </c>
      <c r="F15" s="52">
        <v>4.5</v>
      </c>
      <c r="G15" s="52">
        <v>4.3</v>
      </c>
      <c r="H15" s="52">
        <v>2.7</v>
      </c>
      <c r="I15" s="52">
        <v>2.9</v>
      </c>
      <c r="J15" s="52">
        <v>4.3</v>
      </c>
      <c r="K15" s="52">
        <v>4.1</v>
      </c>
      <c r="L15" s="52">
        <v>4.3</v>
      </c>
      <c r="M15" s="52">
        <v>3.3</v>
      </c>
      <c r="N15" s="52">
        <v>2.8</v>
      </c>
      <c r="O15" s="52">
        <v>2.5</v>
      </c>
      <c r="P15" s="52">
        <v>1.1</v>
      </c>
      <c r="Q15" s="52">
        <v>1.1</v>
      </c>
      <c r="R15" s="52">
        <v>1.1</v>
      </c>
      <c r="S15" s="52">
        <v>0.9</v>
      </c>
      <c r="T15" s="52">
        <v>1</v>
      </c>
      <c r="U15" s="52">
        <v>1.2</v>
      </c>
      <c r="V15" s="52">
        <v>1.3</v>
      </c>
      <c r="W15" s="52">
        <v>1.2</v>
      </c>
      <c r="X15" s="52">
        <v>0.9</v>
      </c>
      <c r="Y15" s="52">
        <v>1.1</v>
      </c>
      <c r="Z15" s="52">
        <v>0.9</v>
      </c>
      <c r="AA15" s="52">
        <v>1.3</v>
      </c>
      <c r="AB15" s="52">
        <v>11</v>
      </c>
      <c r="AC15" s="52">
        <v>11.5</v>
      </c>
      <c r="AD15" s="52">
        <v>10.8</v>
      </c>
      <c r="AE15" s="52">
        <v>11.6</v>
      </c>
      <c r="AF15" s="52">
        <v>9</v>
      </c>
      <c r="AG15" s="52">
        <v>15.8</v>
      </c>
      <c r="AH15" s="49">
        <f t="shared" si="0"/>
        <v>34.3</v>
      </c>
      <c r="AI15" s="50">
        <f t="shared" si="1"/>
        <v>34.85</v>
      </c>
      <c r="AJ15" s="51">
        <f t="shared" si="2"/>
        <v>69.15</v>
      </c>
    </row>
    <row r="16" ht="17" customHeight="1" spans="1:36">
      <c r="A16" s="8">
        <v>9</v>
      </c>
      <c r="B16" s="8" t="s">
        <v>69</v>
      </c>
      <c r="C16" s="9" t="s">
        <v>70</v>
      </c>
      <c r="D16" s="48">
        <v>4.8</v>
      </c>
      <c r="E16" s="48">
        <v>4.9</v>
      </c>
      <c r="F16" s="48">
        <v>3.9</v>
      </c>
      <c r="G16" s="48">
        <v>2.9</v>
      </c>
      <c r="H16" s="48">
        <v>3.5</v>
      </c>
      <c r="I16" s="48">
        <v>2.8</v>
      </c>
      <c r="J16" s="48">
        <v>3.3</v>
      </c>
      <c r="K16" s="48">
        <v>3.7</v>
      </c>
      <c r="L16" s="48">
        <v>2.7</v>
      </c>
      <c r="M16" s="48">
        <v>3.6</v>
      </c>
      <c r="N16" s="48">
        <v>3.6</v>
      </c>
      <c r="O16" s="48">
        <v>3.7</v>
      </c>
      <c r="P16" s="48">
        <v>0.9</v>
      </c>
      <c r="Q16" s="48">
        <v>1</v>
      </c>
      <c r="R16" s="48">
        <v>1</v>
      </c>
      <c r="S16" s="48">
        <v>1.4</v>
      </c>
      <c r="T16" s="48">
        <v>1.3</v>
      </c>
      <c r="U16" s="48">
        <v>1</v>
      </c>
      <c r="V16" s="48">
        <v>0.9</v>
      </c>
      <c r="W16" s="48">
        <v>1.1</v>
      </c>
      <c r="X16" s="48">
        <v>1.6</v>
      </c>
      <c r="Y16" s="48">
        <v>1.1</v>
      </c>
      <c r="Z16" s="48">
        <v>1.4</v>
      </c>
      <c r="AA16" s="48">
        <v>1.5</v>
      </c>
      <c r="AB16" s="48">
        <v>11.1</v>
      </c>
      <c r="AC16" s="48">
        <v>11.1</v>
      </c>
      <c r="AD16" s="48">
        <v>15.1</v>
      </c>
      <c r="AE16" s="48">
        <v>15.5</v>
      </c>
      <c r="AF16" s="48">
        <v>16.5</v>
      </c>
      <c r="AG16" s="48">
        <v>9.5</v>
      </c>
      <c r="AH16" s="49">
        <f t="shared" si="0"/>
        <v>35.9</v>
      </c>
      <c r="AI16" s="50">
        <f t="shared" si="1"/>
        <v>39.4</v>
      </c>
      <c r="AJ16" s="51">
        <f t="shared" si="2"/>
        <v>75.3</v>
      </c>
    </row>
    <row r="17" ht="17" customHeight="1" spans="1:36">
      <c r="A17" s="15">
        <v>10</v>
      </c>
      <c r="B17" s="15" t="s">
        <v>71</v>
      </c>
      <c r="C17" s="16" t="s">
        <v>72</v>
      </c>
      <c r="D17" s="52">
        <v>3.3</v>
      </c>
      <c r="E17" s="52">
        <v>4.9</v>
      </c>
      <c r="F17" s="52">
        <v>3</v>
      </c>
      <c r="G17" s="52">
        <v>3.3</v>
      </c>
      <c r="H17" s="52">
        <v>4.9</v>
      </c>
      <c r="I17" s="52">
        <v>4.9</v>
      </c>
      <c r="J17" s="52">
        <v>3.2</v>
      </c>
      <c r="K17" s="52">
        <v>4.2</v>
      </c>
      <c r="L17" s="52">
        <v>3.7</v>
      </c>
      <c r="M17" s="52">
        <v>3.9</v>
      </c>
      <c r="N17" s="52">
        <v>3.1</v>
      </c>
      <c r="O17" s="52">
        <v>3.4</v>
      </c>
      <c r="P17" s="52">
        <v>1.5</v>
      </c>
      <c r="Q17" s="52">
        <v>1.2</v>
      </c>
      <c r="R17" s="52">
        <v>0.9</v>
      </c>
      <c r="S17" s="52">
        <v>1.3</v>
      </c>
      <c r="T17" s="52">
        <v>1.3</v>
      </c>
      <c r="U17" s="52">
        <v>1.3</v>
      </c>
      <c r="V17" s="52">
        <v>1.4</v>
      </c>
      <c r="W17" s="52">
        <v>1.3</v>
      </c>
      <c r="X17" s="52">
        <v>1.6</v>
      </c>
      <c r="Y17" s="52">
        <v>1.2</v>
      </c>
      <c r="Z17" s="52">
        <v>1.4</v>
      </c>
      <c r="AA17" s="52">
        <v>1.2</v>
      </c>
      <c r="AB17" s="52">
        <v>10.8</v>
      </c>
      <c r="AC17" s="52">
        <v>14.1</v>
      </c>
      <c r="AD17" s="52">
        <v>15.2</v>
      </c>
      <c r="AE17" s="52">
        <v>15</v>
      </c>
      <c r="AF17" s="52">
        <v>11.7</v>
      </c>
      <c r="AG17" s="52">
        <v>12.5</v>
      </c>
      <c r="AH17" s="49">
        <f t="shared" si="0"/>
        <v>38.5</v>
      </c>
      <c r="AI17" s="50">
        <f t="shared" si="1"/>
        <v>39.65</v>
      </c>
      <c r="AJ17" s="51">
        <f t="shared" si="2"/>
        <v>78.15</v>
      </c>
    </row>
    <row r="18" ht="17" customHeight="1" spans="1:36">
      <c r="A18" s="8">
        <v>11</v>
      </c>
      <c r="B18" s="8" t="s">
        <v>73</v>
      </c>
      <c r="C18" s="9" t="s">
        <v>74</v>
      </c>
      <c r="D18" s="48">
        <v>4.1</v>
      </c>
      <c r="E18" s="48">
        <v>3.1</v>
      </c>
      <c r="F18" s="48">
        <v>4.1</v>
      </c>
      <c r="G18" s="48">
        <v>4.3</v>
      </c>
      <c r="H18" s="48">
        <v>4.5</v>
      </c>
      <c r="I18" s="48">
        <v>2.7</v>
      </c>
      <c r="J18" s="48">
        <v>5</v>
      </c>
      <c r="K18" s="48">
        <v>3.7</v>
      </c>
      <c r="L18" s="48">
        <v>3.5</v>
      </c>
      <c r="M18" s="48">
        <v>3.8</v>
      </c>
      <c r="N18" s="48">
        <v>4.8</v>
      </c>
      <c r="O18" s="48">
        <v>4.2</v>
      </c>
      <c r="P18" s="48">
        <v>1.3</v>
      </c>
      <c r="Q18" s="48">
        <v>1.5</v>
      </c>
      <c r="R18" s="48">
        <v>1.1</v>
      </c>
      <c r="S18" s="48">
        <v>1.6</v>
      </c>
      <c r="T18" s="48">
        <v>1.3</v>
      </c>
      <c r="U18" s="48">
        <v>1.4</v>
      </c>
      <c r="V18" s="48">
        <v>0.9</v>
      </c>
      <c r="W18" s="48">
        <v>1.5</v>
      </c>
      <c r="X18" s="48">
        <v>1.4</v>
      </c>
      <c r="Y18" s="48">
        <v>1.1</v>
      </c>
      <c r="Z18" s="48">
        <v>1.4</v>
      </c>
      <c r="AA18" s="48">
        <v>0.9</v>
      </c>
      <c r="AB18" s="48">
        <v>16.5</v>
      </c>
      <c r="AC18" s="48">
        <v>14</v>
      </c>
      <c r="AD18" s="48">
        <v>11.7</v>
      </c>
      <c r="AE18" s="48">
        <v>14.6</v>
      </c>
      <c r="AF18" s="48">
        <v>16.4</v>
      </c>
      <c r="AG18" s="48">
        <v>11.9</v>
      </c>
      <c r="AH18" s="49">
        <f t="shared" si="0"/>
        <v>39.3</v>
      </c>
      <c r="AI18" s="50">
        <f t="shared" si="1"/>
        <v>42.55</v>
      </c>
      <c r="AJ18" s="51">
        <f t="shared" si="2"/>
        <v>81.85</v>
      </c>
    </row>
    <row r="19" ht="17" customHeight="1" spans="1:36">
      <c r="A19" s="15">
        <v>12</v>
      </c>
      <c r="B19" s="15" t="s">
        <v>75</v>
      </c>
      <c r="C19" s="16" t="s">
        <v>76</v>
      </c>
      <c r="D19" s="52">
        <v>2.5</v>
      </c>
      <c r="E19" s="52">
        <v>3.1</v>
      </c>
      <c r="F19" s="52">
        <v>3.8</v>
      </c>
      <c r="G19" s="52">
        <v>3.8</v>
      </c>
      <c r="H19" s="52">
        <v>4</v>
      </c>
      <c r="I19" s="52">
        <v>3.9</v>
      </c>
      <c r="J19" s="52">
        <v>3.6</v>
      </c>
      <c r="K19" s="52">
        <v>3.5</v>
      </c>
      <c r="L19" s="52">
        <v>4.4</v>
      </c>
      <c r="M19" s="52">
        <v>4</v>
      </c>
      <c r="N19" s="52">
        <v>3.8</v>
      </c>
      <c r="O19" s="52">
        <v>3.4</v>
      </c>
      <c r="P19" s="52">
        <v>0.9</v>
      </c>
      <c r="Q19" s="52">
        <v>0.9</v>
      </c>
      <c r="R19" s="52">
        <v>1.2</v>
      </c>
      <c r="S19" s="52">
        <v>1.6</v>
      </c>
      <c r="T19" s="52">
        <v>0.9</v>
      </c>
      <c r="U19" s="52">
        <v>1.6</v>
      </c>
      <c r="V19" s="52">
        <v>1</v>
      </c>
      <c r="W19" s="52">
        <v>1.1</v>
      </c>
      <c r="X19" s="52">
        <v>1.2</v>
      </c>
      <c r="Y19" s="52">
        <v>1</v>
      </c>
      <c r="Z19" s="52">
        <v>1.2</v>
      </c>
      <c r="AA19" s="52">
        <v>1.2</v>
      </c>
      <c r="AB19" s="52">
        <v>12</v>
      </c>
      <c r="AC19" s="52">
        <v>14.1</v>
      </c>
      <c r="AD19" s="52">
        <v>11</v>
      </c>
      <c r="AE19" s="52">
        <v>10.8</v>
      </c>
      <c r="AF19" s="52">
        <v>15.1</v>
      </c>
      <c r="AG19" s="52">
        <v>9.3</v>
      </c>
      <c r="AH19" s="49">
        <f t="shared" si="0"/>
        <v>35.7</v>
      </c>
      <c r="AI19" s="50">
        <f t="shared" si="1"/>
        <v>36.15</v>
      </c>
      <c r="AJ19" s="51">
        <f t="shared" si="2"/>
        <v>71.85</v>
      </c>
    </row>
    <row r="20" ht="17" customHeight="1" spans="1:36">
      <c r="A20" s="8">
        <v>13</v>
      </c>
      <c r="B20" s="8" t="s">
        <v>77</v>
      </c>
      <c r="C20" s="9" t="s">
        <v>78</v>
      </c>
      <c r="D20" s="48">
        <v>4.6</v>
      </c>
      <c r="E20" s="48">
        <v>4.1</v>
      </c>
      <c r="F20" s="48">
        <v>4.2</v>
      </c>
      <c r="G20" s="48">
        <v>2.9</v>
      </c>
      <c r="H20" s="48">
        <v>5</v>
      </c>
      <c r="I20" s="48">
        <v>3.1</v>
      </c>
      <c r="J20" s="48">
        <v>2.9</v>
      </c>
      <c r="K20" s="48">
        <v>2.9</v>
      </c>
      <c r="L20" s="48">
        <v>3.9</v>
      </c>
      <c r="M20" s="48">
        <v>4.9</v>
      </c>
      <c r="N20" s="48">
        <v>3.1</v>
      </c>
      <c r="O20" s="48">
        <v>3.5</v>
      </c>
      <c r="P20" s="48">
        <v>1</v>
      </c>
      <c r="Q20" s="48">
        <v>1.4</v>
      </c>
      <c r="R20" s="48">
        <v>1.2</v>
      </c>
      <c r="S20" s="48">
        <v>0.9</v>
      </c>
      <c r="T20" s="48">
        <v>1.3</v>
      </c>
      <c r="U20" s="48">
        <v>1</v>
      </c>
      <c r="V20" s="48">
        <v>1.3</v>
      </c>
      <c r="W20" s="48">
        <v>1.2</v>
      </c>
      <c r="X20" s="48">
        <v>1.4</v>
      </c>
      <c r="Y20" s="48">
        <v>1</v>
      </c>
      <c r="Z20" s="48">
        <v>1.5</v>
      </c>
      <c r="AA20" s="48">
        <v>1.5</v>
      </c>
      <c r="AB20" s="48">
        <v>8.9</v>
      </c>
      <c r="AC20" s="48">
        <v>9.2</v>
      </c>
      <c r="AD20" s="48">
        <v>15.6</v>
      </c>
      <c r="AE20" s="48">
        <v>9.9</v>
      </c>
      <c r="AF20" s="48">
        <v>11</v>
      </c>
      <c r="AG20" s="48">
        <v>12.1</v>
      </c>
      <c r="AH20" s="49">
        <f t="shared" si="0"/>
        <v>37.25</v>
      </c>
      <c r="AI20" s="50">
        <f t="shared" si="1"/>
        <v>33.35</v>
      </c>
      <c r="AJ20" s="51">
        <f t="shared" si="2"/>
        <v>70.6</v>
      </c>
    </row>
    <row r="21" ht="17" customHeight="1" spans="1:36">
      <c r="A21" s="15">
        <v>14</v>
      </c>
      <c r="B21" s="15" t="s">
        <v>79</v>
      </c>
      <c r="C21" s="16" t="s">
        <v>80</v>
      </c>
      <c r="D21" s="52">
        <v>3.2</v>
      </c>
      <c r="E21" s="52">
        <v>4.7</v>
      </c>
      <c r="F21" s="52">
        <v>3.8</v>
      </c>
      <c r="G21" s="52">
        <v>4.1</v>
      </c>
      <c r="H21" s="52">
        <v>4</v>
      </c>
      <c r="I21" s="52">
        <v>4</v>
      </c>
      <c r="J21" s="52">
        <v>4</v>
      </c>
      <c r="K21" s="52">
        <v>3.4</v>
      </c>
      <c r="L21" s="52">
        <v>4.6</v>
      </c>
      <c r="M21" s="52">
        <v>4</v>
      </c>
      <c r="N21" s="52">
        <v>4.5</v>
      </c>
      <c r="O21" s="52">
        <v>4.3</v>
      </c>
      <c r="P21" s="52">
        <v>1.1</v>
      </c>
      <c r="Q21" s="52">
        <v>1.3</v>
      </c>
      <c r="R21" s="52">
        <v>0.9</v>
      </c>
      <c r="S21" s="52">
        <v>0.9</v>
      </c>
      <c r="T21" s="52">
        <v>0.9</v>
      </c>
      <c r="U21" s="52">
        <v>1.1</v>
      </c>
      <c r="V21" s="52">
        <v>1</v>
      </c>
      <c r="W21" s="52">
        <v>1.4</v>
      </c>
      <c r="X21" s="52">
        <v>1.3</v>
      </c>
      <c r="Y21" s="52">
        <v>1.2</v>
      </c>
      <c r="Z21" s="52">
        <v>0.9</v>
      </c>
      <c r="AA21" s="52">
        <v>1.2</v>
      </c>
      <c r="AB21" s="52">
        <v>9.9</v>
      </c>
      <c r="AC21" s="52">
        <v>13.6</v>
      </c>
      <c r="AD21" s="52">
        <v>14.1</v>
      </c>
      <c r="AE21" s="52">
        <v>13.7</v>
      </c>
      <c r="AF21" s="52">
        <v>16.7</v>
      </c>
      <c r="AG21" s="52">
        <v>13</v>
      </c>
      <c r="AH21" s="49">
        <f t="shared" si="0"/>
        <v>37.5</v>
      </c>
      <c r="AI21" s="50">
        <f t="shared" si="1"/>
        <v>40.5</v>
      </c>
      <c r="AJ21" s="51">
        <f t="shared" si="2"/>
        <v>78</v>
      </c>
    </row>
    <row r="22" ht="17" customHeight="1" spans="1:36">
      <c r="A22" s="8">
        <v>15</v>
      </c>
      <c r="B22" s="8" t="s">
        <v>81</v>
      </c>
      <c r="C22" s="9" t="s">
        <v>82</v>
      </c>
      <c r="D22" s="48">
        <v>3.7</v>
      </c>
      <c r="E22" s="48">
        <v>2.9</v>
      </c>
      <c r="F22" s="48">
        <v>3.3</v>
      </c>
      <c r="G22" s="48">
        <v>3.6</v>
      </c>
      <c r="H22" s="48">
        <v>2.6</v>
      </c>
      <c r="I22" s="48">
        <v>3.4</v>
      </c>
      <c r="J22" s="48">
        <v>2.5</v>
      </c>
      <c r="K22" s="48">
        <v>2.8</v>
      </c>
      <c r="L22" s="48">
        <v>4.5</v>
      </c>
      <c r="M22" s="48">
        <v>4.9</v>
      </c>
      <c r="N22" s="48">
        <v>3.8</v>
      </c>
      <c r="O22" s="48">
        <v>3.7</v>
      </c>
      <c r="P22" s="48">
        <v>1.4</v>
      </c>
      <c r="Q22" s="48">
        <v>1.2</v>
      </c>
      <c r="R22" s="48">
        <v>1.5</v>
      </c>
      <c r="S22" s="48">
        <v>1.2</v>
      </c>
      <c r="T22" s="48">
        <v>0.9</v>
      </c>
      <c r="U22" s="48">
        <v>0.9</v>
      </c>
      <c r="V22" s="48">
        <v>1.5</v>
      </c>
      <c r="W22" s="48">
        <v>1.1</v>
      </c>
      <c r="X22" s="48">
        <v>1.1</v>
      </c>
      <c r="Y22" s="48">
        <v>1.3</v>
      </c>
      <c r="Z22" s="48">
        <v>1</v>
      </c>
      <c r="AA22" s="48">
        <v>1.2</v>
      </c>
      <c r="AB22" s="48">
        <v>14.5</v>
      </c>
      <c r="AC22" s="48">
        <v>14.7</v>
      </c>
      <c r="AD22" s="48">
        <v>12.9</v>
      </c>
      <c r="AE22" s="48">
        <v>9.3</v>
      </c>
      <c r="AF22" s="48">
        <v>9.3</v>
      </c>
      <c r="AG22" s="48">
        <v>14.8</v>
      </c>
      <c r="AH22" s="49">
        <f t="shared" si="0"/>
        <v>35.15</v>
      </c>
      <c r="AI22" s="50">
        <f t="shared" si="1"/>
        <v>37.75</v>
      </c>
      <c r="AJ22" s="51">
        <f t="shared" si="2"/>
        <v>72.9</v>
      </c>
    </row>
    <row r="23" ht="17" customHeight="1" spans="1:36">
      <c r="A23" s="15">
        <v>16</v>
      </c>
      <c r="B23" s="15" t="s">
        <v>83</v>
      </c>
      <c r="C23" s="16" t="s">
        <v>84</v>
      </c>
      <c r="D23" s="52">
        <v>4.6</v>
      </c>
      <c r="E23" s="52">
        <v>3.4</v>
      </c>
      <c r="F23" s="52">
        <v>4.6</v>
      </c>
      <c r="G23" s="52">
        <v>2.6</v>
      </c>
      <c r="H23" s="52">
        <v>4.3</v>
      </c>
      <c r="I23" s="52">
        <v>3.9</v>
      </c>
      <c r="J23" s="52">
        <v>5</v>
      </c>
      <c r="K23" s="52">
        <v>2.8</v>
      </c>
      <c r="L23" s="52">
        <v>4.6</v>
      </c>
      <c r="M23" s="52">
        <v>4.4</v>
      </c>
      <c r="N23" s="52">
        <v>3.2</v>
      </c>
      <c r="O23" s="52">
        <v>5</v>
      </c>
      <c r="P23" s="52">
        <v>1.2</v>
      </c>
      <c r="Q23" s="52">
        <v>1.1</v>
      </c>
      <c r="R23" s="52">
        <v>1.5</v>
      </c>
      <c r="S23" s="52">
        <v>1.2</v>
      </c>
      <c r="T23" s="52">
        <v>1.7</v>
      </c>
      <c r="U23" s="52">
        <v>1.5</v>
      </c>
      <c r="V23" s="52">
        <v>1</v>
      </c>
      <c r="W23" s="52">
        <v>1.5</v>
      </c>
      <c r="X23" s="52">
        <v>1.3</v>
      </c>
      <c r="Y23" s="52">
        <v>1.1</v>
      </c>
      <c r="Z23" s="52">
        <v>1.4</v>
      </c>
      <c r="AA23" s="52">
        <v>1.4</v>
      </c>
      <c r="AB23" s="52">
        <v>9.7</v>
      </c>
      <c r="AC23" s="52">
        <v>9.5</v>
      </c>
      <c r="AD23" s="52">
        <v>10.1</v>
      </c>
      <c r="AE23" s="52">
        <v>10.1</v>
      </c>
      <c r="AF23" s="52">
        <v>8.8</v>
      </c>
      <c r="AG23" s="52">
        <v>11.3</v>
      </c>
      <c r="AH23" s="49">
        <f t="shared" si="0"/>
        <v>40.1</v>
      </c>
      <c r="AI23" s="50">
        <f t="shared" si="1"/>
        <v>29.75</v>
      </c>
      <c r="AJ23" s="51">
        <f t="shared" si="2"/>
        <v>69.85</v>
      </c>
    </row>
    <row r="24" ht="17" customHeight="1" spans="1:36">
      <c r="A24" s="8">
        <v>17</v>
      </c>
      <c r="B24" s="8" t="s">
        <v>85</v>
      </c>
      <c r="C24" s="9" t="s">
        <v>86</v>
      </c>
      <c r="D24" s="48">
        <v>3.2</v>
      </c>
      <c r="E24" s="48">
        <v>3.8</v>
      </c>
      <c r="F24" s="48">
        <v>3.3</v>
      </c>
      <c r="G24" s="48">
        <v>4.3</v>
      </c>
      <c r="H24" s="48">
        <v>3.2</v>
      </c>
      <c r="I24" s="48">
        <v>3.2</v>
      </c>
      <c r="J24" s="48">
        <v>4.6</v>
      </c>
      <c r="K24" s="48">
        <v>5</v>
      </c>
      <c r="L24" s="48">
        <v>4.2</v>
      </c>
      <c r="M24" s="48">
        <v>2.7</v>
      </c>
      <c r="N24" s="48">
        <v>4.9</v>
      </c>
      <c r="O24" s="48">
        <v>4.5</v>
      </c>
      <c r="P24" s="48">
        <v>1.6</v>
      </c>
      <c r="Q24" s="48">
        <v>1.7</v>
      </c>
      <c r="R24" s="48">
        <v>1.6</v>
      </c>
      <c r="S24" s="48">
        <v>0.9</v>
      </c>
      <c r="T24" s="48">
        <v>1.6</v>
      </c>
      <c r="U24" s="48">
        <v>1</v>
      </c>
      <c r="V24" s="48">
        <v>1.4</v>
      </c>
      <c r="W24" s="48">
        <v>1.5</v>
      </c>
      <c r="X24" s="48">
        <v>1.5</v>
      </c>
      <c r="Y24" s="48">
        <v>1.4</v>
      </c>
      <c r="Z24" s="48">
        <v>1.2</v>
      </c>
      <c r="AA24" s="48">
        <v>1.3</v>
      </c>
      <c r="AB24" s="48">
        <v>10.6</v>
      </c>
      <c r="AC24" s="48">
        <v>11.8</v>
      </c>
      <c r="AD24" s="48">
        <v>12.1</v>
      </c>
      <c r="AE24" s="48">
        <v>13.6</v>
      </c>
      <c r="AF24" s="48">
        <v>15.7</v>
      </c>
      <c r="AG24" s="48">
        <v>9.1</v>
      </c>
      <c r="AH24" s="49">
        <f t="shared" si="0"/>
        <v>40.15</v>
      </c>
      <c r="AI24" s="50">
        <f t="shared" si="1"/>
        <v>36.45</v>
      </c>
      <c r="AJ24" s="51">
        <f t="shared" si="2"/>
        <v>76.6</v>
      </c>
    </row>
    <row r="25" ht="17" customHeight="1" spans="1:36">
      <c r="A25" s="15">
        <v>18</v>
      </c>
      <c r="B25" s="15" t="s">
        <v>87</v>
      </c>
      <c r="C25" s="16" t="s">
        <v>88</v>
      </c>
      <c r="D25" s="52">
        <v>3.8</v>
      </c>
      <c r="E25" s="52">
        <v>3.2</v>
      </c>
      <c r="F25" s="52">
        <v>4.8</v>
      </c>
      <c r="G25" s="52">
        <v>3.4</v>
      </c>
      <c r="H25" s="52">
        <v>4.9</v>
      </c>
      <c r="I25" s="52">
        <v>3.3</v>
      </c>
      <c r="J25" s="52">
        <v>2.5</v>
      </c>
      <c r="K25" s="52">
        <v>4.4</v>
      </c>
      <c r="L25" s="52">
        <v>4.3</v>
      </c>
      <c r="M25" s="52">
        <v>4.3</v>
      </c>
      <c r="N25" s="52">
        <v>3.6</v>
      </c>
      <c r="O25" s="52">
        <v>4.2</v>
      </c>
      <c r="P25" s="52">
        <v>1.1</v>
      </c>
      <c r="Q25" s="52">
        <v>0.9</v>
      </c>
      <c r="R25" s="52">
        <v>1.3</v>
      </c>
      <c r="S25" s="52">
        <v>1</v>
      </c>
      <c r="T25" s="52">
        <v>1.2</v>
      </c>
      <c r="U25" s="52">
        <v>1</v>
      </c>
      <c r="V25" s="52">
        <v>1.1</v>
      </c>
      <c r="W25" s="52">
        <v>1.5</v>
      </c>
      <c r="X25" s="52">
        <v>1.1</v>
      </c>
      <c r="Y25" s="52">
        <v>1.3</v>
      </c>
      <c r="Z25" s="52">
        <v>1.3</v>
      </c>
      <c r="AA25" s="52">
        <v>1.2</v>
      </c>
      <c r="AB25" s="52">
        <v>11.2</v>
      </c>
      <c r="AC25" s="52">
        <v>14</v>
      </c>
      <c r="AD25" s="52">
        <v>8.7</v>
      </c>
      <c r="AE25" s="52">
        <v>9.2</v>
      </c>
      <c r="AF25" s="52">
        <v>14.9</v>
      </c>
      <c r="AG25" s="52">
        <v>12.2</v>
      </c>
      <c r="AH25" s="49">
        <f t="shared" si="0"/>
        <v>37.35</v>
      </c>
      <c r="AI25" s="50">
        <f t="shared" si="1"/>
        <v>35.1</v>
      </c>
      <c r="AJ25" s="51">
        <f t="shared" si="2"/>
        <v>72.45</v>
      </c>
    </row>
    <row r="26" ht="17" customHeight="1" spans="1:36">
      <c r="A26" s="8">
        <v>19</v>
      </c>
      <c r="B26" s="8" t="s">
        <v>89</v>
      </c>
      <c r="C26" s="9" t="s">
        <v>90</v>
      </c>
      <c r="D26" s="48">
        <v>2.8</v>
      </c>
      <c r="E26" s="48">
        <v>4.6</v>
      </c>
      <c r="F26" s="48">
        <v>3.6</v>
      </c>
      <c r="G26" s="48">
        <v>2.5</v>
      </c>
      <c r="H26" s="48">
        <v>4.9</v>
      </c>
      <c r="I26" s="48">
        <v>3</v>
      </c>
      <c r="J26" s="48">
        <v>4.2</v>
      </c>
      <c r="K26" s="48">
        <v>2.8</v>
      </c>
      <c r="L26" s="48">
        <v>4.1</v>
      </c>
      <c r="M26" s="48">
        <v>2.9</v>
      </c>
      <c r="N26" s="48">
        <v>4.8</v>
      </c>
      <c r="O26" s="48">
        <v>3.2</v>
      </c>
      <c r="P26" s="48">
        <v>1.4</v>
      </c>
      <c r="Q26" s="48">
        <v>1</v>
      </c>
      <c r="R26" s="48">
        <v>1.1</v>
      </c>
      <c r="S26" s="48">
        <v>1.6</v>
      </c>
      <c r="T26" s="48">
        <v>1</v>
      </c>
      <c r="U26" s="48">
        <v>1.2</v>
      </c>
      <c r="V26" s="48">
        <v>1.1</v>
      </c>
      <c r="W26" s="48">
        <v>1.4</v>
      </c>
      <c r="X26" s="48">
        <v>1</v>
      </c>
      <c r="Y26" s="48">
        <v>1.4</v>
      </c>
      <c r="Z26" s="48">
        <v>1.4</v>
      </c>
      <c r="AA26" s="48">
        <v>0.8</v>
      </c>
      <c r="AB26" s="48">
        <v>12.3</v>
      </c>
      <c r="AC26" s="48">
        <v>9.4</v>
      </c>
      <c r="AD26" s="48">
        <v>10.2</v>
      </c>
      <c r="AE26" s="48">
        <v>14</v>
      </c>
      <c r="AF26" s="48">
        <v>8.4</v>
      </c>
      <c r="AG26" s="48">
        <v>14.1</v>
      </c>
      <c r="AH26" s="49">
        <f t="shared" si="0"/>
        <v>36.1</v>
      </c>
      <c r="AI26" s="50">
        <f t="shared" si="1"/>
        <v>34.2</v>
      </c>
      <c r="AJ26" s="51">
        <f t="shared" si="2"/>
        <v>70.3</v>
      </c>
    </row>
    <row r="27" ht="17" customHeight="1" spans="1:36">
      <c r="A27" s="15">
        <v>20</v>
      </c>
      <c r="B27" s="15" t="s">
        <v>91</v>
      </c>
      <c r="C27" s="16" t="s">
        <v>92</v>
      </c>
      <c r="D27" s="52">
        <v>4.5</v>
      </c>
      <c r="E27" s="52">
        <v>5</v>
      </c>
      <c r="F27" s="52">
        <v>3.6</v>
      </c>
      <c r="G27" s="52">
        <v>2.8</v>
      </c>
      <c r="H27" s="52">
        <v>2.7</v>
      </c>
      <c r="I27" s="52">
        <v>3.5</v>
      </c>
      <c r="J27" s="52">
        <v>4.3</v>
      </c>
      <c r="K27" s="52">
        <v>2.8</v>
      </c>
      <c r="L27" s="52">
        <v>3.3</v>
      </c>
      <c r="M27" s="52">
        <v>4.7</v>
      </c>
      <c r="N27" s="52">
        <v>2.8</v>
      </c>
      <c r="O27" s="52">
        <v>4.4</v>
      </c>
      <c r="P27" s="52">
        <v>1.5</v>
      </c>
      <c r="Q27" s="52">
        <v>0.9</v>
      </c>
      <c r="R27" s="52">
        <v>1.7</v>
      </c>
      <c r="S27" s="52">
        <v>1</v>
      </c>
      <c r="T27" s="52">
        <v>1.3</v>
      </c>
      <c r="U27" s="52">
        <v>0.8</v>
      </c>
      <c r="V27" s="52">
        <v>1.4</v>
      </c>
      <c r="W27" s="52">
        <v>1.2</v>
      </c>
      <c r="X27" s="52">
        <v>1.4</v>
      </c>
      <c r="Y27" s="52">
        <v>1.4</v>
      </c>
      <c r="Z27" s="52">
        <v>1</v>
      </c>
      <c r="AA27" s="52">
        <v>1.2</v>
      </c>
      <c r="AB27" s="52">
        <v>14.1</v>
      </c>
      <c r="AC27" s="52">
        <v>15.5</v>
      </c>
      <c r="AD27" s="52">
        <v>9.1</v>
      </c>
      <c r="AE27" s="52">
        <v>9.2</v>
      </c>
      <c r="AF27" s="52">
        <v>14.6</v>
      </c>
      <c r="AG27" s="52">
        <v>13.2</v>
      </c>
      <c r="AH27" s="49">
        <f t="shared" si="0"/>
        <v>37</v>
      </c>
      <c r="AI27" s="50">
        <f t="shared" si="1"/>
        <v>37.85</v>
      </c>
      <c r="AJ27" s="51">
        <f t="shared" si="2"/>
        <v>74.85</v>
      </c>
    </row>
    <row r="28" ht="15.15"/>
    <row r="29" ht="20" customHeight="1" spans="1:36">
      <c r="A29" s="28" t="s">
        <v>93</v>
      </c>
      <c r="D29" s="53">
        <f t="shared" ref="D29:AJ29" si="3">AVERAGE(D8:D27)</f>
        <v>3.545</v>
      </c>
      <c r="E29" s="53">
        <f t="shared" si="3"/>
        <v>3.945</v>
      </c>
      <c r="F29" s="53">
        <f t="shared" si="3"/>
        <v>3.675</v>
      </c>
      <c r="G29" s="53">
        <f t="shared" si="3"/>
        <v>3.565</v>
      </c>
      <c r="H29" s="53">
        <f t="shared" si="3"/>
        <v>3.72</v>
      </c>
      <c r="I29" s="53">
        <f t="shared" si="3"/>
        <v>3.66</v>
      </c>
      <c r="J29" s="53">
        <f t="shared" si="3"/>
        <v>3.725</v>
      </c>
      <c r="K29" s="53">
        <f t="shared" si="3"/>
        <v>3.765</v>
      </c>
      <c r="L29" s="53">
        <f t="shared" si="3"/>
        <v>3.835</v>
      </c>
      <c r="M29" s="53">
        <f t="shared" si="3"/>
        <v>4.155</v>
      </c>
      <c r="N29" s="53">
        <f t="shared" si="3"/>
        <v>3.795</v>
      </c>
      <c r="O29" s="53">
        <f t="shared" si="3"/>
        <v>3.935</v>
      </c>
      <c r="P29" s="53">
        <f t="shared" si="3"/>
        <v>1.225</v>
      </c>
      <c r="Q29" s="53">
        <f t="shared" si="3"/>
        <v>1.15</v>
      </c>
      <c r="R29" s="53">
        <f t="shared" si="3"/>
        <v>1.275</v>
      </c>
      <c r="S29" s="53">
        <f t="shared" si="3"/>
        <v>1.26</v>
      </c>
      <c r="T29" s="53">
        <f t="shared" si="3"/>
        <v>1.215</v>
      </c>
      <c r="U29" s="53">
        <f t="shared" si="3"/>
        <v>1.18</v>
      </c>
      <c r="V29" s="53">
        <f t="shared" si="3"/>
        <v>1.175</v>
      </c>
      <c r="W29" s="53">
        <f t="shared" si="3"/>
        <v>1.355</v>
      </c>
      <c r="X29" s="53">
        <f t="shared" si="3"/>
        <v>1.27</v>
      </c>
      <c r="Y29" s="53">
        <f t="shared" si="3"/>
        <v>1.24</v>
      </c>
      <c r="Z29" s="53">
        <f t="shared" si="3"/>
        <v>1.21</v>
      </c>
      <c r="AA29" s="53">
        <f t="shared" si="3"/>
        <v>1.245</v>
      </c>
      <c r="AB29" s="53">
        <f t="shared" si="3"/>
        <v>12.23</v>
      </c>
      <c r="AC29" s="53">
        <f t="shared" si="3"/>
        <v>13.13</v>
      </c>
      <c r="AD29" s="53">
        <f t="shared" si="3"/>
        <v>12.48</v>
      </c>
      <c r="AE29" s="53">
        <f t="shared" si="3"/>
        <v>12.78</v>
      </c>
      <c r="AF29" s="53">
        <f t="shared" si="3"/>
        <v>13.025</v>
      </c>
      <c r="AG29" s="53">
        <f t="shared" si="3"/>
        <v>12.09</v>
      </c>
      <c r="AH29" s="43">
        <f t="shared" si="3"/>
        <v>37.46</v>
      </c>
      <c r="AI29" s="43">
        <f t="shared" si="3"/>
        <v>37.8675</v>
      </c>
      <c r="AJ29" s="43">
        <f t="shared" si="3"/>
        <v>75.3275</v>
      </c>
    </row>
    <row r="30" ht="15.15"/>
    <row r="31" ht="22" customHeight="1" spans="1:36">
      <c r="A31" s="31" t="s">
        <v>94</v>
      </c>
      <c r="D31" s="54">
        <f t="shared" ref="D31:I31" si="4">IFERROR((D29/D6+J29/J6+P29/P6+V29/V6+AB29/AB6)/5,0)</f>
        <v>0.724955803569825</v>
      </c>
      <c r="E31" s="54">
        <f t="shared" si="4"/>
        <v>0.76592849430114</v>
      </c>
      <c r="F31" s="54">
        <f t="shared" si="4"/>
        <v>0.754920473150879</v>
      </c>
      <c r="G31" s="54">
        <f t="shared" si="4"/>
        <v>0.761530531737964</v>
      </c>
      <c r="H31" s="54">
        <f t="shared" si="4"/>
        <v>0.747287907927397</v>
      </c>
      <c r="I31" s="54">
        <f t="shared" si="4"/>
        <v>0.739270151478686</v>
      </c>
    </row>
    <row r="32" ht="22" customHeight="1" spans="1:36">
      <c r="A32" s="30" t="s">
        <v>95</v>
      </c>
      <c r="D32" s="55">
        <f t="shared" ref="D32:I32" si="5">IF(D31&gt;=0.6,3,IF(D31&gt;=0.4,2,1))</f>
        <v>3</v>
      </c>
      <c r="E32" s="55">
        <f t="shared" si="5"/>
        <v>3</v>
      </c>
      <c r="F32" s="55">
        <f t="shared" si="5"/>
        <v>3</v>
      </c>
      <c r="G32" s="55">
        <f t="shared" si="5"/>
        <v>3</v>
      </c>
      <c r="H32" s="55">
        <f t="shared" si="5"/>
        <v>3</v>
      </c>
      <c r="I32" s="55">
        <f t="shared" si="5"/>
        <v>3</v>
      </c>
    </row>
    <row r="33" ht="20" customHeight="1" spans="1:9">
      <c r="A33" s="29" t="s">
        <v>96</v>
      </c>
      <c r="D33" s="56">
        <f t="shared" ref="D33:I33" si="6">IFERROR((D29/D6+J29/J6+P29/P6+V29/V6)/4,0)</f>
        <v>0.722781437125749</v>
      </c>
      <c r="E33" s="56">
        <f t="shared" si="6"/>
        <v>0.7605</v>
      </c>
      <c r="F33" s="56">
        <f t="shared" si="6"/>
        <v>0.756488023952096</v>
      </c>
      <c r="G33" s="56">
        <f t="shared" si="6"/>
        <v>0.760251497005988</v>
      </c>
      <c r="H33" s="56">
        <f t="shared" si="6"/>
        <v>0.738773952095808</v>
      </c>
      <c r="I33" s="56">
        <f t="shared" si="6"/>
        <v>0.742773952095808</v>
      </c>
    </row>
    <row r="34" ht="20" customHeight="1" spans="1:9">
      <c r="A34" s="30" t="s">
        <v>97</v>
      </c>
      <c r="D34" s="57">
        <f t="shared" ref="D34:I34" si="7">IFERROR(AB29/AB6,0)</f>
        <v>0.733653269346131</v>
      </c>
      <c r="E34" s="57">
        <f t="shared" si="7"/>
        <v>0.787642471505699</v>
      </c>
      <c r="F34" s="57">
        <f t="shared" si="7"/>
        <v>0.748650269946011</v>
      </c>
      <c r="G34" s="57">
        <f t="shared" si="7"/>
        <v>0.766646670665867</v>
      </c>
      <c r="H34" s="57">
        <f t="shared" si="7"/>
        <v>0.781343731253749</v>
      </c>
      <c r="I34" s="57">
        <f t="shared" si="7"/>
        <v>0.725254949010198</v>
      </c>
    </row>
    <row r="35" ht="15.15"/>
    <row r="36" ht="18" customHeight="1" spans="1:9">
      <c r="A36" s="28" t="s">
        <v>98</v>
      </c>
      <c r="D36" s="58">
        <f>(D33+E33+F33+G33+H33+I33)/6</f>
        <v>0.746928143712575</v>
      </c>
      <c r="E36" s="59">
        <f>(D34+E34+F34+G34+H34+I34)/6</f>
        <v>0.757198560287942</v>
      </c>
      <c r="F36" s="54">
        <f>(D31+E31+F31+G31+H31+I31)/6</f>
        <v>0.748982227027648</v>
      </c>
    </row>
  </sheetData>
  <mergeCells count="16">
    <mergeCell ref="A1:AJ1"/>
    <mergeCell ref="A2:AJ2"/>
    <mergeCell ref="A4:C4"/>
    <mergeCell ref="D4:I4"/>
    <mergeCell ref="J4:O4"/>
    <mergeCell ref="P4:U4"/>
    <mergeCell ref="V4:AA4"/>
    <mergeCell ref="AB4:AG4"/>
    <mergeCell ref="A6:C6"/>
    <mergeCell ref="A7:C7"/>
    <mergeCell ref="A29:C29"/>
    <mergeCell ref="A31:C31"/>
    <mergeCell ref="A32:C32"/>
    <mergeCell ref="A33:C33"/>
    <mergeCell ref="A34:C34"/>
    <mergeCell ref="A36:C3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showGridLines="0" workbookViewId="0">
      <selection activeCell="A1" sqref="A1:L1"/>
    </sheetView>
  </sheetViews>
  <sheetFormatPr defaultColWidth="9" defaultRowHeight="14.4"/>
  <cols>
    <col min="1" max="1" width="5" customWidth="1"/>
    <col min="2" max="2" width="34" customWidth="1"/>
    <col min="3" max="3" width="10" customWidth="1"/>
    <col min="4" max="12" width="11" customWidth="1"/>
  </cols>
  <sheetData>
    <row r="1" ht="38" customHeight="1" spans="1:12">
      <c r="A1" s="1" t="s">
        <v>103</v>
      </c>
    </row>
    <row r="2" ht="20" customHeight="1" spans="1:12">
      <c r="A2" s="2" t="s">
        <v>104</v>
      </c>
    </row>
    <row r="3" ht="8" customHeight="1"/>
    <row r="4" ht="26" customHeight="1" spans="1:12">
      <c r="A4" s="3" t="s">
        <v>6</v>
      </c>
      <c r="B4" s="4" t="s">
        <v>7</v>
      </c>
      <c r="C4" s="4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6" t="s">
        <v>15</v>
      </c>
      <c r="K4" s="5" t="s">
        <v>16</v>
      </c>
      <c r="L4" s="7" t="s">
        <v>17</v>
      </c>
    </row>
    <row r="5" ht="22" customHeight="1" spans="1:12">
      <c r="A5" s="8">
        <v>1</v>
      </c>
      <c r="B5" s="9" t="s">
        <v>22</v>
      </c>
      <c r="C5" s="8" t="s">
        <v>23</v>
      </c>
      <c r="D5" s="10">
        <f>CS301!D31</f>
        <v>0.7661</v>
      </c>
      <c r="E5" s="10">
        <f>CS301!E31</f>
        <v>0.735566666666667</v>
      </c>
      <c r="F5" s="10">
        <f>CS301!F31</f>
        <v>0.746133333333333</v>
      </c>
      <c r="G5" s="10">
        <f>CS301!G31</f>
        <v>0.757566666666667</v>
      </c>
      <c r="H5" s="10">
        <f>CS301!H31</f>
        <v>0.745166666666667</v>
      </c>
      <c r="I5" s="11" t="s">
        <v>24</v>
      </c>
      <c r="J5" s="12">
        <f>CS301!D36</f>
        <v>0.744583333333333</v>
      </c>
      <c r="K5" s="13">
        <f>CS301!E36</f>
        <v>0.7722</v>
      </c>
      <c r="L5" s="14">
        <f>CS301!F36</f>
        <v>0.750106666666667</v>
      </c>
    </row>
    <row r="6" ht="22" customHeight="1" spans="1:12">
      <c r="A6" s="15">
        <v>2</v>
      </c>
      <c r="B6" s="16" t="s">
        <v>25</v>
      </c>
      <c r="C6" s="15" t="s">
        <v>26</v>
      </c>
      <c r="D6" s="10">
        <f>CS302!D31</f>
        <v>0.786516666666667</v>
      </c>
      <c r="E6" s="10">
        <f>CS302!E31</f>
        <v>0.753916666666667</v>
      </c>
      <c r="F6" s="10">
        <f>CS302!F31</f>
        <v>0.762366666666667</v>
      </c>
      <c r="G6" s="10">
        <f>CS302!G31</f>
        <v>0.739933333333333</v>
      </c>
      <c r="H6" s="10">
        <f>CS302!H31</f>
        <v>0.76485</v>
      </c>
      <c r="I6" s="17" t="s">
        <v>24</v>
      </c>
      <c r="J6" s="12">
        <f>CS302!D36</f>
        <v>0.754583333333333</v>
      </c>
      <c r="K6" s="13">
        <f>CS302!E36</f>
        <v>0.78925</v>
      </c>
      <c r="L6" s="14">
        <f>CS302!F36</f>
        <v>0.761516666666667</v>
      </c>
    </row>
    <row r="7" ht="22" customHeight="1" spans="1:12">
      <c r="A7" s="8">
        <v>3</v>
      </c>
      <c r="B7" s="9" t="s">
        <v>27</v>
      </c>
      <c r="C7" s="8" t="s">
        <v>28</v>
      </c>
      <c r="D7" s="10">
        <f>CS303!D31</f>
        <v>0.746566666666667</v>
      </c>
      <c r="E7" s="10">
        <f>CS303!E31</f>
        <v>0.7323</v>
      </c>
      <c r="F7" s="10">
        <f>CS303!F31</f>
        <v>0.7726</v>
      </c>
      <c r="G7" s="10">
        <f>CS303!G31</f>
        <v>0.736983333333333</v>
      </c>
      <c r="H7" s="10">
        <f>CS303!H31</f>
        <v>0.73045</v>
      </c>
      <c r="I7" s="11" t="s">
        <v>24</v>
      </c>
      <c r="J7" s="12">
        <f>CS303!D36</f>
        <v>0.740125</v>
      </c>
      <c r="K7" s="13">
        <f>CS303!E36</f>
        <v>0.7584</v>
      </c>
      <c r="L7" s="14">
        <f>CS303!F36</f>
        <v>0.74378</v>
      </c>
    </row>
    <row r="8" ht="22" customHeight="1" spans="1:12">
      <c r="A8" s="15">
        <v>4</v>
      </c>
      <c r="B8" s="16" t="s">
        <v>29</v>
      </c>
      <c r="C8" s="15" t="s">
        <v>30</v>
      </c>
      <c r="D8" s="10">
        <f>CS304!D31</f>
        <v>0.758566666666667</v>
      </c>
      <c r="E8" s="10">
        <f>CS304!E31</f>
        <v>0.77585</v>
      </c>
      <c r="F8" s="10">
        <f>CS304!F31</f>
        <v>0.735433333333333</v>
      </c>
      <c r="G8" s="10">
        <f>CS304!G31</f>
        <v>0.744283333333333</v>
      </c>
      <c r="H8" s="10">
        <f>CS304!H31</f>
        <v>0.754533333333333</v>
      </c>
      <c r="I8" s="17" t="s">
        <v>24</v>
      </c>
      <c r="J8" s="12">
        <f>CS304!D36</f>
        <v>0.753166666666667</v>
      </c>
      <c r="K8" s="13">
        <f>CS304!E36</f>
        <v>0.756</v>
      </c>
      <c r="L8" s="14">
        <f>CS304!F36</f>
        <v>0.753733333333333</v>
      </c>
    </row>
    <row r="9" ht="22" customHeight="1" spans="1:12">
      <c r="A9" s="8">
        <v>5</v>
      </c>
      <c r="B9" s="9" t="s">
        <v>31</v>
      </c>
      <c r="C9" s="8" t="s">
        <v>32</v>
      </c>
      <c r="D9" s="10">
        <f>CS305!D31</f>
        <v>0.724955803569825</v>
      </c>
      <c r="E9" s="10">
        <f>CS305!E31</f>
        <v>0.76592849430114</v>
      </c>
      <c r="F9" s="10">
        <f>CS305!F31</f>
        <v>0.754920473150879</v>
      </c>
      <c r="G9" s="10">
        <f>CS305!G31</f>
        <v>0.761530531737964</v>
      </c>
      <c r="H9" s="10">
        <f>CS305!H31</f>
        <v>0.747287907927397</v>
      </c>
      <c r="I9" s="10">
        <f>CS305!I31</f>
        <v>0.739270151478686</v>
      </c>
      <c r="J9" s="12">
        <f>CS305!D36</f>
        <v>0.746928143712575</v>
      </c>
      <c r="K9" s="13">
        <f>CS305!E36</f>
        <v>0.757198560287942</v>
      </c>
      <c r="L9" s="14">
        <f>CS305!F36</f>
        <v>0.748982227027648</v>
      </c>
    </row>
    <row r="10" ht="15.15"/>
    <row r="11" ht="22" customHeight="1" spans="1:12">
      <c r="A11" s="18" t="s">
        <v>33</v>
      </c>
      <c r="D11" s="19">
        <f t="shared" ref="D11:L11" si="0">IFERROR(AVERAGEIF(D5:D9,"&lt;&gt;—"),"")</f>
        <v>0.756541160713965</v>
      </c>
      <c r="E11" s="20">
        <f t="shared" si="0"/>
        <v>0.752712365526895</v>
      </c>
      <c r="F11" s="20">
        <f t="shared" si="0"/>
        <v>0.754290761296842</v>
      </c>
      <c r="G11" s="20">
        <f t="shared" si="0"/>
        <v>0.748059439680926</v>
      </c>
      <c r="H11" s="20">
        <f t="shared" si="0"/>
        <v>0.748457581585479</v>
      </c>
      <c r="I11" s="20">
        <f t="shared" si="0"/>
        <v>0.739270151478686</v>
      </c>
      <c r="J11" s="20">
        <f t="shared" si="0"/>
        <v>0.747877295409182</v>
      </c>
      <c r="K11" s="20">
        <f t="shared" si="0"/>
        <v>0.766609712057588</v>
      </c>
      <c r="L11" s="20">
        <f t="shared" si="0"/>
        <v>0.751623778738863</v>
      </c>
    </row>
  </sheetData>
  <mergeCells count="3">
    <mergeCell ref="A1:L1"/>
    <mergeCell ref="A2:L2"/>
    <mergeCell ref="A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 Dashboard</vt:lpstr>
      <vt:lpstr>CS301</vt:lpstr>
      <vt:lpstr>CS302</vt:lpstr>
      <vt:lpstr>CS303</vt:lpstr>
      <vt:lpstr>CS304</vt:lpstr>
      <vt:lpstr>CS305</vt:lpstr>
      <vt:lpstr>CO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dcterms:created xsi:type="dcterms:W3CDTF">2026-04-25T06:18:00Z</dcterms:created>
  <dcterms:modified xsi:type="dcterms:W3CDTF">2026-05-07T08:43:00Z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64334D79692B47A68EE6184EE1A788FB_12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