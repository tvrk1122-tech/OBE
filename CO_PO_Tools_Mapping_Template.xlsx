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esholds" sheetId="1" state="visible" r:id="rId1"/>
    <sheet xmlns:r="http://schemas.openxmlformats.org/officeDocument/2006/relationships" name="Tool_Catalog" sheetId="2" state="visible" r:id="rId2"/>
    <sheet xmlns:r="http://schemas.openxmlformats.org/officeDocument/2006/relationships" name="CO_List" sheetId="3" state="visible" r:id="rId3"/>
    <sheet xmlns:r="http://schemas.openxmlformats.org/officeDocument/2006/relationships" name="CO_PO_Tools" sheetId="4" state="visible" r:id="rId4"/>
    <sheet xmlns:r="http://schemas.openxmlformats.org/officeDocument/2006/relationships" name="Summary_Matrix" sheetId="5" state="visible" r:id="rId5"/>
    <sheet xmlns:r="http://schemas.openxmlformats.org/officeDocument/2006/relationships" name="ReadM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2EFDA"/>
        <bgColor rgb="FFE2EFDA"/>
      </patternFill>
    </fill>
  </fills>
  <borders count="2">
    <border>
      <left/>
      <right/>
      <top/>
      <bottom/>
      <diagonal/>
    </border>
    <border>
      <left style="thin">
        <color rgb="FFAAAAAA"/>
      </left>
      <right style="thin">
        <color rgb="FFAAAAAA"/>
      </right>
      <top style="thin">
        <color rgb="FFAAAAAA"/>
      </top>
      <bottom style="thin">
        <color rgb="FF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28" customWidth="1" min="2" max="2"/>
    <col width="16" customWidth="1" min="3" max="3"/>
  </cols>
  <sheetData>
    <row r="1">
      <c r="A1" s="1" t="inlineStr">
        <is>
          <t>Level</t>
        </is>
      </c>
      <c r="B1" s="1" t="inlineStr">
        <is>
          <t>Number of Assessment Tools</t>
        </is>
      </c>
      <c r="C1" s="1" t="inlineStr">
        <is>
          <t>Mapping Value</t>
        </is>
      </c>
    </row>
    <row r="2">
      <c r="A2" s="2" t="inlineStr">
        <is>
          <t>No Mapping (–)</t>
        </is>
      </c>
      <c r="B2" s="2" t="inlineStr">
        <is>
          <t>0 tools</t>
        </is>
      </c>
      <c r="C2" s="2" t="inlineStr">
        <is>
          <t>–</t>
        </is>
      </c>
    </row>
    <row r="3">
      <c r="A3" s="2" t="inlineStr">
        <is>
          <t>Low (1)</t>
        </is>
      </c>
      <c r="B3" s="2" t="inlineStr">
        <is>
          <t>1–2 tools</t>
        </is>
      </c>
      <c r="C3" s="2" t="n">
        <v>1</v>
      </c>
    </row>
    <row r="4">
      <c r="A4" s="2" t="inlineStr">
        <is>
          <t>Medium (2)</t>
        </is>
      </c>
      <c r="B4" s="2" t="inlineStr">
        <is>
          <t>3 tools</t>
        </is>
      </c>
      <c r="C4" s="2" t="n">
        <v>2</v>
      </c>
    </row>
    <row r="5">
      <c r="A5" s="2" t="inlineStr">
        <is>
          <t>High (3)</t>
        </is>
      </c>
      <c r="B5" s="2" t="inlineStr">
        <is>
          <t>≥ 4 tools</t>
        </is>
      </c>
      <c r="C5" s="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48" customWidth="1" min="1" max="1"/>
  </cols>
  <sheetData>
    <row r="1">
      <c r="A1" s="1" t="n"/>
    </row>
    <row r="2">
      <c r="A2" s="2" t="inlineStr">
        <is>
          <t>Standard Assessment Tool Names (edit/add as needed)</t>
        </is>
      </c>
    </row>
    <row r="3">
      <c r="A3" s="2" t="inlineStr">
        <is>
          <t>Mid-term test</t>
        </is>
      </c>
    </row>
    <row r="4">
      <c r="A4" s="2" t="inlineStr">
        <is>
          <t>End-term test</t>
        </is>
      </c>
    </row>
    <row r="5">
      <c r="A5" s="2" t="inlineStr">
        <is>
          <t>Class test</t>
        </is>
      </c>
    </row>
    <row r="6">
      <c r="A6" s="2" t="inlineStr">
        <is>
          <t>Surprise quiz/test</t>
        </is>
      </c>
    </row>
    <row r="7">
      <c r="A7" s="2" t="inlineStr">
        <is>
          <t>Oral/Viva</t>
        </is>
      </c>
    </row>
    <row r="8">
      <c r="A8" s="2" t="inlineStr">
        <is>
          <t>CIA – Assignment</t>
        </is>
      </c>
    </row>
    <row r="9">
      <c r="A9" s="2" t="inlineStr">
        <is>
          <t>CIA – Lab/Practical</t>
        </is>
      </c>
    </row>
    <row r="10">
      <c r="A10" s="2" t="inlineStr">
        <is>
          <t>Course exit survey</t>
        </is>
      </c>
    </row>
    <row r="11">
      <c r="A11" s="2" t="inlineStr">
        <is>
          <t>University theory exam</t>
        </is>
      </c>
    </row>
    <row r="12">
      <c r="A12" s="2" t="inlineStr">
        <is>
          <t>University practical exam</t>
        </is>
      </c>
    </row>
    <row r="13">
      <c r="A13" s="2" t="inlineStr">
        <is>
          <t>External feedback – Alumni</t>
        </is>
      </c>
    </row>
    <row r="14">
      <c r="A14" s="2" t="inlineStr">
        <is>
          <t>External feedback – Employer</t>
        </is>
      </c>
    </row>
    <row r="15">
      <c r="A15" s="2" t="inlineStr">
        <is>
          <t>Skill/Activity – Guest lecture</t>
        </is>
      </c>
    </row>
    <row r="16">
      <c r="A16" s="2" t="inlineStr">
        <is>
          <t>Skill/Activity – Workshop</t>
        </is>
      </c>
    </row>
    <row r="17">
      <c r="A17" s="2" t="inlineStr">
        <is>
          <t>Skill/Activity – Seminar</t>
        </is>
      </c>
    </row>
    <row r="18">
      <c r="A18" s="2" t="inlineStr">
        <is>
          <t>Skill/Activity – Case study</t>
        </is>
      </c>
    </row>
    <row r="19">
      <c r="A19" s="2" t="inlineStr">
        <is>
          <t>Skill/Activity – Mini/Minor Project</t>
        </is>
      </c>
    </row>
    <row r="20">
      <c r="A20" t="inlineStr">
        <is>
          <t>Skill/Activity – Industrial visit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0" customWidth="1" min="1" max="1"/>
    <col width="40" customWidth="1" min="2" max="2"/>
    <col width="40" customWidth="1" min="3" max="3"/>
  </cols>
  <sheetData>
    <row r="1">
      <c r="A1" s="1" t="inlineStr">
        <is>
          <t>CO</t>
        </is>
      </c>
      <c r="B1" s="1" t="inlineStr">
        <is>
          <t>Title/Short Description</t>
        </is>
      </c>
      <c r="C1" s="1" t="inlineStr">
        <is>
          <t>Notes</t>
        </is>
      </c>
    </row>
    <row r="2">
      <c r="A2" s="2" t="inlineStr">
        <is>
          <t>CO1</t>
        </is>
      </c>
      <c r="B2" s="2" t="inlineStr"/>
      <c r="C2" s="2" t="inlineStr"/>
    </row>
    <row r="3">
      <c r="A3" s="2" t="inlineStr">
        <is>
          <t>CO2</t>
        </is>
      </c>
      <c r="B3" s="2" t="inlineStr"/>
      <c r="C3" s="2" t="inlineStr"/>
    </row>
    <row r="4">
      <c r="A4" s="2" t="inlineStr">
        <is>
          <t>CO3</t>
        </is>
      </c>
      <c r="B4" s="2" t="inlineStr"/>
      <c r="C4" s="2" t="inlineStr"/>
    </row>
    <row r="5">
      <c r="A5" s="2" t="inlineStr">
        <is>
          <t>CO4</t>
        </is>
      </c>
      <c r="B5" s="2" t="inlineStr"/>
      <c r="C5" s="2" t="inlineStr"/>
    </row>
    <row r="6">
      <c r="A6" s="2" t="inlineStr">
        <is>
          <t>CO5</t>
        </is>
      </c>
      <c r="B6" s="2" t="inlineStr"/>
      <c r="C6" s="2" t="inlineStr"/>
    </row>
    <row r="7">
      <c r="A7" s="2" t="inlineStr">
        <is>
          <t>CO6</t>
        </is>
      </c>
      <c r="B7" s="2" t="inlineStr"/>
      <c r="C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3"/>
  <sheetViews>
    <sheetView workbookViewId="0">
      <selection activeCell="A1" sqref="A1"/>
    </sheetView>
  </sheetViews>
  <sheetFormatPr baseColWidth="8" defaultRowHeight="15"/>
  <cols>
    <col width="8" customWidth="1" min="1" max="1"/>
    <col width="8"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18" customWidth="1" min="11" max="11"/>
    <col width="22" customWidth="1" min="12" max="12"/>
  </cols>
  <sheetData>
    <row r="1">
      <c r="A1" s="1" t="inlineStr">
        <is>
          <t>CO</t>
        </is>
      </c>
      <c r="B1" s="1" t="inlineStr">
        <is>
          <t>PO</t>
        </is>
      </c>
      <c r="C1" s="1" t="inlineStr">
        <is>
          <t>Tool1</t>
        </is>
      </c>
      <c r="D1" s="1" t="inlineStr">
        <is>
          <t>Tool2</t>
        </is>
      </c>
      <c r="E1" s="1" t="inlineStr">
        <is>
          <t>Tool3</t>
        </is>
      </c>
      <c r="F1" s="1" t="inlineStr">
        <is>
          <t>Tool4</t>
        </is>
      </c>
      <c r="G1" s="1" t="inlineStr">
        <is>
          <t>Tool5</t>
        </is>
      </c>
      <c r="H1" s="1" t="inlineStr">
        <is>
          <t>Tool6</t>
        </is>
      </c>
      <c r="I1" s="1" t="inlineStr">
        <is>
          <t>Tool7</t>
        </is>
      </c>
      <c r="J1" s="1" t="inlineStr">
        <is>
          <t>Tool8</t>
        </is>
      </c>
      <c r="K1" s="1" t="inlineStr">
        <is>
          <t>Unique Tool Count</t>
        </is>
      </c>
      <c r="L1" s="1" t="inlineStr">
        <is>
          <t>Mapping Value (–/1/2/3)</t>
        </is>
      </c>
    </row>
    <row r="2">
      <c r="A2" s="2" t="inlineStr">
        <is>
          <t>CO1</t>
        </is>
      </c>
      <c r="B2" s="2" t="inlineStr">
        <is>
          <t>PO1</t>
        </is>
      </c>
      <c r="C2" s="2" t="inlineStr"/>
      <c r="D2" s="2" t="inlineStr"/>
      <c r="E2" s="2" t="inlineStr"/>
      <c r="F2" s="2" t="inlineStr"/>
      <c r="G2" s="2" t="inlineStr"/>
      <c r="H2" s="2" t="inlineStr"/>
      <c r="I2" s="2" t="inlineStr"/>
      <c r="J2" s="2" t="inlineStr"/>
      <c r="K2" s="2">
        <f>IFERROR(COUNTA(UNIQUE(C2:J2)),0)</f>
        <v/>
      </c>
      <c r="L2" s="2">
        <f>IF(K2=0,"–",IF(K2&lt;=2,1,IF(K2=3,2,3)))</f>
        <v/>
      </c>
    </row>
    <row r="3">
      <c r="A3" s="2" t="inlineStr">
        <is>
          <t>CO1</t>
        </is>
      </c>
      <c r="B3" s="2" t="inlineStr">
        <is>
          <t>PO2</t>
        </is>
      </c>
      <c r="C3" s="2" t="inlineStr"/>
      <c r="D3" s="2" t="inlineStr"/>
      <c r="E3" s="2" t="inlineStr"/>
      <c r="F3" s="2" t="inlineStr"/>
      <c r="G3" s="2" t="inlineStr"/>
      <c r="H3" s="2" t="inlineStr"/>
      <c r="I3" s="2" t="inlineStr"/>
      <c r="J3" s="2" t="inlineStr"/>
      <c r="K3" s="2">
        <f>IFERROR(COUNTA(UNIQUE(C3:J3)),0)</f>
        <v/>
      </c>
      <c r="L3" s="2">
        <f>IF(K3=0,"–",IF(K3&lt;=2,1,IF(K3=3,2,3)))</f>
        <v/>
      </c>
    </row>
    <row r="4">
      <c r="A4" s="2" t="inlineStr">
        <is>
          <t>CO1</t>
        </is>
      </c>
      <c r="B4" s="2" t="inlineStr">
        <is>
          <t>PO3</t>
        </is>
      </c>
      <c r="C4" s="2" t="inlineStr"/>
      <c r="D4" s="2" t="inlineStr"/>
      <c r="E4" s="2" t="inlineStr"/>
      <c r="F4" s="2" t="inlineStr"/>
      <c r="G4" s="2" t="inlineStr"/>
      <c r="H4" s="2" t="inlineStr"/>
      <c r="I4" s="2" t="inlineStr"/>
      <c r="J4" s="2" t="inlineStr"/>
      <c r="K4" s="2">
        <f>IFERROR(COUNTA(UNIQUE(C4:J4)),0)</f>
        <v/>
      </c>
      <c r="L4" s="2">
        <f>IF(K4=0,"–",IF(K4&lt;=2,1,IF(K4=3,2,3)))</f>
        <v/>
      </c>
    </row>
    <row r="5">
      <c r="A5" s="2" t="inlineStr">
        <is>
          <t>CO1</t>
        </is>
      </c>
      <c r="B5" s="2" t="inlineStr">
        <is>
          <t>PO4</t>
        </is>
      </c>
      <c r="C5" s="2" t="inlineStr"/>
      <c r="D5" s="2" t="inlineStr"/>
      <c r="E5" s="2" t="inlineStr"/>
      <c r="F5" s="2" t="inlineStr"/>
      <c r="G5" s="2" t="inlineStr"/>
      <c r="H5" s="2" t="inlineStr"/>
      <c r="I5" s="2" t="inlineStr"/>
      <c r="J5" s="2" t="inlineStr"/>
      <c r="K5" s="2">
        <f>IFERROR(COUNTA(UNIQUE(C5:J5)),0)</f>
        <v/>
      </c>
      <c r="L5" s="2">
        <f>IF(K5=0,"–",IF(K5&lt;=2,1,IF(K5=3,2,3)))</f>
        <v/>
      </c>
    </row>
    <row r="6">
      <c r="A6" s="2" t="inlineStr">
        <is>
          <t>CO1</t>
        </is>
      </c>
      <c r="B6" s="2" t="inlineStr">
        <is>
          <t>PO5</t>
        </is>
      </c>
      <c r="C6" s="2" t="inlineStr"/>
      <c r="D6" s="2" t="inlineStr"/>
      <c r="E6" s="2" t="inlineStr"/>
      <c r="F6" s="2" t="inlineStr"/>
      <c r="G6" s="2" t="inlineStr"/>
      <c r="H6" s="2" t="inlineStr"/>
      <c r="I6" s="2" t="inlineStr"/>
      <c r="J6" s="2" t="inlineStr"/>
      <c r="K6" s="2">
        <f>IFERROR(COUNTA(UNIQUE(C6:J6)),0)</f>
        <v/>
      </c>
      <c r="L6" s="2">
        <f>IF(K6=0,"–",IF(K6&lt;=2,1,IF(K6=3,2,3)))</f>
        <v/>
      </c>
    </row>
    <row r="7">
      <c r="A7" s="2" t="inlineStr">
        <is>
          <t>CO1</t>
        </is>
      </c>
      <c r="B7" s="2" t="inlineStr">
        <is>
          <t>PO6</t>
        </is>
      </c>
      <c r="C7" s="2" t="inlineStr"/>
      <c r="D7" s="2" t="inlineStr"/>
      <c r="E7" s="2" t="inlineStr"/>
      <c r="F7" s="2" t="inlineStr"/>
      <c r="G7" s="2" t="inlineStr"/>
      <c r="H7" s="2" t="inlineStr"/>
      <c r="I7" s="2" t="inlineStr"/>
      <c r="J7" s="2" t="inlineStr"/>
      <c r="K7" s="2">
        <f>IFERROR(COUNTA(UNIQUE(C7:J7)),0)</f>
        <v/>
      </c>
      <c r="L7" s="2">
        <f>IF(K7=0,"–",IF(K7&lt;=2,1,IF(K7=3,2,3)))</f>
        <v/>
      </c>
    </row>
    <row r="8">
      <c r="A8" s="2" t="inlineStr">
        <is>
          <t>CO1</t>
        </is>
      </c>
      <c r="B8" s="2" t="inlineStr">
        <is>
          <t>PO7</t>
        </is>
      </c>
      <c r="C8" s="2" t="inlineStr"/>
      <c r="D8" s="2" t="inlineStr"/>
      <c r="E8" s="2" t="inlineStr"/>
      <c r="F8" s="2" t="inlineStr"/>
      <c r="G8" s="2" t="inlineStr"/>
      <c r="H8" s="2" t="inlineStr"/>
      <c r="I8" s="2" t="inlineStr"/>
      <c r="J8" s="2" t="inlineStr"/>
      <c r="K8" s="2">
        <f>IFERROR(COUNTA(UNIQUE(C8:J8)),0)</f>
        <v/>
      </c>
      <c r="L8" s="2">
        <f>IF(K8=0,"–",IF(K8&lt;=2,1,IF(K8=3,2,3)))</f>
        <v/>
      </c>
    </row>
    <row r="9">
      <c r="A9" s="2" t="inlineStr">
        <is>
          <t>CO1</t>
        </is>
      </c>
      <c r="B9" s="2" t="inlineStr">
        <is>
          <t>PO8</t>
        </is>
      </c>
      <c r="C9" s="2" t="inlineStr"/>
      <c r="D9" s="2" t="inlineStr"/>
      <c r="E9" s="2" t="inlineStr"/>
      <c r="F9" s="2" t="inlineStr"/>
      <c r="G9" s="2" t="inlineStr"/>
      <c r="H9" s="2" t="inlineStr"/>
      <c r="I9" s="2" t="inlineStr"/>
      <c r="J9" s="2" t="inlineStr"/>
      <c r="K9" s="2">
        <f>IFERROR(COUNTA(UNIQUE(C9:J9)),0)</f>
        <v/>
      </c>
      <c r="L9" s="2">
        <f>IF(K9=0,"–",IF(K9&lt;=2,1,IF(K9=3,2,3)))</f>
        <v/>
      </c>
    </row>
    <row r="10">
      <c r="A10" s="2" t="inlineStr">
        <is>
          <t>CO1</t>
        </is>
      </c>
      <c r="B10" s="2" t="inlineStr">
        <is>
          <t>PO9</t>
        </is>
      </c>
      <c r="C10" s="2" t="inlineStr"/>
      <c r="D10" s="2" t="inlineStr"/>
      <c r="E10" s="2" t="inlineStr"/>
      <c r="F10" s="2" t="inlineStr"/>
      <c r="G10" s="2" t="inlineStr"/>
      <c r="H10" s="2" t="inlineStr"/>
      <c r="I10" s="2" t="inlineStr"/>
      <c r="J10" s="2" t="inlineStr"/>
      <c r="K10" s="2">
        <f>IFERROR(COUNTA(UNIQUE(C10:J10)),0)</f>
        <v/>
      </c>
      <c r="L10" s="2">
        <f>IF(K10=0,"–",IF(K10&lt;=2,1,IF(K10=3,2,3)))</f>
        <v/>
      </c>
    </row>
    <row r="11">
      <c r="A11" s="2" t="inlineStr">
        <is>
          <t>CO1</t>
        </is>
      </c>
      <c r="B11" s="2" t="inlineStr">
        <is>
          <t>PO10</t>
        </is>
      </c>
      <c r="C11" s="2" t="inlineStr"/>
      <c r="D11" s="2" t="inlineStr"/>
      <c r="E11" s="2" t="inlineStr"/>
      <c r="F11" s="2" t="inlineStr"/>
      <c r="G11" s="2" t="inlineStr"/>
      <c r="H11" s="2" t="inlineStr"/>
      <c r="I11" s="2" t="inlineStr"/>
      <c r="J11" s="2" t="inlineStr"/>
      <c r="K11" s="2">
        <f>IFERROR(COUNTA(UNIQUE(C11:J11)),0)</f>
        <v/>
      </c>
      <c r="L11" s="2">
        <f>IF(K11=0,"–",IF(K11&lt;=2,1,IF(K11=3,2,3)))</f>
        <v/>
      </c>
    </row>
    <row r="12">
      <c r="A12" s="2" t="inlineStr">
        <is>
          <t>CO1</t>
        </is>
      </c>
      <c r="B12" s="2" t="inlineStr">
        <is>
          <t>PO11</t>
        </is>
      </c>
      <c r="C12" s="2" t="inlineStr"/>
      <c r="D12" s="2" t="inlineStr"/>
      <c r="E12" s="2" t="inlineStr"/>
      <c r="F12" s="2" t="inlineStr"/>
      <c r="G12" s="2" t="inlineStr"/>
      <c r="H12" s="2" t="inlineStr"/>
      <c r="I12" s="2" t="inlineStr"/>
      <c r="J12" s="2" t="inlineStr"/>
      <c r="K12" s="2">
        <f>IFERROR(COUNTA(UNIQUE(C12:J12)),0)</f>
        <v/>
      </c>
      <c r="L12" s="2">
        <f>IF(K12=0,"–",IF(K12&lt;=2,1,IF(K12=3,2,3)))</f>
        <v/>
      </c>
    </row>
    <row r="13">
      <c r="A13" s="2" t="inlineStr">
        <is>
          <t>CO1</t>
        </is>
      </c>
      <c r="B13" s="2" t="inlineStr">
        <is>
          <t>PO12</t>
        </is>
      </c>
      <c r="C13" s="2" t="inlineStr"/>
      <c r="D13" s="2" t="inlineStr"/>
      <c r="E13" s="2" t="inlineStr"/>
      <c r="F13" s="2" t="inlineStr"/>
      <c r="G13" s="2" t="inlineStr"/>
      <c r="H13" s="2" t="inlineStr"/>
      <c r="I13" s="2" t="inlineStr"/>
      <c r="J13" s="2" t="inlineStr"/>
      <c r="K13" s="2">
        <f>IFERROR(COUNTA(UNIQUE(C13:J13)),0)</f>
        <v/>
      </c>
      <c r="L13" s="2">
        <f>IF(K13=0,"–",IF(K13&lt;=2,1,IF(K13=3,2,3)))</f>
        <v/>
      </c>
    </row>
    <row r="14">
      <c r="A14" s="2" t="inlineStr">
        <is>
          <t>CO2</t>
        </is>
      </c>
      <c r="B14" s="2" t="inlineStr">
        <is>
          <t>PO1</t>
        </is>
      </c>
      <c r="C14" s="2" t="inlineStr"/>
      <c r="D14" s="2" t="inlineStr"/>
      <c r="E14" s="2" t="inlineStr"/>
      <c r="F14" s="2" t="inlineStr"/>
      <c r="G14" s="2" t="inlineStr"/>
      <c r="H14" s="2" t="inlineStr"/>
      <c r="I14" s="2" t="inlineStr"/>
      <c r="J14" s="2" t="inlineStr"/>
      <c r="K14" s="2">
        <f>IFERROR(COUNTA(UNIQUE(C14:J14)),0)</f>
        <v/>
      </c>
      <c r="L14" s="2">
        <f>IF(K14=0,"–",IF(K14&lt;=2,1,IF(K14=3,2,3)))</f>
        <v/>
      </c>
    </row>
    <row r="15">
      <c r="A15" s="2" t="inlineStr">
        <is>
          <t>CO2</t>
        </is>
      </c>
      <c r="B15" s="2" t="inlineStr">
        <is>
          <t>PO2</t>
        </is>
      </c>
      <c r="C15" s="2" t="inlineStr"/>
      <c r="D15" s="2" t="inlineStr"/>
      <c r="E15" s="2" t="inlineStr"/>
      <c r="F15" s="2" t="inlineStr"/>
      <c r="G15" s="2" t="inlineStr"/>
      <c r="H15" s="2" t="inlineStr"/>
      <c r="I15" s="2" t="inlineStr"/>
      <c r="J15" s="2" t="inlineStr"/>
      <c r="K15" s="2">
        <f>IFERROR(COUNTA(UNIQUE(C15:J15)),0)</f>
        <v/>
      </c>
      <c r="L15" s="2">
        <f>IF(K15=0,"–",IF(K15&lt;=2,1,IF(K15=3,2,3)))</f>
        <v/>
      </c>
    </row>
    <row r="16">
      <c r="A16" s="2" t="inlineStr">
        <is>
          <t>CO2</t>
        </is>
      </c>
      <c r="B16" s="2" t="inlineStr">
        <is>
          <t>PO3</t>
        </is>
      </c>
      <c r="C16" s="2" t="inlineStr"/>
      <c r="D16" s="2" t="inlineStr"/>
      <c r="E16" s="2" t="inlineStr"/>
      <c r="F16" s="2" t="inlineStr"/>
      <c r="G16" s="2" t="inlineStr"/>
      <c r="H16" s="2" t="inlineStr"/>
      <c r="I16" s="2" t="inlineStr"/>
      <c r="J16" s="2" t="inlineStr"/>
      <c r="K16" s="2">
        <f>IFERROR(COUNTA(UNIQUE(C16:J16)),0)</f>
        <v/>
      </c>
      <c r="L16" s="2">
        <f>IF(K16=0,"–",IF(K16&lt;=2,1,IF(K16=3,2,3)))</f>
        <v/>
      </c>
    </row>
    <row r="17">
      <c r="A17" s="2" t="inlineStr">
        <is>
          <t>CO2</t>
        </is>
      </c>
      <c r="B17" s="2" t="inlineStr">
        <is>
          <t>PO4</t>
        </is>
      </c>
      <c r="C17" s="2" t="inlineStr"/>
      <c r="D17" s="2" t="inlineStr"/>
      <c r="E17" s="2" t="inlineStr"/>
      <c r="F17" s="2" t="inlineStr"/>
      <c r="G17" s="2" t="inlineStr"/>
      <c r="H17" s="2" t="inlineStr"/>
      <c r="I17" s="2" t="inlineStr"/>
      <c r="J17" s="2" t="inlineStr"/>
      <c r="K17" s="2">
        <f>IFERROR(COUNTA(UNIQUE(C17:J17)),0)</f>
        <v/>
      </c>
      <c r="L17" s="2">
        <f>IF(K17=0,"–",IF(K17&lt;=2,1,IF(K17=3,2,3)))</f>
        <v/>
      </c>
    </row>
    <row r="18">
      <c r="A18" s="2" t="inlineStr">
        <is>
          <t>CO2</t>
        </is>
      </c>
      <c r="B18" s="2" t="inlineStr">
        <is>
          <t>PO5</t>
        </is>
      </c>
      <c r="C18" s="2" t="inlineStr"/>
      <c r="D18" s="2" t="inlineStr"/>
      <c r="E18" s="2" t="inlineStr"/>
      <c r="F18" s="2" t="inlineStr"/>
      <c r="G18" s="2" t="inlineStr"/>
      <c r="H18" s="2" t="inlineStr"/>
      <c r="I18" s="2" t="inlineStr"/>
      <c r="J18" s="2" t="inlineStr"/>
      <c r="K18" s="2">
        <f>IFERROR(COUNTA(UNIQUE(C18:J18)),0)</f>
        <v/>
      </c>
      <c r="L18" s="2">
        <f>IF(K18=0,"–",IF(K18&lt;=2,1,IF(K18=3,2,3)))</f>
        <v/>
      </c>
    </row>
    <row r="19">
      <c r="A19" s="2" t="inlineStr">
        <is>
          <t>CO2</t>
        </is>
      </c>
      <c r="B19" s="2" t="inlineStr">
        <is>
          <t>PO6</t>
        </is>
      </c>
      <c r="C19" s="2" t="inlineStr"/>
      <c r="D19" s="2" t="inlineStr"/>
      <c r="E19" s="2" t="inlineStr"/>
      <c r="F19" s="2" t="inlineStr"/>
      <c r="G19" s="2" t="inlineStr"/>
      <c r="H19" s="2" t="inlineStr"/>
      <c r="I19" s="2" t="inlineStr"/>
      <c r="J19" s="2" t="inlineStr"/>
      <c r="K19" s="2">
        <f>IFERROR(COUNTA(UNIQUE(C19:J19)),0)</f>
        <v/>
      </c>
      <c r="L19" s="2">
        <f>IF(K19=0,"–",IF(K19&lt;=2,1,IF(K19=3,2,3)))</f>
        <v/>
      </c>
    </row>
    <row r="20">
      <c r="A20" s="2" t="inlineStr">
        <is>
          <t>CO2</t>
        </is>
      </c>
      <c r="B20" s="2" t="inlineStr">
        <is>
          <t>PO7</t>
        </is>
      </c>
      <c r="C20" s="2" t="inlineStr"/>
      <c r="D20" s="2" t="inlineStr"/>
      <c r="E20" s="2" t="inlineStr"/>
      <c r="F20" s="2" t="inlineStr"/>
      <c r="G20" s="2" t="inlineStr"/>
      <c r="H20" s="2" t="inlineStr"/>
      <c r="I20" s="2" t="inlineStr"/>
      <c r="J20" s="2" t="inlineStr"/>
      <c r="K20" s="2">
        <f>IFERROR(COUNTA(UNIQUE(C20:J20)),0)</f>
        <v/>
      </c>
      <c r="L20" s="2">
        <f>IF(K20=0,"–",IF(K20&lt;=2,1,IF(K20=3,2,3)))</f>
        <v/>
      </c>
    </row>
    <row r="21">
      <c r="A21" s="2" t="inlineStr">
        <is>
          <t>CO2</t>
        </is>
      </c>
      <c r="B21" s="2" t="inlineStr">
        <is>
          <t>PO8</t>
        </is>
      </c>
      <c r="C21" s="2" t="inlineStr"/>
      <c r="D21" s="2" t="inlineStr"/>
      <c r="E21" s="2" t="inlineStr"/>
      <c r="F21" s="2" t="inlineStr"/>
      <c r="G21" s="2" t="inlineStr"/>
      <c r="H21" s="2" t="inlineStr"/>
      <c r="I21" s="2" t="inlineStr"/>
      <c r="J21" s="2" t="inlineStr"/>
      <c r="K21" s="2">
        <f>IFERROR(COUNTA(UNIQUE(C21:J21)),0)</f>
        <v/>
      </c>
      <c r="L21" s="2">
        <f>IF(K21=0,"–",IF(K21&lt;=2,1,IF(K21=3,2,3)))</f>
        <v/>
      </c>
    </row>
    <row r="22">
      <c r="A22" s="2" t="inlineStr">
        <is>
          <t>CO2</t>
        </is>
      </c>
      <c r="B22" s="2" t="inlineStr">
        <is>
          <t>PO9</t>
        </is>
      </c>
      <c r="C22" s="2" t="inlineStr"/>
      <c r="D22" s="2" t="inlineStr"/>
      <c r="E22" s="2" t="inlineStr"/>
      <c r="F22" s="2" t="inlineStr"/>
      <c r="G22" s="2" t="inlineStr"/>
      <c r="H22" s="2" t="inlineStr"/>
      <c r="I22" s="2" t="inlineStr"/>
      <c r="J22" s="2" t="inlineStr"/>
      <c r="K22" s="2">
        <f>IFERROR(COUNTA(UNIQUE(C22:J22)),0)</f>
        <v/>
      </c>
      <c r="L22" s="2">
        <f>IF(K22=0,"–",IF(K22&lt;=2,1,IF(K22=3,2,3)))</f>
        <v/>
      </c>
    </row>
    <row r="23">
      <c r="A23" s="2" t="inlineStr">
        <is>
          <t>CO2</t>
        </is>
      </c>
      <c r="B23" s="2" t="inlineStr">
        <is>
          <t>PO10</t>
        </is>
      </c>
      <c r="C23" s="2" t="inlineStr"/>
      <c r="D23" s="2" t="inlineStr"/>
      <c r="E23" s="2" t="inlineStr"/>
      <c r="F23" s="2" t="inlineStr"/>
      <c r="G23" s="2" t="inlineStr"/>
      <c r="H23" s="2" t="inlineStr"/>
      <c r="I23" s="2" t="inlineStr"/>
      <c r="J23" s="2" t="inlineStr"/>
      <c r="K23" s="2">
        <f>IFERROR(COUNTA(UNIQUE(C23:J23)),0)</f>
        <v/>
      </c>
      <c r="L23" s="2">
        <f>IF(K23=0,"–",IF(K23&lt;=2,1,IF(K23=3,2,3)))</f>
        <v/>
      </c>
    </row>
    <row r="24">
      <c r="A24" s="2" t="inlineStr">
        <is>
          <t>CO2</t>
        </is>
      </c>
      <c r="B24" s="2" t="inlineStr">
        <is>
          <t>PO11</t>
        </is>
      </c>
      <c r="C24" s="2" t="inlineStr"/>
      <c r="D24" s="2" t="inlineStr"/>
      <c r="E24" s="2" t="inlineStr"/>
      <c r="F24" s="2" t="inlineStr"/>
      <c r="G24" s="2" t="inlineStr"/>
      <c r="H24" s="2" t="inlineStr"/>
      <c r="I24" s="2" t="inlineStr"/>
      <c r="J24" s="2" t="inlineStr"/>
      <c r="K24" s="2">
        <f>IFERROR(COUNTA(UNIQUE(C24:J24)),0)</f>
        <v/>
      </c>
      <c r="L24" s="2">
        <f>IF(K24=0,"–",IF(K24&lt;=2,1,IF(K24=3,2,3)))</f>
        <v/>
      </c>
    </row>
    <row r="25">
      <c r="A25" s="2" t="inlineStr">
        <is>
          <t>CO2</t>
        </is>
      </c>
      <c r="B25" s="2" t="inlineStr">
        <is>
          <t>PO12</t>
        </is>
      </c>
      <c r="C25" s="2" t="inlineStr"/>
      <c r="D25" s="2" t="inlineStr"/>
      <c r="E25" s="2" t="inlineStr"/>
      <c r="F25" s="2" t="inlineStr"/>
      <c r="G25" s="2" t="inlineStr"/>
      <c r="H25" s="2" t="inlineStr"/>
      <c r="I25" s="2" t="inlineStr"/>
      <c r="J25" s="2" t="inlineStr"/>
      <c r="K25" s="2">
        <f>IFERROR(COUNTA(UNIQUE(C25:J25)),0)</f>
        <v/>
      </c>
      <c r="L25" s="2">
        <f>IF(K25=0,"–",IF(K25&lt;=2,1,IF(K25=3,2,3)))</f>
        <v/>
      </c>
    </row>
    <row r="26">
      <c r="A26" s="2" t="inlineStr">
        <is>
          <t>CO3</t>
        </is>
      </c>
      <c r="B26" s="2" t="inlineStr">
        <is>
          <t>PO1</t>
        </is>
      </c>
      <c r="C26" s="2" t="inlineStr"/>
      <c r="D26" s="2" t="inlineStr"/>
      <c r="E26" s="2" t="inlineStr"/>
      <c r="F26" s="2" t="inlineStr"/>
      <c r="G26" s="2" t="inlineStr"/>
      <c r="H26" s="2" t="inlineStr"/>
      <c r="I26" s="2" t="inlineStr"/>
      <c r="J26" s="2" t="inlineStr"/>
      <c r="K26" s="2">
        <f>IFERROR(COUNTA(UNIQUE(C26:J26)),0)</f>
        <v/>
      </c>
      <c r="L26" s="2">
        <f>IF(K26=0,"–",IF(K26&lt;=2,1,IF(K26=3,2,3)))</f>
        <v/>
      </c>
    </row>
    <row r="27">
      <c r="A27" s="2" t="inlineStr">
        <is>
          <t>CO3</t>
        </is>
      </c>
      <c r="B27" s="2" t="inlineStr">
        <is>
          <t>PO2</t>
        </is>
      </c>
      <c r="C27" s="2" t="inlineStr"/>
      <c r="D27" s="2" t="inlineStr"/>
      <c r="E27" s="2" t="inlineStr"/>
      <c r="F27" s="2" t="inlineStr"/>
      <c r="G27" s="2" t="inlineStr"/>
      <c r="H27" s="2" t="inlineStr"/>
      <c r="I27" s="2" t="inlineStr"/>
      <c r="J27" s="2" t="inlineStr"/>
      <c r="K27" s="2">
        <f>IFERROR(COUNTA(UNIQUE(C27:J27)),0)</f>
        <v/>
      </c>
      <c r="L27" s="2">
        <f>IF(K27=0,"–",IF(K27&lt;=2,1,IF(K27=3,2,3)))</f>
        <v/>
      </c>
    </row>
    <row r="28">
      <c r="A28" s="2" t="inlineStr">
        <is>
          <t>CO3</t>
        </is>
      </c>
      <c r="B28" s="2" t="inlineStr">
        <is>
          <t>PO3</t>
        </is>
      </c>
      <c r="C28" s="2" t="inlineStr"/>
      <c r="D28" s="2" t="inlineStr"/>
      <c r="E28" s="2" t="inlineStr"/>
      <c r="F28" s="2" t="inlineStr"/>
      <c r="G28" s="2" t="inlineStr"/>
      <c r="H28" s="2" t="inlineStr"/>
      <c r="I28" s="2" t="inlineStr"/>
      <c r="J28" s="2" t="inlineStr"/>
      <c r="K28" s="2">
        <f>IFERROR(COUNTA(UNIQUE(C28:J28)),0)</f>
        <v/>
      </c>
      <c r="L28" s="2">
        <f>IF(K28=0,"–",IF(K28&lt;=2,1,IF(K28=3,2,3)))</f>
        <v/>
      </c>
    </row>
    <row r="29">
      <c r="A29" s="2" t="inlineStr">
        <is>
          <t>CO3</t>
        </is>
      </c>
      <c r="B29" s="2" t="inlineStr">
        <is>
          <t>PO4</t>
        </is>
      </c>
      <c r="C29" s="2" t="inlineStr"/>
      <c r="D29" s="2" t="inlineStr"/>
      <c r="E29" s="2" t="inlineStr"/>
      <c r="F29" s="2" t="inlineStr"/>
      <c r="G29" s="2" t="inlineStr"/>
      <c r="H29" s="2" t="inlineStr"/>
      <c r="I29" s="2" t="inlineStr"/>
      <c r="J29" s="2" t="inlineStr"/>
      <c r="K29" s="2">
        <f>IFERROR(COUNTA(UNIQUE(C29:J29)),0)</f>
        <v/>
      </c>
      <c r="L29" s="2">
        <f>IF(K29=0,"–",IF(K29&lt;=2,1,IF(K29=3,2,3)))</f>
        <v/>
      </c>
    </row>
    <row r="30">
      <c r="A30" s="2" t="inlineStr">
        <is>
          <t>CO3</t>
        </is>
      </c>
      <c r="B30" s="2" t="inlineStr">
        <is>
          <t>PO5</t>
        </is>
      </c>
      <c r="C30" s="2" t="inlineStr"/>
      <c r="D30" s="2" t="inlineStr"/>
      <c r="E30" s="2" t="inlineStr"/>
      <c r="F30" s="2" t="inlineStr"/>
      <c r="G30" s="2" t="inlineStr"/>
      <c r="H30" s="2" t="inlineStr"/>
      <c r="I30" s="2" t="inlineStr"/>
      <c r="J30" s="2" t="inlineStr"/>
      <c r="K30" s="2">
        <f>IFERROR(COUNTA(UNIQUE(C30:J30)),0)</f>
        <v/>
      </c>
      <c r="L30" s="2">
        <f>IF(K30=0,"–",IF(K30&lt;=2,1,IF(K30=3,2,3)))</f>
        <v/>
      </c>
    </row>
    <row r="31">
      <c r="A31" s="2" t="inlineStr">
        <is>
          <t>CO3</t>
        </is>
      </c>
      <c r="B31" s="2" t="inlineStr">
        <is>
          <t>PO6</t>
        </is>
      </c>
      <c r="C31" s="2" t="inlineStr"/>
      <c r="D31" s="2" t="inlineStr"/>
      <c r="E31" s="2" t="inlineStr"/>
      <c r="F31" s="2" t="inlineStr"/>
      <c r="G31" s="2" t="inlineStr"/>
      <c r="H31" s="2" t="inlineStr"/>
      <c r="I31" s="2" t="inlineStr"/>
      <c r="J31" s="2" t="inlineStr"/>
      <c r="K31" s="2">
        <f>IFERROR(COUNTA(UNIQUE(C31:J31)),0)</f>
        <v/>
      </c>
      <c r="L31" s="2">
        <f>IF(K31=0,"–",IF(K31&lt;=2,1,IF(K31=3,2,3)))</f>
        <v/>
      </c>
    </row>
    <row r="32">
      <c r="A32" s="2" t="inlineStr">
        <is>
          <t>CO3</t>
        </is>
      </c>
      <c r="B32" s="2" t="inlineStr">
        <is>
          <t>PO7</t>
        </is>
      </c>
      <c r="C32" s="2" t="inlineStr"/>
      <c r="D32" s="2" t="inlineStr"/>
      <c r="E32" s="2" t="inlineStr"/>
      <c r="F32" s="2" t="inlineStr"/>
      <c r="G32" s="2" t="inlineStr"/>
      <c r="H32" s="2" t="inlineStr"/>
      <c r="I32" s="2" t="inlineStr"/>
      <c r="J32" s="2" t="inlineStr"/>
      <c r="K32" s="2">
        <f>IFERROR(COUNTA(UNIQUE(C32:J32)),0)</f>
        <v/>
      </c>
      <c r="L32" s="2">
        <f>IF(K32=0,"–",IF(K32&lt;=2,1,IF(K32=3,2,3)))</f>
        <v/>
      </c>
    </row>
    <row r="33">
      <c r="A33" s="2" t="inlineStr">
        <is>
          <t>CO3</t>
        </is>
      </c>
      <c r="B33" s="2" t="inlineStr">
        <is>
          <t>PO8</t>
        </is>
      </c>
      <c r="C33" s="2" t="inlineStr"/>
      <c r="D33" s="2" t="inlineStr"/>
      <c r="E33" s="2" t="inlineStr"/>
      <c r="F33" s="2" t="inlineStr"/>
      <c r="G33" s="2" t="inlineStr"/>
      <c r="H33" s="2" t="inlineStr"/>
      <c r="I33" s="2" t="inlineStr"/>
      <c r="J33" s="2" t="inlineStr"/>
      <c r="K33" s="2">
        <f>IFERROR(COUNTA(UNIQUE(C33:J33)),0)</f>
        <v/>
      </c>
      <c r="L33" s="2">
        <f>IF(K33=0,"–",IF(K33&lt;=2,1,IF(K33=3,2,3)))</f>
        <v/>
      </c>
    </row>
    <row r="34">
      <c r="A34" s="2" t="inlineStr">
        <is>
          <t>CO3</t>
        </is>
      </c>
      <c r="B34" s="2" t="inlineStr">
        <is>
          <t>PO9</t>
        </is>
      </c>
      <c r="C34" s="2" t="inlineStr"/>
      <c r="D34" s="2" t="inlineStr"/>
      <c r="E34" s="2" t="inlineStr"/>
      <c r="F34" s="2" t="inlineStr"/>
      <c r="G34" s="2" t="inlineStr"/>
      <c r="H34" s="2" t="inlineStr"/>
      <c r="I34" s="2" t="inlineStr"/>
      <c r="J34" s="2" t="inlineStr"/>
      <c r="K34" s="2">
        <f>IFERROR(COUNTA(UNIQUE(C34:J34)),0)</f>
        <v/>
      </c>
      <c r="L34" s="2">
        <f>IF(K34=0,"–",IF(K34&lt;=2,1,IF(K34=3,2,3)))</f>
        <v/>
      </c>
    </row>
    <row r="35">
      <c r="A35" s="2" t="inlineStr">
        <is>
          <t>CO3</t>
        </is>
      </c>
      <c r="B35" s="2" t="inlineStr">
        <is>
          <t>PO10</t>
        </is>
      </c>
      <c r="C35" s="2" t="inlineStr"/>
      <c r="D35" s="2" t="inlineStr"/>
      <c r="E35" s="2" t="inlineStr"/>
      <c r="F35" s="2" t="inlineStr"/>
      <c r="G35" s="2" t="inlineStr"/>
      <c r="H35" s="2" t="inlineStr"/>
      <c r="I35" s="2" t="inlineStr"/>
      <c r="J35" s="2" t="inlineStr"/>
      <c r="K35" s="2">
        <f>IFERROR(COUNTA(UNIQUE(C35:J35)),0)</f>
        <v/>
      </c>
      <c r="L35" s="2">
        <f>IF(K35=0,"–",IF(K35&lt;=2,1,IF(K35=3,2,3)))</f>
        <v/>
      </c>
    </row>
    <row r="36">
      <c r="A36" s="2" t="inlineStr">
        <is>
          <t>CO3</t>
        </is>
      </c>
      <c r="B36" s="2" t="inlineStr">
        <is>
          <t>PO11</t>
        </is>
      </c>
      <c r="C36" s="2" t="inlineStr"/>
      <c r="D36" s="2" t="inlineStr"/>
      <c r="E36" s="2" t="inlineStr"/>
      <c r="F36" s="2" t="inlineStr"/>
      <c r="G36" s="2" t="inlineStr"/>
      <c r="H36" s="2" t="inlineStr"/>
      <c r="I36" s="2" t="inlineStr"/>
      <c r="J36" s="2" t="inlineStr"/>
      <c r="K36" s="2">
        <f>IFERROR(COUNTA(UNIQUE(C36:J36)),0)</f>
        <v/>
      </c>
      <c r="L36" s="2">
        <f>IF(K36=0,"–",IF(K36&lt;=2,1,IF(K36=3,2,3)))</f>
        <v/>
      </c>
    </row>
    <row r="37">
      <c r="A37" s="2" t="inlineStr">
        <is>
          <t>CO3</t>
        </is>
      </c>
      <c r="B37" s="2" t="inlineStr">
        <is>
          <t>PO12</t>
        </is>
      </c>
      <c r="C37" s="2" t="inlineStr"/>
      <c r="D37" s="2" t="inlineStr"/>
      <c r="E37" s="2" t="inlineStr"/>
      <c r="F37" s="2" t="inlineStr"/>
      <c r="G37" s="2" t="inlineStr"/>
      <c r="H37" s="2" t="inlineStr"/>
      <c r="I37" s="2" t="inlineStr"/>
      <c r="J37" s="2" t="inlineStr"/>
      <c r="K37" s="2">
        <f>IFERROR(COUNTA(UNIQUE(C37:J37)),0)</f>
        <v/>
      </c>
      <c r="L37" s="2">
        <f>IF(K37=0,"–",IF(K37&lt;=2,1,IF(K37=3,2,3)))</f>
        <v/>
      </c>
    </row>
    <row r="38">
      <c r="A38" s="2" t="inlineStr">
        <is>
          <t>CO4</t>
        </is>
      </c>
      <c r="B38" s="2" t="inlineStr">
        <is>
          <t>PO1</t>
        </is>
      </c>
      <c r="C38" s="2" t="inlineStr"/>
      <c r="D38" s="2" t="inlineStr"/>
      <c r="E38" s="2" t="inlineStr"/>
      <c r="F38" s="2" t="inlineStr"/>
      <c r="G38" s="2" t="inlineStr"/>
      <c r="H38" s="2" t="inlineStr"/>
      <c r="I38" s="2" t="inlineStr"/>
      <c r="J38" s="2" t="inlineStr"/>
      <c r="K38" s="2">
        <f>IFERROR(COUNTA(UNIQUE(C38:J38)),0)</f>
        <v/>
      </c>
      <c r="L38" s="2">
        <f>IF(K38=0,"–",IF(K38&lt;=2,1,IF(K38=3,2,3)))</f>
        <v/>
      </c>
    </row>
    <row r="39">
      <c r="A39" s="2" t="inlineStr">
        <is>
          <t>CO4</t>
        </is>
      </c>
      <c r="B39" s="2" t="inlineStr">
        <is>
          <t>PO2</t>
        </is>
      </c>
      <c r="C39" s="2" t="inlineStr"/>
      <c r="D39" s="2" t="inlineStr"/>
      <c r="E39" s="2" t="inlineStr"/>
      <c r="F39" s="2" t="inlineStr"/>
      <c r="G39" s="2" t="inlineStr"/>
      <c r="H39" s="2" t="inlineStr"/>
      <c r="I39" s="2" t="inlineStr"/>
      <c r="J39" s="2" t="inlineStr"/>
      <c r="K39" s="2">
        <f>IFERROR(COUNTA(UNIQUE(C39:J39)),0)</f>
        <v/>
      </c>
      <c r="L39" s="2">
        <f>IF(K39=0,"–",IF(K39&lt;=2,1,IF(K39=3,2,3)))</f>
        <v/>
      </c>
    </row>
    <row r="40">
      <c r="A40" s="2" t="inlineStr">
        <is>
          <t>CO4</t>
        </is>
      </c>
      <c r="B40" s="2" t="inlineStr">
        <is>
          <t>PO3</t>
        </is>
      </c>
      <c r="C40" s="2" t="inlineStr"/>
      <c r="D40" s="2" t="inlineStr"/>
      <c r="E40" s="2" t="inlineStr"/>
      <c r="F40" s="2" t="inlineStr"/>
      <c r="G40" s="2" t="inlineStr"/>
      <c r="H40" s="2" t="inlineStr"/>
      <c r="I40" s="2" t="inlineStr"/>
      <c r="J40" s="2" t="inlineStr"/>
      <c r="K40" s="2">
        <f>IFERROR(COUNTA(UNIQUE(C40:J40)),0)</f>
        <v/>
      </c>
      <c r="L40" s="2">
        <f>IF(K40=0,"–",IF(K40&lt;=2,1,IF(K40=3,2,3)))</f>
        <v/>
      </c>
    </row>
    <row r="41">
      <c r="A41" s="2" t="inlineStr">
        <is>
          <t>CO4</t>
        </is>
      </c>
      <c r="B41" s="2" t="inlineStr">
        <is>
          <t>PO4</t>
        </is>
      </c>
      <c r="C41" s="2" t="inlineStr"/>
      <c r="D41" s="2" t="inlineStr"/>
      <c r="E41" s="2" t="inlineStr"/>
      <c r="F41" s="2" t="inlineStr"/>
      <c r="G41" s="2" t="inlineStr"/>
      <c r="H41" s="2" t="inlineStr"/>
      <c r="I41" s="2" t="inlineStr"/>
      <c r="J41" s="2" t="inlineStr"/>
      <c r="K41" s="2">
        <f>IFERROR(COUNTA(UNIQUE(C41:J41)),0)</f>
        <v/>
      </c>
      <c r="L41" s="2">
        <f>IF(K41=0,"–",IF(K41&lt;=2,1,IF(K41=3,2,3)))</f>
        <v/>
      </c>
    </row>
    <row r="42">
      <c r="A42" s="2" t="inlineStr">
        <is>
          <t>CO4</t>
        </is>
      </c>
      <c r="B42" s="2" t="inlineStr">
        <is>
          <t>PO5</t>
        </is>
      </c>
      <c r="C42" s="2" t="inlineStr"/>
      <c r="D42" s="2" t="inlineStr"/>
      <c r="E42" s="2" t="inlineStr"/>
      <c r="F42" s="2" t="inlineStr"/>
      <c r="G42" s="2" t="inlineStr"/>
      <c r="H42" s="2" t="inlineStr"/>
      <c r="I42" s="2" t="inlineStr"/>
      <c r="J42" s="2" t="inlineStr"/>
      <c r="K42" s="2">
        <f>IFERROR(COUNTA(UNIQUE(C42:J42)),0)</f>
        <v/>
      </c>
      <c r="L42" s="2">
        <f>IF(K42=0,"–",IF(K42&lt;=2,1,IF(K42=3,2,3)))</f>
        <v/>
      </c>
    </row>
    <row r="43">
      <c r="A43" s="2" t="inlineStr">
        <is>
          <t>CO4</t>
        </is>
      </c>
      <c r="B43" s="2" t="inlineStr">
        <is>
          <t>PO6</t>
        </is>
      </c>
      <c r="C43" s="2" t="inlineStr"/>
      <c r="D43" s="2" t="inlineStr"/>
      <c r="E43" s="2" t="inlineStr"/>
      <c r="F43" s="2" t="inlineStr"/>
      <c r="G43" s="2" t="inlineStr"/>
      <c r="H43" s="2" t="inlineStr"/>
      <c r="I43" s="2" t="inlineStr"/>
      <c r="J43" s="2" t="inlineStr"/>
      <c r="K43" s="2">
        <f>IFERROR(COUNTA(UNIQUE(C43:J43)),0)</f>
        <v/>
      </c>
      <c r="L43" s="2">
        <f>IF(K43=0,"–",IF(K43&lt;=2,1,IF(K43=3,2,3)))</f>
        <v/>
      </c>
    </row>
    <row r="44">
      <c r="A44" s="2" t="inlineStr">
        <is>
          <t>CO4</t>
        </is>
      </c>
      <c r="B44" s="2" t="inlineStr">
        <is>
          <t>PO7</t>
        </is>
      </c>
      <c r="C44" s="2" t="inlineStr"/>
      <c r="D44" s="2" t="inlineStr"/>
      <c r="E44" s="2" t="inlineStr"/>
      <c r="F44" s="2" t="inlineStr"/>
      <c r="G44" s="2" t="inlineStr"/>
      <c r="H44" s="2" t="inlineStr"/>
      <c r="I44" s="2" t="inlineStr"/>
      <c r="J44" s="2" t="inlineStr"/>
      <c r="K44" s="2">
        <f>IFERROR(COUNTA(UNIQUE(C44:J44)),0)</f>
        <v/>
      </c>
      <c r="L44" s="2">
        <f>IF(K44=0,"–",IF(K44&lt;=2,1,IF(K44=3,2,3)))</f>
        <v/>
      </c>
    </row>
    <row r="45">
      <c r="A45" s="2" t="inlineStr">
        <is>
          <t>CO4</t>
        </is>
      </c>
      <c r="B45" s="2" t="inlineStr">
        <is>
          <t>PO8</t>
        </is>
      </c>
      <c r="C45" s="2" t="inlineStr"/>
      <c r="D45" s="2" t="inlineStr"/>
      <c r="E45" s="2" t="inlineStr"/>
      <c r="F45" s="2" t="inlineStr"/>
      <c r="G45" s="2" t="inlineStr"/>
      <c r="H45" s="2" t="inlineStr"/>
      <c r="I45" s="2" t="inlineStr"/>
      <c r="J45" s="2" t="inlineStr"/>
      <c r="K45" s="2">
        <f>IFERROR(COUNTA(UNIQUE(C45:J45)),0)</f>
        <v/>
      </c>
      <c r="L45" s="2">
        <f>IF(K45=0,"–",IF(K45&lt;=2,1,IF(K45=3,2,3)))</f>
        <v/>
      </c>
    </row>
    <row r="46">
      <c r="A46" s="2" t="inlineStr">
        <is>
          <t>CO4</t>
        </is>
      </c>
      <c r="B46" s="2" t="inlineStr">
        <is>
          <t>PO9</t>
        </is>
      </c>
      <c r="C46" s="2" t="inlineStr"/>
      <c r="D46" s="2" t="inlineStr"/>
      <c r="E46" s="2" t="inlineStr"/>
      <c r="F46" s="2" t="inlineStr"/>
      <c r="G46" s="2" t="inlineStr"/>
      <c r="H46" s="2" t="inlineStr"/>
      <c r="I46" s="2" t="inlineStr"/>
      <c r="J46" s="2" t="inlineStr"/>
      <c r="K46" s="2">
        <f>IFERROR(COUNTA(UNIQUE(C46:J46)),0)</f>
        <v/>
      </c>
      <c r="L46" s="2">
        <f>IF(K46=0,"–",IF(K46&lt;=2,1,IF(K46=3,2,3)))</f>
        <v/>
      </c>
    </row>
    <row r="47">
      <c r="A47" s="2" t="inlineStr">
        <is>
          <t>CO4</t>
        </is>
      </c>
      <c r="B47" s="2" t="inlineStr">
        <is>
          <t>PO10</t>
        </is>
      </c>
      <c r="C47" s="2" t="inlineStr"/>
      <c r="D47" s="2" t="inlineStr"/>
      <c r="E47" s="2" t="inlineStr"/>
      <c r="F47" s="2" t="inlineStr"/>
      <c r="G47" s="2" t="inlineStr"/>
      <c r="H47" s="2" t="inlineStr"/>
      <c r="I47" s="2" t="inlineStr"/>
      <c r="J47" s="2" t="inlineStr"/>
      <c r="K47" s="2">
        <f>IFERROR(COUNTA(UNIQUE(C47:J47)),0)</f>
        <v/>
      </c>
      <c r="L47" s="2">
        <f>IF(K47=0,"–",IF(K47&lt;=2,1,IF(K47=3,2,3)))</f>
        <v/>
      </c>
    </row>
    <row r="48">
      <c r="A48" s="2" t="inlineStr">
        <is>
          <t>CO4</t>
        </is>
      </c>
      <c r="B48" s="2" t="inlineStr">
        <is>
          <t>PO11</t>
        </is>
      </c>
      <c r="C48" s="2" t="inlineStr"/>
      <c r="D48" s="2" t="inlineStr"/>
      <c r="E48" s="2" t="inlineStr"/>
      <c r="F48" s="2" t="inlineStr"/>
      <c r="G48" s="2" t="inlineStr"/>
      <c r="H48" s="2" t="inlineStr"/>
      <c r="I48" s="2" t="inlineStr"/>
      <c r="J48" s="2" t="inlineStr"/>
      <c r="K48" s="2">
        <f>IFERROR(COUNTA(UNIQUE(C48:J48)),0)</f>
        <v/>
      </c>
      <c r="L48" s="2">
        <f>IF(K48=0,"–",IF(K48&lt;=2,1,IF(K48=3,2,3)))</f>
        <v/>
      </c>
    </row>
    <row r="49">
      <c r="A49" s="2" t="inlineStr">
        <is>
          <t>CO4</t>
        </is>
      </c>
      <c r="B49" s="2" t="inlineStr">
        <is>
          <t>PO12</t>
        </is>
      </c>
      <c r="C49" s="2" t="inlineStr"/>
      <c r="D49" s="2" t="inlineStr"/>
      <c r="E49" s="2" t="inlineStr"/>
      <c r="F49" s="2" t="inlineStr"/>
      <c r="G49" s="2" t="inlineStr"/>
      <c r="H49" s="2" t="inlineStr"/>
      <c r="I49" s="2" t="inlineStr"/>
      <c r="J49" s="2" t="inlineStr"/>
      <c r="K49" s="2">
        <f>IFERROR(COUNTA(UNIQUE(C49:J49)),0)</f>
        <v/>
      </c>
      <c r="L49" s="2">
        <f>IF(K49=0,"–",IF(K49&lt;=2,1,IF(K49=3,2,3)))</f>
        <v/>
      </c>
    </row>
    <row r="50">
      <c r="A50" s="2" t="inlineStr">
        <is>
          <t>CO5</t>
        </is>
      </c>
      <c r="B50" s="2" t="inlineStr">
        <is>
          <t>PO1</t>
        </is>
      </c>
      <c r="C50" s="2" t="inlineStr"/>
      <c r="D50" s="2" t="inlineStr"/>
      <c r="E50" s="2" t="inlineStr"/>
      <c r="F50" s="2" t="inlineStr"/>
      <c r="G50" s="2" t="inlineStr"/>
      <c r="H50" s="2" t="inlineStr"/>
      <c r="I50" s="2" t="inlineStr"/>
      <c r="J50" s="2" t="inlineStr"/>
      <c r="K50" s="2">
        <f>IFERROR(COUNTA(UNIQUE(C50:J50)),0)</f>
        <v/>
      </c>
      <c r="L50" s="2">
        <f>IF(K50=0,"–",IF(K50&lt;=2,1,IF(K50=3,2,3)))</f>
        <v/>
      </c>
    </row>
    <row r="51">
      <c r="A51" s="2" t="inlineStr">
        <is>
          <t>CO5</t>
        </is>
      </c>
      <c r="B51" s="2" t="inlineStr">
        <is>
          <t>PO2</t>
        </is>
      </c>
      <c r="C51" s="2" t="inlineStr"/>
      <c r="D51" s="2" t="inlineStr"/>
      <c r="E51" s="2" t="inlineStr"/>
      <c r="F51" s="2" t="inlineStr"/>
      <c r="G51" s="2" t="inlineStr"/>
      <c r="H51" s="2" t="inlineStr"/>
      <c r="I51" s="2" t="inlineStr"/>
      <c r="J51" s="2" t="inlineStr"/>
      <c r="K51" s="2">
        <f>IFERROR(COUNTA(UNIQUE(C51:J51)),0)</f>
        <v/>
      </c>
      <c r="L51" s="2">
        <f>IF(K51=0,"–",IF(K51&lt;=2,1,IF(K51=3,2,3)))</f>
        <v/>
      </c>
    </row>
    <row r="52">
      <c r="A52" s="2" t="inlineStr">
        <is>
          <t>CO5</t>
        </is>
      </c>
      <c r="B52" s="2" t="inlineStr">
        <is>
          <t>PO3</t>
        </is>
      </c>
      <c r="C52" s="2" t="inlineStr"/>
      <c r="D52" s="2" t="inlineStr"/>
      <c r="E52" s="2" t="inlineStr"/>
      <c r="F52" s="2" t="inlineStr"/>
      <c r="G52" s="2" t="inlineStr"/>
      <c r="H52" s="2" t="inlineStr"/>
      <c r="I52" s="2" t="inlineStr"/>
      <c r="J52" s="2" t="inlineStr"/>
      <c r="K52" s="2">
        <f>IFERROR(COUNTA(UNIQUE(C52:J52)),0)</f>
        <v/>
      </c>
      <c r="L52" s="2">
        <f>IF(K52=0,"–",IF(K52&lt;=2,1,IF(K52=3,2,3)))</f>
        <v/>
      </c>
    </row>
    <row r="53">
      <c r="A53" s="2" t="inlineStr">
        <is>
          <t>CO5</t>
        </is>
      </c>
      <c r="B53" s="2" t="inlineStr">
        <is>
          <t>PO4</t>
        </is>
      </c>
      <c r="C53" s="2" t="inlineStr"/>
      <c r="D53" s="2" t="inlineStr"/>
      <c r="E53" s="2" t="inlineStr"/>
      <c r="F53" s="2" t="inlineStr"/>
      <c r="G53" s="2" t="inlineStr"/>
      <c r="H53" s="2" t="inlineStr"/>
      <c r="I53" s="2" t="inlineStr"/>
      <c r="J53" s="2" t="inlineStr"/>
      <c r="K53" s="2">
        <f>IFERROR(COUNTA(UNIQUE(C53:J53)),0)</f>
        <v/>
      </c>
      <c r="L53" s="2">
        <f>IF(K53=0,"–",IF(K53&lt;=2,1,IF(K53=3,2,3)))</f>
        <v/>
      </c>
    </row>
    <row r="54">
      <c r="A54" s="2" t="inlineStr">
        <is>
          <t>CO5</t>
        </is>
      </c>
      <c r="B54" s="2" t="inlineStr">
        <is>
          <t>PO5</t>
        </is>
      </c>
      <c r="C54" s="2" t="inlineStr"/>
      <c r="D54" s="2" t="inlineStr"/>
      <c r="E54" s="2" t="inlineStr"/>
      <c r="F54" s="2" t="inlineStr"/>
      <c r="G54" s="2" t="inlineStr"/>
      <c r="H54" s="2" t="inlineStr"/>
      <c r="I54" s="2" t="inlineStr"/>
      <c r="J54" s="2" t="inlineStr"/>
      <c r="K54" s="2">
        <f>IFERROR(COUNTA(UNIQUE(C54:J54)),0)</f>
        <v/>
      </c>
      <c r="L54" s="2">
        <f>IF(K54=0,"–",IF(K54&lt;=2,1,IF(K54=3,2,3)))</f>
        <v/>
      </c>
    </row>
    <row r="55">
      <c r="A55" s="2" t="inlineStr">
        <is>
          <t>CO5</t>
        </is>
      </c>
      <c r="B55" s="2" t="inlineStr">
        <is>
          <t>PO6</t>
        </is>
      </c>
      <c r="C55" s="2" t="inlineStr"/>
      <c r="D55" s="2" t="inlineStr"/>
      <c r="E55" s="2" t="inlineStr"/>
      <c r="F55" s="2" t="inlineStr"/>
      <c r="G55" s="2" t="inlineStr"/>
      <c r="H55" s="2" t="inlineStr"/>
      <c r="I55" s="2" t="inlineStr"/>
      <c r="J55" s="2" t="inlineStr"/>
      <c r="K55" s="2">
        <f>IFERROR(COUNTA(UNIQUE(C55:J55)),0)</f>
        <v/>
      </c>
      <c r="L55" s="2">
        <f>IF(K55=0,"–",IF(K55&lt;=2,1,IF(K55=3,2,3)))</f>
        <v/>
      </c>
    </row>
    <row r="56">
      <c r="A56" s="2" t="inlineStr">
        <is>
          <t>CO5</t>
        </is>
      </c>
      <c r="B56" s="2" t="inlineStr">
        <is>
          <t>PO7</t>
        </is>
      </c>
      <c r="C56" s="2" t="inlineStr"/>
      <c r="D56" s="2" t="inlineStr"/>
      <c r="E56" s="2" t="inlineStr"/>
      <c r="F56" s="2" t="inlineStr"/>
      <c r="G56" s="2" t="inlineStr"/>
      <c r="H56" s="2" t="inlineStr"/>
      <c r="I56" s="2" t="inlineStr"/>
      <c r="J56" s="2" t="inlineStr"/>
      <c r="K56" s="2">
        <f>IFERROR(COUNTA(UNIQUE(C56:J56)),0)</f>
        <v/>
      </c>
      <c r="L56" s="2">
        <f>IF(K56=0,"–",IF(K56&lt;=2,1,IF(K56=3,2,3)))</f>
        <v/>
      </c>
    </row>
    <row r="57">
      <c r="A57" s="2" t="inlineStr">
        <is>
          <t>CO5</t>
        </is>
      </c>
      <c r="B57" s="2" t="inlineStr">
        <is>
          <t>PO8</t>
        </is>
      </c>
      <c r="C57" s="2" t="inlineStr"/>
      <c r="D57" s="2" t="inlineStr"/>
      <c r="E57" s="2" t="inlineStr"/>
      <c r="F57" s="2" t="inlineStr"/>
      <c r="G57" s="2" t="inlineStr"/>
      <c r="H57" s="2" t="inlineStr"/>
      <c r="I57" s="2" t="inlineStr"/>
      <c r="J57" s="2" t="inlineStr"/>
      <c r="K57" s="2">
        <f>IFERROR(COUNTA(UNIQUE(C57:J57)),0)</f>
        <v/>
      </c>
      <c r="L57" s="2">
        <f>IF(K57=0,"–",IF(K57&lt;=2,1,IF(K57=3,2,3)))</f>
        <v/>
      </c>
    </row>
    <row r="58">
      <c r="A58" s="2" t="inlineStr">
        <is>
          <t>CO5</t>
        </is>
      </c>
      <c r="B58" s="2" t="inlineStr">
        <is>
          <t>PO9</t>
        </is>
      </c>
      <c r="C58" s="2" t="inlineStr"/>
      <c r="D58" s="2" t="inlineStr"/>
      <c r="E58" s="2" t="inlineStr"/>
      <c r="F58" s="2" t="inlineStr"/>
      <c r="G58" s="2" t="inlineStr"/>
      <c r="H58" s="2" t="inlineStr"/>
      <c r="I58" s="2" t="inlineStr"/>
      <c r="J58" s="2" t="inlineStr"/>
      <c r="K58" s="2">
        <f>IFERROR(COUNTA(UNIQUE(C58:J58)),0)</f>
        <v/>
      </c>
      <c r="L58" s="2">
        <f>IF(K58=0,"–",IF(K58&lt;=2,1,IF(K58=3,2,3)))</f>
        <v/>
      </c>
    </row>
    <row r="59">
      <c r="A59" s="2" t="inlineStr">
        <is>
          <t>CO5</t>
        </is>
      </c>
      <c r="B59" s="2" t="inlineStr">
        <is>
          <t>PO10</t>
        </is>
      </c>
      <c r="C59" s="2" t="inlineStr"/>
      <c r="D59" s="2" t="inlineStr"/>
      <c r="E59" s="2" t="inlineStr"/>
      <c r="F59" s="2" t="inlineStr"/>
      <c r="G59" s="2" t="inlineStr"/>
      <c r="H59" s="2" t="inlineStr"/>
      <c r="I59" s="2" t="inlineStr"/>
      <c r="J59" s="2" t="inlineStr"/>
      <c r="K59" s="2">
        <f>IFERROR(COUNTA(UNIQUE(C59:J59)),0)</f>
        <v/>
      </c>
      <c r="L59" s="2">
        <f>IF(K59=0,"–",IF(K59&lt;=2,1,IF(K59=3,2,3)))</f>
        <v/>
      </c>
    </row>
    <row r="60">
      <c r="A60" s="2" t="inlineStr">
        <is>
          <t>CO5</t>
        </is>
      </c>
      <c r="B60" s="2" t="inlineStr">
        <is>
          <t>PO11</t>
        </is>
      </c>
      <c r="C60" s="2" t="inlineStr"/>
      <c r="D60" s="2" t="inlineStr"/>
      <c r="E60" s="2" t="inlineStr"/>
      <c r="F60" s="2" t="inlineStr"/>
      <c r="G60" s="2" t="inlineStr"/>
      <c r="H60" s="2" t="inlineStr"/>
      <c r="I60" s="2" t="inlineStr"/>
      <c r="J60" s="2" t="inlineStr"/>
      <c r="K60" s="2">
        <f>IFERROR(COUNTA(UNIQUE(C60:J60)),0)</f>
        <v/>
      </c>
      <c r="L60" s="2">
        <f>IF(K60=0,"–",IF(K60&lt;=2,1,IF(K60=3,2,3)))</f>
        <v/>
      </c>
    </row>
    <row r="61">
      <c r="A61" s="2" t="inlineStr">
        <is>
          <t>CO5</t>
        </is>
      </c>
      <c r="B61" s="2" t="inlineStr">
        <is>
          <t>PO12</t>
        </is>
      </c>
      <c r="C61" s="2" t="inlineStr"/>
      <c r="D61" s="2" t="inlineStr"/>
      <c r="E61" s="2" t="inlineStr"/>
      <c r="F61" s="2" t="inlineStr"/>
      <c r="G61" s="2" t="inlineStr"/>
      <c r="H61" s="2" t="inlineStr"/>
      <c r="I61" s="2" t="inlineStr"/>
      <c r="J61" s="2" t="inlineStr"/>
      <c r="K61" s="2">
        <f>IFERROR(COUNTA(UNIQUE(C61:J61)),0)</f>
        <v/>
      </c>
      <c r="L61" s="2">
        <f>IF(K61=0,"–",IF(K61&lt;=2,1,IF(K61=3,2,3)))</f>
        <v/>
      </c>
    </row>
    <row r="62">
      <c r="A62" s="2" t="inlineStr">
        <is>
          <t>CO6</t>
        </is>
      </c>
      <c r="B62" s="2" t="inlineStr">
        <is>
          <t>PO1</t>
        </is>
      </c>
      <c r="C62" s="2" t="inlineStr"/>
      <c r="D62" s="2" t="inlineStr"/>
      <c r="E62" s="2" t="inlineStr"/>
      <c r="F62" s="2" t="inlineStr"/>
      <c r="G62" s="2" t="inlineStr"/>
      <c r="H62" s="2" t="inlineStr"/>
      <c r="I62" s="2" t="inlineStr"/>
      <c r="J62" s="2" t="inlineStr"/>
      <c r="K62" s="2">
        <f>IFERROR(COUNTA(UNIQUE(C62:J62)),0)</f>
        <v/>
      </c>
      <c r="L62" s="2">
        <f>IF(K62=0,"–",IF(K62&lt;=2,1,IF(K62=3,2,3)))</f>
        <v/>
      </c>
    </row>
    <row r="63">
      <c r="A63" s="2" t="inlineStr">
        <is>
          <t>CO6</t>
        </is>
      </c>
      <c r="B63" s="2" t="inlineStr">
        <is>
          <t>PO2</t>
        </is>
      </c>
      <c r="C63" s="2" t="inlineStr"/>
      <c r="D63" s="2" t="inlineStr"/>
      <c r="E63" s="2" t="inlineStr"/>
      <c r="F63" s="2" t="inlineStr"/>
      <c r="G63" s="2" t="inlineStr"/>
      <c r="H63" s="2" t="inlineStr"/>
      <c r="I63" s="2" t="inlineStr"/>
      <c r="J63" s="2" t="inlineStr"/>
      <c r="K63" s="2">
        <f>IFERROR(COUNTA(UNIQUE(C63:J63)),0)</f>
        <v/>
      </c>
      <c r="L63" s="2">
        <f>IF(K63=0,"–",IF(K63&lt;=2,1,IF(K63=3,2,3)))</f>
        <v/>
      </c>
    </row>
    <row r="64">
      <c r="A64" s="2" t="inlineStr">
        <is>
          <t>CO6</t>
        </is>
      </c>
      <c r="B64" s="2" t="inlineStr">
        <is>
          <t>PO3</t>
        </is>
      </c>
      <c r="C64" s="2" t="inlineStr"/>
      <c r="D64" s="2" t="inlineStr"/>
      <c r="E64" s="2" t="inlineStr"/>
      <c r="F64" s="2" t="inlineStr"/>
      <c r="G64" s="2" t="inlineStr"/>
      <c r="H64" s="2" t="inlineStr"/>
      <c r="I64" s="2" t="inlineStr"/>
      <c r="J64" s="2" t="inlineStr"/>
      <c r="K64" s="2">
        <f>IFERROR(COUNTA(UNIQUE(C64:J64)),0)</f>
        <v/>
      </c>
      <c r="L64" s="2">
        <f>IF(K64=0,"–",IF(K64&lt;=2,1,IF(K64=3,2,3)))</f>
        <v/>
      </c>
    </row>
    <row r="65">
      <c r="A65" s="2" t="inlineStr">
        <is>
          <t>CO6</t>
        </is>
      </c>
      <c r="B65" s="2" t="inlineStr">
        <is>
          <t>PO4</t>
        </is>
      </c>
      <c r="C65" s="2" t="inlineStr"/>
      <c r="D65" s="2" t="inlineStr"/>
      <c r="E65" s="2" t="inlineStr"/>
      <c r="F65" s="2" t="inlineStr"/>
      <c r="G65" s="2" t="inlineStr"/>
      <c r="H65" s="2" t="inlineStr"/>
      <c r="I65" s="2" t="inlineStr"/>
      <c r="J65" s="2" t="inlineStr"/>
      <c r="K65" s="2">
        <f>IFERROR(COUNTA(UNIQUE(C65:J65)),0)</f>
        <v/>
      </c>
      <c r="L65" s="2">
        <f>IF(K65=0,"–",IF(K65&lt;=2,1,IF(K65=3,2,3)))</f>
        <v/>
      </c>
    </row>
    <row r="66">
      <c r="A66" s="2" t="inlineStr">
        <is>
          <t>CO6</t>
        </is>
      </c>
      <c r="B66" s="2" t="inlineStr">
        <is>
          <t>PO5</t>
        </is>
      </c>
      <c r="C66" s="2" t="inlineStr"/>
      <c r="D66" s="2" t="inlineStr"/>
      <c r="E66" s="2" t="inlineStr"/>
      <c r="F66" s="2" t="inlineStr"/>
      <c r="G66" s="2" t="inlineStr"/>
      <c r="H66" s="2" t="inlineStr"/>
      <c r="I66" s="2" t="inlineStr"/>
      <c r="J66" s="2" t="inlineStr"/>
      <c r="K66" s="2">
        <f>IFERROR(COUNTA(UNIQUE(C66:J66)),0)</f>
        <v/>
      </c>
      <c r="L66" s="2">
        <f>IF(K66=0,"–",IF(K66&lt;=2,1,IF(K66=3,2,3)))</f>
        <v/>
      </c>
    </row>
    <row r="67">
      <c r="A67" s="2" t="inlineStr">
        <is>
          <t>CO6</t>
        </is>
      </c>
      <c r="B67" s="2" t="inlineStr">
        <is>
          <t>PO6</t>
        </is>
      </c>
      <c r="C67" s="2" t="inlineStr"/>
      <c r="D67" s="2" t="inlineStr"/>
      <c r="E67" s="2" t="inlineStr"/>
      <c r="F67" s="2" t="inlineStr"/>
      <c r="G67" s="2" t="inlineStr"/>
      <c r="H67" s="2" t="inlineStr"/>
      <c r="I67" s="2" t="inlineStr"/>
      <c r="J67" s="2" t="inlineStr"/>
      <c r="K67" s="2">
        <f>IFERROR(COUNTA(UNIQUE(C67:J67)),0)</f>
        <v/>
      </c>
      <c r="L67" s="2">
        <f>IF(K67=0,"–",IF(K67&lt;=2,1,IF(K67=3,2,3)))</f>
        <v/>
      </c>
    </row>
    <row r="68">
      <c r="A68" s="2" t="inlineStr">
        <is>
          <t>CO6</t>
        </is>
      </c>
      <c r="B68" s="2" t="inlineStr">
        <is>
          <t>PO7</t>
        </is>
      </c>
      <c r="C68" s="2" t="inlineStr"/>
      <c r="D68" s="2" t="inlineStr"/>
      <c r="E68" s="2" t="inlineStr"/>
      <c r="F68" s="2" t="inlineStr"/>
      <c r="G68" s="2" t="inlineStr"/>
      <c r="H68" s="2" t="inlineStr"/>
      <c r="I68" s="2" t="inlineStr"/>
      <c r="J68" s="2" t="inlineStr"/>
      <c r="K68" s="2">
        <f>IFERROR(COUNTA(UNIQUE(C68:J68)),0)</f>
        <v/>
      </c>
      <c r="L68" s="2">
        <f>IF(K68=0,"–",IF(K68&lt;=2,1,IF(K68=3,2,3)))</f>
        <v/>
      </c>
    </row>
    <row r="69">
      <c r="A69" s="2" t="inlineStr">
        <is>
          <t>CO6</t>
        </is>
      </c>
      <c r="B69" s="2" t="inlineStr">
        <is>
          <t>PO8</t>
        </is>
      </c>
      <c r="C69" s="2" t="inlineStr"/>
      <c r="D69" s="2" t="inlineStr"/>
      <c r="E69" s="2" t="inlineStr"/>
      <c r="F69" s="2" t="inlineStr"/>
      <c r="G69" s="2" t="inlineStr"/>
      <c r="H69" s="2" t="inlineStr"/>
      <c r="I69" s="2" t="inlineStr"/>
      <c r="J69" s="2" t="inlineStr"/>
      <c r="K69" s="2">
        <f>IFERROR(COUNTA(UNIQUE(C69:J69)),0)</f>
        <v/>
      </c>
      <c r="L69" s="2">
        <f>IF(K69=0,"–",IF(K69&lt;=2,1,IF(K69=3,2,3)))</f>
        <v/>
      </c>
    </row>
    <row r="70">
      <c r="A70" s="2" t="inlineStr">
        <is>
          <t>CO6</t>
        </is>
      </c>
      <c r="B70" s="2" t="inlineStr">
        <is>
          <t>PO9</t>
        </is>
      </c>
      <c r="C70" s="2" t="inlineStr"/>
      <c r="D70" s="2" t="inlineStr"/>
      <c r="E70" s="2" t="inlineStr"/>
      <c r="F70" s="2" t="inlineStr"/>
      <c r="G70" s="2" t="inlineStr"/>
      <c r="H70" s="2" t="inlineStr"/>
      <c r="I70" s="2" t="inlineStr"/>
      <c r="J70" s="2" t="inlineStr"/>
      <c r="K70" s="2">
        <f>IFERROR(COUNTA(UNIQUE(C70:J70)),0)</f>
        <v/>
      </c>
      <c r="L70" s="2">
        <f>IF(K70=0,"–",IF(K70&lt;=2,1,IF(K70=3,2,3)))</f>
        <v/>
      </c>
    </row>
    <row r="71">
      <c r="A71" s="2" t="inlineStr">
        <is>
          <t>CO6</t>
        </is>
      </c>
      <c r="B71" s="2" t="inlineStr">
        <is>
          <t>PO10</t>
        </is>
      </c>
      <c r="C71" s="2" t="inlineStr"/>
      <c r="D71" s="2" t="inlineStr"/>
      <c r="E71" s="2" t="inlineStr"/>
      <c r="F71" s="2" t="inlineStr"/>
      <c r="G71" s="2" t="inlineStr"/>
      <c r="H71" s="2" t="inlineStr"/>
      <c r="I71" s="2" t="inlineStr"/>
      <c r="J71" s="2" t="inlineStr"/>
      <c r="K71" s="2">
        <f>IFERROR(COUNTA(UNIQUE(C71:J71)),0)</f>
        <v/>
      </c>
      <c r="L71" s="2">
        <f>IF(K71=0,"–",IF(K71&lt;=2,1,IF(K71=3,2,3)))</f>
        <v/>
      </c>
    </row>
    <row r="72">
      <c r="A72" s="2" t="inlineStr">
        <is>
          <t>CO6</t>
        </is>
      </c>
      <c r="B72" s="2" t="inlineStr">
        <is>
          <t>PO11</t>
        </is>
      </c>
      <c r="C72" s="2" t="inlineStr"/>
      <c r="D72" s="2" t="inlineStr"/>
      <c r="E72" s="2" t="inlineStr"/>
      <c r="F72" s="2" t="inlineStr"/>
      <c r="G72" s="2" t="inlineStr"/>
      <c r="H72" s="2" t="inlineStr"/>
      <c r="I72" s="2" t="inlineStr"/>
      <c r="J72" s="2" t="inlineStr"/>
      <c r="K72" s="2">
        <f>IFERROR(COUNTA(UNIQUE(C72:J72)),0)</f>
        <v/>
      </c>
      <c r="L72" s="2">
        <f>IF(K72=0,"–",IF(K72&lt;=2,1,IF(K72=3,2,3)))</f>
        <v/>
      </c>
    </row>
    <row r="73">
      <c r="A73" s="2" t="inlineStr">
        <is>
          <t>CO6</t>
        </is>
      </c>
      <c r="B73" s="2" t="inlineStr">
        <is>
          <t>PO12</t>
        </is>
      </c>
      <c r="C73" s="2" t="inlineStr"/>
      <c r="D73" s="2" t="inlineStr"/>
      <c r="E73" s="2" t="inlineStr"/>
      <c r="F73" s="2" t="inlineStr"/>
      <c r="G73" s="2" t="inlineStr"/>
      <c r="H73" s="2" t="inlineStr"/>
      <c r="I73" s="2" t="inlineStr"/>
      <c r="J73" s="2" t="inlineStr"/>
      <c r="K73" s="2">
        <f>IFERROR(COUNTA(UNIQUE(C73:J73)),0)</f>
        <v/>
      </c>
      <c r="L73" s="2">
        <f>IF(K73=0,"–",IF(K73&lt;=2,1,IF(K73=3,2,3)))</f>
        <v/>
      </c>
    </row>
  </sheetData>
  <dataValidations count="1">
    <dataValidation sqref="C2 D2 E2 F2 G2 H2 I2 J2 C3 D3 E3 F3 G3 H3 I3 J3 C4 D4 E4 F4 G4 H4 I4 J4 C5 D5 E5 F5 G5 H5 I5 J5 C6 D6 E6 F6 G6 H6 I6 J6 C7 D7 E7 F7 G7 H7 I7 J7 C8 D8 E8 F8 G8 H8 I8 J8 C9 D9 E9 F9 G9 H9 I9 J9 C10 D10 E10 F10 G10 H10 I10 J10 C11 D11 E11 F11 G11 H11 I11 J11 C12 D12 E12 F12 G12 H12 I12 J12 C13 D13 E13 F13 G13 H13 I13 J13 C14 D14 E14 F14 G14 H14 I14 J14 C15 D15 E15 F15 G15 H15 I15 J15 C16 D16 E16 F16 G16 H16 I16 J16 C17 D17 E17 F17 G17 H17 I17 J17 C18 D18 E18 F18 G18 H18 I18 J18 C19 D19 E19 F19 G19 H19 I19 J19 C20 D20 E20 F20 G20 H20 I20 J20 C21 D21 E21 F21 G21 H21 I21 J21 C22 D22 E22 F22 G22 H22 I22 J22 C23 D23 E23 F23 G23 H23 I23 J23 C24 D24 E24 F24 G24 H24 I24 J24 C25 D25 E25 F25 G25 H25 I25 J25 C26 D26 E26 F26 G26 H26 I26 J26 C27 D27 E27 F27 G27 H27 I27 J27 C28 D28 E28 F28 G28 H28 I28 J28 C29 D29 E29 F29 G29 H29 I29 J29 C30 D30 E30 F30 G30 H30 I30 J30 C31 D31 E31 F31 G31 H31 I31 J31 C32 D32 E32 F32 G32 H32 I32 J32 C33 D33 E33 F33 G33 H33 I33 J33 C34 D34 E34 F34 G34 H34 I34 J34 C35 D35 E35 F35 G35 H35 I35 J35 C36 D36 E36 F36 G36 H36 I36 J36 C37 D37 E37 F37 G37 H37 I37 J37 C38 D38 E38 F38 G38 H38 I38 J38 C39 D39 E39 F39 G39 H39 I39 J39 C40 D40 E40 F40 G40 H40 I40 J40 C41 D41 E41 F41 G41 H41 I41 J41 C42 D42 E42 F42 G42 H42 I42 J42 C43 D43 E43 F43 G43 H43 I43 J43 C44 D44 E44 F44 G44 H44 I44 J44 C45 D45 E45 F45 G45 H45 I45 J45 C46 D46 E46 F46 G46 H46 I46 J46 C47 D47 E47 F47 G47 H47 I47 J47 C48 D48 E48 F48 G48 H48 I48 J48 C49 D49 E49 F49 G49 H49 I49 J49 C50 D50 E50 F50 G50 H50 I50 J50 C51 D51 E51 F51 G51 H51 I51 J51 C52 D52 E52 F52 G52 H52 I52 J52 C53 D53 E53 F53 G53 H53 I53 J53 C54 D54 E54 F54 G54 H54 I54 J54 C55 D55 E55 F55 G55 H55 I55 J55 C56 D56 E56 F56 G56 H56 I56 J56 C57 D57 E57 F57 G57 H57 I57 J57 C58 D58 E58 F58 G58 H58 I58 J58 C59 D59 E59 F59 G59 H59 I59 J59 C60 D60 E60 F60 G60 H60 I60 J60 C61 D61 E61 F61 G61 H61 I61 J61 C62 D62 E62 F62 G62 H62 I62 J62 C63 D63 E63 F63 G63 H63 I63 J63 C64 D64 E64 F64 G64 H64 I64 J64 C65 D65 E65 F65 G65 H65 I65 J65 C66 D66 E66 F66 G66 H66 I66 J66 C67 D67 E67 F67 G67 H67 I67 J67 C68 D68 E68 F68 G68 H68 I68 J68 C69 D69 E69 F69 G69 H69 I69 J69 C70 D70 E70 F70 G70 H70 I70 J70 C71 D71 E71 F71 G71 H71 I71 J71 C72 D72 E72 F72 G72 H72 I72 J72 C73 D73 E73 F73 G73 H73 I73 J73" showErrorMessage="1" showInputMessage="1" allowBlank="1" errorTitle="Invalid selection" error="Choose from the dropdown list of standard assessment tools." type="list">
      <formula1>'Tool_Catalog'!$A$2:$A$19</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c r="A1" s="1" t="inlineStr"/>
      <c r="B1" s="1" t="inlineStr">
        <is>
          <t>PO1</t>
        </is>
      </c>
      <c r="C1" s="1" t="inlineStr">
        <is>
          <t>PO2</t>
        </is>
      </c>
      <c r="D1" s="1" t="inlineStr">
        <is>
          <t>PO3</t>
        </is>
      </c>
      <c r="E1" s="1" t="inlineStr">
        <is>
          <t>PO4</t>
        </is>
      </c>
      <c r="F1" s="1" t="inlineStr">
        <is>
          <t>PO5</t>
        </is>
      </c>
      <c r="G1" s="1" t="inlineStr">
        <is>
          <t>PO6</t>
        </is>
      </c>
      <c r="H1" s="1" t="inlineStr">
        <is>
          <t>PO7</t>
        </is>
      </c>
      <c r="I1" s="1" t="inlineStr">
        <is>
          <t>PO8</t>
        </is>
      </c>
      <c r="J1" s="1" t="inlineStr">
        <is>
          <t>PO9</t>
        </is>
      </c>
      <c r="K1" s="1" t="inlineStr">
        <is>
          <t>PO10</t>
        </is>
      </c>
      <c r="L1" s="1" t="inlineStr">
        <is>
          <t>PO11</t>
        </is>
      </c>
      <c r="M1" s="1" t="inlineStr">
        <is>
          <t>PO12</t>
        </is>
      </c>
    </row>
    <row r="2">
      <c r="A2" s="2" t="inlineStr">
        <is>
          <t>CO1</t>
        </is>
      </c>
      <c r="B2" s="2">
        <f>INDEX('CO_PO_Tools'!L:L,2)</f>
        <v/>
      </c>
      <c r="C2" s="2">
        <f>INDEX('CO_PO_Tools'!L:L,3)</f>
        <v/>
      </c>
      <c r="D2" s="2">
        <f>INDEX('CO_PO_Tools'!L:L,4)</f>
        <v/>
      </c>
      <c r="E2" s="2">
        <f>INDEX('CO_PO_Tools'!L:L,5)</f>
        <v/>
      </c>
      <c r="F2" s="2">
        <f>INDEX('CO_PO_Tools'!L:L,6)</f>
        <v/>
      </c>
      <c r="G2" s="2">
        <f>INDEX('CO_PO_Tools'!L:L,7)</f>
        <v/>
      </c>
      <c r="H2" s="2">
        <f>INDEX('CO_PO_Tools'!L:L,8)</f>
        <v/>
      </c>
      <c r="I2" s="2">
        <f>INDEX('CO_PO_Tools'!L:L,9)</f>
        <v/>
      </c>
      <c r="J2" s="2">
        <f>INDEX('CO_PO_Tools'!L:L,10)</f>
        <v/>
      </c>
      <c r="K2" s="2">
        <f>INDEX('CO_PO_Tools'!L:L,11)</f>
        <v/>
      </c>
      <c r="L2" s="2">
        <f>INDEX('CO_PO_Tools'!L:L,12)</f>
        <v/>
      </c>
      <c r="M2" s="2">
        <f>INDEX('CO_PO_Tools'!L:L,13)</f>
        <v/>
      </c>
    </row>
    <row r="3">
      <c r="A3" s="2" t="inlineStr">
        <is>
          <t>CO2</t>
        </is>
      </c>
      <c r="B3" s="2">
        <f>INDEX('CO_PO_Tools'!L:L,14)</f>
        <v/>
      </c>
      <c r="C3" s="2">
        <f>INDEX('CO_PO_Tools'!L:L,15)</f>
        <v/>
      </c>
      <c r="D3" s="2">
        <f>INDEX('CO_PO_Tools'!L:L,16)</f>
        <v/>
      </c>
      <c r="E3" s="2">
        <f>INDEX('CO_PO_Tools'!L:L,17)</f>
        <v/>
      </c>
      <c r="F3" s="2">
        <f>INDEX('CO_PO_Tools'!L:L,18)</f>
        <v/>
      </c>
      <c r="G3" s="2">
        <f>INDEX('CO_PO_Tools'!L:L,19)</f>
        <v/>
      </c>
      <c r="H3" s="2">
        <f>INDEX('CO_PO_Tools'!L:L,20)</f>
        <v/>
      </c>
      <c r="I3" s="2">
        <f>INDEX('CO_PO_Tools'!L:L,21)</f>
        <v/>
      </c>
      <c r="J3" s="2">
        <f>INDEX('CO_PO_Tools'!L:L,22)</f>
        <v/>
      </c>
      <c r="K3" s="2">
        <f>INDEX('CO_PO_Tools'!L:L,23)</f>
        <v/>
      </c>
      <c r="L3" s="2">
        <f>INDEX('CO_PO_Tools'!L:L,24)</f>
        <v/>
      </c>
      <c r="M3" s="2">
        <f>INDEX('CO_PO_Tools'!L:L,25)</f>
        <v/>
      </c>
    </row>
    <row r="4">
      <c r="A4" s="2" t="inlineStr">
        <is>
          <t>CO3</t>
        </is>
      </c>
      <c r="B4" s="2">
        <f>INDEX('CO_PO_Tools'!L:L,26)</f>
        <v/>
      </c>
      <c r="C4" s="2">
        <f>INDEX('CO_PO_Tools'!L:L,27)</f>
        <v/>
      </c>
      <c r="D4" s="2">
        <f>INDEX('CO_PO_Tools'!L:L,28)</f>
        <v/>
      </c>
      <c r="E4" s="2">
        <f>INDEX('CO_PO_Tools'!L:L,29)</f>
        <v/>
      </c>
      <c r="F4" s="2">
        <f>INDEX('CO_PO_Tools'!L:L,30)</f>
        <v/>
      </c>
      <c r="G4" s="2">
        <f>INDEX('CO_PO_Tools'!L:L,31)</f>
        <v/>
      </c>
      <c r="H4" s="2">
        <f>INDEX('CO_PO_Tools'!L:L,32)</f>
        <v/>
      </c>
      <c r="I4" s="2">
        <f>INDEX('CO_PO_Tools'!L:L,33)</f>
        <v/>
      </c>
      <c r="J4" s="2">
        <f>INDEX('CO_PO_Tools'!L:L,34)</f>
        <v/>
      </c>
      <c r="K4" s="2">
        <f>INDEX('CO_PO_Tools'!L:L,35)</f>
        <v/>
      </c>
      <c r="L4" s="2">
        <f>INDEX('CO_PO_Tools'!L:L,36)</f>
        <v/>
      </c>
      <c r="M4" s="2">
        <f>INDEX('CO_PO_Tools'!L:L,37)</f>
        <v/>
      </c>
    </row>
    <row r="5">
      <c r="A5" s="2" t="inlineStr">
        <is>
          <t>CO4</t>
        </is>
      </c>
      <c r="B5" s="2">
        <f>INDEX('CO_PO_Tools'!L:L,38)</f>
        <v/>
      </c>
      <c r="C5" s="2">
        <f>INDEX('CO_PO_Tools'!L:L,39)</f>
        <v/>
      </c>
      <c r="D5" s="2">
        <f>INDEX('CO_PO_Tools'!L:L,40)</f>
        <v/>
      </c>
      <c r="E5" s="2">
        <f>INDEX('CO_PO_Tools'!L:L,41)</f>
        <v/>
      </c>
      <c r="F5" s="2">
        <f>INDEX('CO_PO_Tools'!L:L,42)</f>
        <v/>
      </c>
      <c r="G5" s="2">
        <f>INDEX('CO_PO_Tools'!L:L,43)</f>
        <v/>
      </c>
      <c r="H5" s="2">
        <f>INDEX('CO_PO_Tools'!L:L,44)</f>
        <v/>
      </c>
      <c r="I5" s="2">
        <f>INDEX('CO_PO_Tools'!L:L,45)</f>
        <v/>
      </c>
      <c r="J5" s="2">
        <f>INDEX('CO_PO_Tools'!L:L,46)</f>
        <v/>
      </c>
      <c r="K5" s="2">
        <f>INDEX('CO_PO_Tools'!L:L,47)</f>
        <v/>
      </c>
      <c r="L5" s="2">
        <f>INDEX('CO_PO_Tools'!L:L,48)</f>
        <v/>
      </c>
      <c r="M5" s="2">
        <f>INDEX('CO_PO_Tools'!L:L,49)</f>
        <v/>
      </c>
    </row>
    <row r="6">
      <c r="A6" s="2" t="inlineStr">
        <is>
          <t>CO5</t>
        </is>
      </c>
      <c r="B6" s="2">
        <f>INDEX('CO_PO_Tools'!L:L,50)</f>
        <v/>
      </c>
      <c r="C6" s="2">
        <f>INDEX('CO_PO_Tools'!L:L,51)</f>
        <v/>
      </c>
      <c r="D6" s="2">
        <f>INDEX('CO_PO_Tools'!L:L,52)</f>
        <v/>
      </c>
      <c r="E6" s="2">
        <f>INDEX('CO_PO_Tools'!L:L,53)</f>
        <v/>
      </c>
      <c r="F6" s="2">
        <f>INDEX('CO_PO_Tools'!L:L,54)</f>
        <v/>
      </c>
      <c r="G6" s="2">
        <f>INDEX('CO_PO_Tools'!L:L,55)</f>
        <v/>
      </c>
      <c r="H6" s="2">
        <f>INDEX('CO_PO_Tools'!L:L,56)</f>
        <v/>
      </c>
      <c r="I6" s="2">
        <f>INDEX('CO_PO_Tools'!L:L,57)</f>
        <v/>
      </c>
      <c r="J6" s="2">
        <f>INDEX('CO_PO_Tools'!L:L,58)</f>
        <v/>
      </c>
      <c r="K6" s="2">
        <f>INDEX('CO_PO_Tools'!L:L,59)</f>
        <v/>
      </c>
      <c r="L6" s="2">
        <f>INDEX('CO_PO_Tools'!L:L,60)</f>
        <v/>
      </c>
      <c r="M6" s="2">
        <f>INDEX('CO_PO_Tools'!L:L,61)</f>
        <v/>
      </c>
    </row>
    <row r="7">
      <c r="A7" s="2" t="inlineStr">
        <is>
          <t>CO6</t>
        </is>
      </c>
      <c r="B7" s="2">
        <f>INDEX('CO_PO_Tools'!L:L,62)</f>
        <v/>
      </c>
      <c r="C7" s="2">
        <f>INDEX('CO_PO_Tools'!L:L,63)</f>
        <v/>
      </c>
      <c r="D7" s="2">
        <f>INDEX('CO_PO_Tools'!L:L,64)</f>
        <v/>
      </c>
      <c r="E7" s="2">
        <f>INDEX('CO_PO_Tools'!L:L,65)</f>
        <v/>
      </c>
      <c r="F7" s="2">
        <f>INDEX('CO_PO_Tools'!L:L,66)</f>
        <v/>
      </c>
      <c r="G7" s="2">
        <f>INDEX('CO_PO_Tools'!L:L,67)</f>
        <v/>
      </c>
      <c r="H7" s="2">
        <f>INDEX('CO_PO_Tools'!L:L,68)</f>
        <v/>
      </c>
      <c r="I7" s="2">
        <f>INDEX('CO_PO_Tools'!L:L,69)</f>
        <v/>
      </c>
      <c r="J7" s="2">
        <f>INDEX('CO_PO_Tools'!L:L,70)</f>
        <v/>
      </c>
      <c r="K7" s="2">
        <f>INDEX('CO_PO_Tools'!L:L,71)</f>
        <v/>
      </c>
      <c r="L7" s="2">
        <f>INDEX('CO_PO_Tools'!L:L,72)</f>
        <v/>
      </c>
      <c r="M7" s="2">
        <f>INDEX('CO_PO_Tools'!L:L,73)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3" t="inlineStr">
        <is>
          <t>How to use</t>
        </is>
      </c>
    </row>
    <row r="2">
      <c r="A2" s="3" t="inlineStr">
        <is>
          <t>1) (Optional) Update 'Tool_Catalog' to reflect your institute's assessment tools.</t>
        </is>
      </c>
    </row>
    <row r="3">
      <c r="A3" s="3" t="inlineStr">
        <is>
          <t>2) Define your COs in 'CO_List'.</t>
        </is>
      </c>
    </row>
    <row r="4">
      <c r="A4" s="3" t="inlineStr">
        <is>
          <t>3) In 'CO_PO_Tools', for each CO–PO pair, select up to 8 distinct tools from the dropdowns.</t>
        </is>
      </c>
    </row>
    <row r="5">
      <c r="A5" s="3" t="inlineStr">
        <is>
          <t xml:space="preserve">   Excel auto-counts unique tools and assigns mapping (–/1/2/3): 0→–, 1–2→1, 3→2, ≥4→3.</t>
        </is>
      </c>
    </row>
    <row r="6">
      <c r="A6" s="3" t="inlineStr">
        <is>
          <t>4) View 'Summary_Matrix' for the CO×PO articulation filled with mapping values.</t>
        </is>
      </c>
    </row>
    <row r="7">
      <c r="A7" s="3" t="inlineStr"/>
    </row>
    <row r="8">
      <c r="A8" s="3" t="inlineStr">
        <is>
          <t>Notes</t>
        </is>
      </c>
    </row>
    <row r="9">
      <c r="A9" s="3" t="inlineStr">
        <is>
          <t>• Each tool selection counts once per CO–PO pair (unique count).</t>
        </is>
      </c>
    </row>
    <row r="10">
      <c r="A10" s="3" t="inlineStr">
        <is>
          <t>• You can increase tool slots by inserting more 'Tool' columns; copy the unique-count and mapping formulas.</t>
        </is>
      </c>
    </row>
    <row r="11">
      <c r="A11" s="3" t="inlineStr">
        <is>
          <t>• Combine this with the Contact Hours and Bloom’s Level templates for holistic mapping.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2025-09-01T02:02:28Z</dcterms:created>
  <dcterms:modified xmlns:dcterms="http://purl.org/dc/terms/" xmlns:xsi="http://www.w3.org/2001/XMLSchema-instance" xsi:type="dcterms:W3CDTF">2025-09-01T02:02:28Z</dcterms:modified>
</cp:coreProperties>
</file>