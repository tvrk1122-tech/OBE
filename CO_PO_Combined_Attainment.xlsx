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shboard" sheetId="1" state="visible" r:id="rId3"/>
    <sheet name="CS301" sheetId="2" state="visible" r:id="rId4"/>
    <sheet name="CS302" sheetId="3" state="visible" r:id="rId5"/>
    <sheet name="CS303" sheetId="4" state="visible" r:id="rId6"/>
    <sheet name="CS304" sheetId="5" state="visible" r:id="rId7"/>
    <sheet name="CS305" sheetId="6" state="visible" r:id="rId8"/>
    <sheet name="CO Comparison" sheetId="7" state="visible" r:id="rId9"/>
    <sheet name="CO-PO Mapping" sheetId="8" state="visible" r:id="rId10"/>
    <sheet name="PO Direct Attainment" sheetId="9" state="visible" r:id="rId11"/>
    <sheet name="PO Indirect Attainment" sheetId="10" state="visible" r:id="rId12"/>
    <sheet name="PO Total Attainmen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<sst xmlns="http://schemas.openxmlformats.org/spreadsheetml/2006/main" count="719" uniqueCount="170">
  <si>
    <t xml:space="preserve">CO &amp; PO ATTAINMENT MASTER REPORT  —  B.Tech Computer Science &amp; Engineering  |  Academic Year 2024-25</t>
  </si>
  <si>
    <t xml:space="preserve">Integrated Report: CO Attainment → CO-PO Mapping → PO Direct Attainment → PO Indirect Attainment → PO Total Attainment</t>
  </si>
  <si>
    <t xml:space="preserve">SECTION A — CO ATTAINMENT SUMMARY (Course-wise)</t>
  </si>
  <si>
    <t xml:space="preserve">SECTION B — PO / PSO TOTAL ATTAINMENT SUMMARY</t>
  </si>
  <si>
    <t xml:space="preserve">#</t>
  </si>
  <si>
    <t xml:space="preserve">Course</t>
  </si>
  <si>
    <t xml:space="preserve">Code</t>
  </si>
  <si>
    <t xml:space="preserve">Credits</t>
  </si>
  <si>
    <t xml:space="preserve">CO Att%
(Avg)</t>
  </si>
  <si>
    <t xml:space="preserve">CIE%</t>
  </si>
  <si>
    <t xml:space="preserve">SEE%</t>
  </si>
  <si>
    <t xml:space="preserve">Level</t>
  </si>
  <si>
    <t xml:space="preserve">PO/PSO</t>
  </si>
  <si>
    <t xml:space="preserve">Description</t>
  </si>
  <si>
    <t xml:space="preserve">Direct
Att%</t>
  </si>
  <si>
    <t xml:space="preserve">Indirect
Att%</t>
  </si>
  <si>
    <t xml:space="preserve">Total
Att%</t>
  </si>
  <si>
    <t xml:space="preserve">Target</t>
  </si>
  <si>
    <t xml:space="preserve">Gap</t>
  </si>
  <si>
    <t xml:space="preserve">Status</t>
  </si>
  <si>
    <t xml:space="preserve">Data Structures &amp; Algorithms</t>
  </si>
  <si>
    <t xml:space="preserve">CS301</t>
  </si>
  <si>
    <t xml:space="preserve">PO1</t>
  </si>
  <si>
    <t xml:space="preserve">Engineering Knowledge</t>
  </si>
  <si>
    <t xml:space="preserve">Database Management Systems</t>
  </si>
  <si>
    <t xml:space="preserve">CS302</t>
  </si>
  <si>
    <t xml:space="preserve">PO2</t>
  </si>
  <si>
    <t xml:space="preserve">Problem Analysis</t>
  </si>
  <si>
    <t xml:space="preserve">Computer Networks</t>
  </si>
  <si>
    <t xml:space="preserve">CS303</t>
  </si>
  <si>
    <t xml:space="preserve">PO3</t>
  </si>
  <si>
    <t xml:space="preserve">Design/Development of Solutions</t>
  </si>
  <si>
    <t xml:space="preserve">Operating Systems</t>
  </si>
  <si>
    <t xml:space="preserve">CS304</t>
  </si>
  <si>
    <t xml:space="preserve">PO4</t>
  </si>
  <si>
    <t xml:space="preserve">Conduct Investigations of Complex Problems</t>
  </si>
  <si>
    <t xml:space="preserve">Machine Learning</t>
  </si>
  <si>
    <t xml:space="preserve">CS305</t>
  </si>
  <si>
    <t xml:space="preserve">PO5</t>
  </si>
  <si>
    <t xml:space="preserve">Modern Tool Usage</t>
  </si>
  <si>
    <t xml:space="preserve">PO6</t>
  </si>
  <si>
    <t xml:space="preserve">The Engineer and Society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</si>
  <si>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</si>
  <si>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</si>
  <si>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</si>
  <si>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</si>
  <si>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PO9</t>
  </si>
  <si>
    <t xml:space="preserve">Individual and Team Work</t>
  </si>
  <si>
    <t xml:space="preserve">PO10</t>
  </si>
  <si>
    <t xml:space="preserve">Communication</t>
  </si>
  <si>
    <t xml:space="preserve">PO11</t>
  </si>
  <si>
    <t xml:space="preserve">Project Management and Finance</t>
  </si>
  <si>
    <t xml:space="preserve">PO12</t>
  </si>
  <si>
    <t xml:space="preserve">Life-long Learning</t>
  </si>
  <si>
    <t xml:space="preserve">PSO1</t>
  </si>
  <si>
    <t xml:space="preserve">Apply core CS concepts to design software systems</t>
  </si>
  <si>
    <t xml:space="preserve">PSO2</t>
  </si>
  <si>
    <t xml:space="preserve">Use modern tools to solve real-world engineering problems</t>
  </si>
  <si>
    <t xml:space="preserve">PSO3</t>
  </si>
  <si>
    <t xml:space="preserve">Demonstrate professional skills for industry/research</t>
  </si>
  <si>
    <t xml:space="preserve">CO ATTAINMENT — Data Structures &amp; Algorithms (CS301)</t>
  </si>
  <si>
    <t xml:space="preserve">CIE=(Mid-1+Mid-2)/2+Assignment+Quiz → 50M  |  SEE=100M→50M  |  Total=100M</t>
  </si>
  <si>
    <t xml:space="preserve">Student Info</t>
  </si>
  <si>
    <t xml:space="preserve">MID-1 (30M)</t>
  </si>
  <si>
    <t xml:space="preserve">MID-2 (30M)</t>
  </si>
  <si>
    <t xml:space="preserve">ASSIGNMENT (10M)</t>
  </si>
  <si>
    <t xml:space="preserve">QUIZ (10M)</t>
  </si>
  <si>
    <t xml:space="preserve">SEE (100M)</t>
  </si>
  <si>
    <t xml:space="preserve">CIE
(50M)</t>
  </si>
  <si>
    <t xml:space="preserve">SEE
(50M)</t>
  </si>
  <si>
    <t xml:space="preserve">TOTAL
(100M)</t>
  </si>
  <si>
    <t xml:space="preserve">S.No</t>
  </si>
  <si>
    <t xml:space="preserve">Reg No</t>
  </si>
  <si>
    <t xml:space="preserve">Name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</si>
  <si>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</si>
  <si>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</si>
  <si>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</si>
  <si>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</si>
  <si>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</si>
  <si>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Formula</t>
  </si>
  <si>
    <t xml:space="preserve">MAX MARKS (Edit)</t>
  </si>
  <si>
    <t xml:space="preserve">S001</t>
  </si>
  <si>
    <t xml:space="preserve">Aarav Sharma</t>
  </si>
  <si>
    <t xml:space="preserve">S002</t>
  </si>
  <si>
    <t xml:space="preserve">Priya Patel</t>
  </si>
  <si>
    <t xml:space="preserve">S003</t>
  </si>
  <si>
    <t xml:space="preserve">Rohan Mehta</t>
  </si>
  <si>
    <t xml:space="preserve">S004</t>
  </si>
  <si>
    <t xml:space="preserve">Sneha Reddy</t>
  </si>
  <si>
    <t xml:space="preserve">S005</t>
  </si>
  <si>
    <t xml:space="preserve">Vikram Singh</t>
  </si>
  <si>
    <t xml:space="preserve">S006</t>
  </si>
  <si>
    <t xml:space="preserve">Anjali Nair</t>
  </si>
  <si>
    <t xml:space="preserve">S007</t>
  </si>
  <si>
    <t xml:space="preserve">Kiran Kumar</t>
  </si>
  <si>
    <t xml:space="preserve">S008</t>
  </si>
  <si>
    <t xml:space="preserve">Divya Rao</t>
  </si>
  <si>
    <t xml:space="preserve">S009</t>
  </si>
  <si>
    <t xml:space="preserve">Arjun Gupta</t>
  </si>
  <si>
    <t xml:space="preserve">S010</t>
  </si>
  <si>
    <t xml:space="preserve">Pooja Iyer</t>
  </si>
  <si>
    <t xml:space="preserve">S011</t>
  </si>
  <si>
    <t xml:space="preserve">Rahul Verma</t>
  </si>
  <si>
    <t xml:space="preserve">S012</t>
  </si>
  <si>
    <t xml:space="preserve">Meera Joshi</t>
  </si>
  <si>
    <t xml:space="preserve">S013</t>
  </si>
  <si>
    <t xml:space="preserve">Suresh Pillai</t>
  </si>
  <si>
    <t xml:space="preserve">S014</t>
  </si>
  <si>
    <t xml:space="preserve">Kavya Menon</t>
  </si>
  <si>
    <t xml:space="preserve">S015</t>
  </si>
  <si>
    <t xml:space="preserve">Aditya Bhat</t>
  </si>
  <si>
    <t xml:space="preserve">S016</t>
  </si>
  <si>
    <t xml:space="preserve">Lakshmi Das</t>
  </si>
  <si>
    <t xml:space="preserve">S017</t>
  </si>
  <si>
    <t xml:space="preserve">Nikhil Tiwari</t>
  </si>
  <si>
    <t xml:space="preserve">S018</t>
  </si>
  <si>
    <t xml:space="preserve">Riya Shah</t>
  </si>
  <si>
    <t xml:space="preserve">S019</t>
  </si>
  <si>
    <t xml:space="preserve">Manish Yadav</t>
  </si>
  <si>
    <t xml:space="preserve">S020</t>
  </si>
  <si>
    <t xml:space="preserve">Deepa Nambiar</t>
  </si>
  <si>
    <t xml:space="preserve">CLASS AVERAGE</t>
  </si>
  <si>
    <t xml:space="preserve">CO ATTAINMENT %</t>
  </si>
  <si>
    <t xml:space="preserve">LEVEL (3/2/1)</t>
  </si>
  <si>
    <t xml:space="preserve">CO ATTAINMENT — Database Management Systems (CS302)</t>
  </si>
  <si>
    <t xml:space="preserve">CO ATTAINMENT — Computer Networks (CS303)</t>
  </si>
  <si>
    <t xml:space="preserve">CO ATTAINMENT — Operating Systems (CS304)</t>
  </si>
  <si>
    <t xml:space="preserve">CO ATTAINMENT — Machine Learning (CS305)</t>
  </si>
  <si>
    <t xml:space="preserve">CO6</t>
  </si>
  <si>
    <t xml:space="preserve">CO ATTAINMENT COMPARISON — ALL COURSES</t>
  </si>
  <si>
    <t xml:space="preserve">All values auto-linked from individual course sheets</t>
  </si>
  <si>
    <t xml:space="preserve">Overall%</t>
  </si>
  <si>
    <t xml:space="preserve">—</t>
  </si>
  <si>
    <t xml:space="preserve">CO–PO / CO–PSO MAPPING MATRIX  (3=High  2=Medium  1=Low  0=No Relation)</t>
  </si>
  <si>
    <t xml:space="preserve">Enter/edit correlation values (0-3) in yellow cells. PO Attainment sheet reads these automatically.</t>
  </si>
  <si>
    <t xml:space="preserve">CO</t>
  </si>
  <si>
    <t xml:space="preserve">CO Att%</t>
  </si>
  <si>
    <t xml:space="preserve">PROGRAMME OUTCOMES (PO1–PO12)</t>
  </si>
  <si>
    <t xml:space="preserve">PROGRAMME SPECIFIC OUTCOMES</t>
  </si>
  <si>
    <t xml:space="preserve">PO DIRECT ATTAINMENT — Course-wise  (Formula: SUMPRODUCT(CO_Att × CO-PO Mapping) ÷ SUMIF(Mapping,&gt;0))</t>
  </si>
  <si>
    <t xml:space="preserve">Values auto-calculated from CO-PO Mapping sheet. Credit-weighted average gives Programme-level PO attainment.</t>
  </si>
  <si>
    <t xml:space="preserve">PROGRAMME OUTCOMES</t>
  </si>
  <si>
    <t xml:space="preserve">PSOs</t>
  </si>
  <si>
    <t xml:space="preserve">SUMMARY</t>
  </si>
  <si>
    <t xml:space="preserve">Avg PO%</t>
  </si>
  <si>
    <t xml:space="preserve">Avg PSO%</t>
  </si>
  <si>
    <t xml:space="preserve">CREDIT-WEIGHTED PO ATTAINMENT (Programme)</t>
  </si>
  <si>
    <t xml:space="preserve">PO INDIRECT ATTAINMENT — Survey &amp; Feedback Based</t>
  </si>
  <si>
    <t xml:space="preserve">Sources: Course Exit Survey (20%) · Programme Exit Survey (25%) · Alumni Survey (20%) · Employer Survey (20%) · Internship Feedback (15%)</t>
  </si>
  <si>
    <t xml:space="preserve">Exit
Survey
(20%)</t>
  </si>
  <si>
    <t xml:space="preserve">Exit
Prog
(25%)</t>
  </si>
  <si>
    <t xml:space="preserve">Alumni
(20%)</t>
  </si>
  <si>
    <t xml:space="preserve">Employer
(20%)</t>
  </si>
  <si>
    <t xml:space="preserve">Internship
(15%)</t>
  </si>
  <si>
    <t xml:space="preserve">TOOL WEIGHTS →</t>
  </si>
  <si>
    <t xml:space="preserve">PO / PSO TOTAL ATTAINMENT  =  Direct (80%) + Indirect (20%)  —  B.Tech CSE  |  AY 2024-25</t>
  </si>
  <si>
    <t xml:space="preserve">Total = (Direct Att% × 80%) + (Indirect Att% × 20%)  |  NBA Recommended Weightage  |  Target ≥ 60%</t>
  </si>
  <si>
    <t xml:space="preserve">WEIGHT CONFIG</t>
  </si>
  <si>
    <t xml:space="preserve">Direct Wt</t>
  </si>
  <si>
    <t xml:space="preserve">Indirect Wt</t>
  </si>
  <si>
    <t xml:space="preserve">Total (=100%)</t>
  </si>
  <si>
    <t xml:space="preserve">← Edit C5 &amp; D5 only</t>
  </si>
  <si>
    <t xml:space="preserve">Weights →</t>
  </si>
  <si>
    <t xml:space="preserve">DIRECT</t>
  </si>
  <si>
    <t xml:space="preserve">INDIRECT</t>
  </si>
  <si>
    <t xml:space="preserve">TOTAL ATTAINMENT</t>
  </si>
  <si>
    <t xml:space="preserve">Direct
Level</t>
  </si>
  <si>
    <t xml:space="preserve">Indirect
Level</t>
  </si>
  <si>
    <t xml:space="preserve">Action</t>
  </si>
  <si>
    <t xml:space="preserve">PROGRAMME OVERALL ATTAINMENT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</si>
</sst>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0%"/>
    <numFmt numFmtId="168" formatCode="\+0.0%;\-0.0%;0.0%"/>
    <numFmt numFmtId="169" formatCode="0.00"/>
    <numFmt numFmtId="170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8"/>
      <color rgb="FF40404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55A11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375623"/>
        <bgColor rgb="FF404040"/>
      </patternFill>
    </fill>
    <fill>
      <patternFill patternType="solid">
        <fgColor rgb="FF70AD47"/>
        <bgColor rgb="FF99CC00"/>
      </patternFill>
    </fill>
    <fill>
      <patternFill patternType="solid">
        <fgColor rgb="FFC55A11"/>
        <bgColor rgb="FF993300"/>
      </patternFill>
    </fill>
    <fill>
      <patternFill patternType="solid">
        <fgColor rgb="FF00695C"/>
        <bgColor rgb="FF008080"/>
      </patternFill>
    </fill>
    <fill>
      <patternFill patternType="solid">
        <fgColor rgb="FFF2F2F2"/>
        <bgColor rgb="FFE0F2F1"/>
      </patternFill>
    </fill>
    <fill>
      <patternFill patternType="solid">
        <fgColor rgb="FFFFF8DC"/>
        <bgColor rgb="FFFFF2CC"/>
      </patternFill>
    </fill>
    <fill>
      <patternFill patternType="solid">
        <fgColor rgb="FFBDD7EE"/>
        <bgColor rgb="FFE2D9F3"/>
      </patternFill>
    </fill>
    <fill>
      <patternFill patternType="solid">
        <fgColor rgb="FFE0F2F1"/>
        <bgColor rgb="FFDEEAF1"/>
      </patternFill>
    </fill>
    <fill>
      <patternFill patternType="solid">
        <fgColor rgb="FFE2D9F3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0F2F1"/>
      </patternFill>
    </fill>
    <fill>
      <patternFill patternType="solid">
        <fgColor rgb="FFFFFFFF"/>
        <bgColor rgb="FFFFF8DC"/>
      </patternFill>
    </fill>
    <fill>
      <patternFill patternType="solid">
        <fgColor rgb="FFDEEAF1"/>
        <bgColor rgb="FFE0F2F1"/>
      </patternFill>
    </fill>
    <fill>
      <patternFill patternType="solid">
        <fgColor rgb="FFFFF2CC"/>
        <bgColor rgb="FFFFF8DC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800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E2D9F3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2F2F2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C55A11"/>
      <rgbColor rgb="FF666699"/>
      <rgbColor rgb="FFAAAAAA"/>
      <rgbColor rgb="FF1F3864"/>
      <rgbColor rgb="FF70AD47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7" min="5" style="0" width="1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35"/>
    <col collapsed="false" customWidth="true" hidden="false" outlineLevel="0" max="13" min="11" style="0" width="11"/>
    <col collapsed="false" customWidth="true" hidden="false" outlineLevel="0" max="15" min="14" style="0" width="8"/>
    <col collapsed="false" customWidth="true" hidden="false" outlineLevel="0" max="16" min="16" style="0" width="9"/>
    <col collapsed="false" customWidth="true" hidden="false" outlineLevel="0" max="17" min="17" style="0" width="11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4" t="s">
        <v>3</v>
      </c>
      <c r="J4" s="4"/>
      <c r="K4" s="4"/>
      <c r="L4" s="4"/>
      <c r="M4" s="4"/>
      <c r="N4" s="4"/>
      <c r="O4" s="4"/>
      <c r="P4" s="4"/>
    </row>
    <row r="5" customFormat="false" ht="21.7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6" t="s">
        <v>14</v>
      </c>
      <c r="L5" s="7" t="s">
        <v>15</v>
      </c>
      <c r="M5" s="8" t="s">
        <v>16</v>
      </c>
      <c r="N5" s="9" t="s">
        <v>11</v>
      </c>
      <c r="O5" s="10" t="s">
        <v>17</v>
      </c>
      <c r="P5" s="11" t="s">
        <v>18</v>
      </c>
      <c r="Q5" s="5" t="s">
        <v>19</v>
      </c>
    </row>
    <row r="6" customFormat="false" ht="19.5" hidden="false" customHeight="true" outlineLevel="0" collapsed="false">
      <c r="A6" s="12" t="n">
        <v>1</v>
      </c>
      <c r="B6" s="13" t="s">
        <v>20</v>
      </c>
      <c r="C6" s="14" t="s">
        <v>21</v>
      </c>
      <c r="D6" s="15" t="n">
        <v>4</v>
      </c>
      <c r="E6" s="16" t="n">
        <v>0.718</v>
      </c>
      <c r="F6" s="17" t="n">
        <v>0.7216</v>
      </c>
      <c r="G6" s="18" t="n">
        <v>0.6956</v>
      </c>
      <c r="H6" s="19" t="n">
        <f aca="false">IF(E6&gt;=0.6,3,IF(E6&gt;=0.4,2,1))</f>
        <v>3</v>
      </c>
      <c r="I6" s="20" t="s">
        <v>22</v>
      </c>
      <c r="J6" s="21" t="s">
        <v>23</v>
      </c>
      <c r="K6" s="22" t="n">
        <v>0.6077</v>
      </c>
      <c r="L6" s="23" t="n">
        <v>0.743</v>
      </c>
      <c r="M6" s="16" t="n">
        <v>0.63476</v>
      </c>
      <c r="N6" s="19" t="n">
        <f aca="false">IF(M6&gt;=0.6,3,IF(M6&gt;=0.4,2,1))</f>
        <v>3</v>
      </c>
      <c r="O6" s="24" t="n">
        <v>0.6</v>
      </c>
      <c r="P6" s="25" t="n">
        <f aca="false">M6-O6</f>
        <v>0.03476</v>
      </c>
      <c r="Q6" s="26" t="str">
        <f aca="false">IF(M6&gt;=O6,"✔ Met","✘ Not Met")</f>
        <v>✔ Met</v>
      </c>
    </row>
    <row r="7" customFormat="false" ht="19.5" hidden="false" customHeight="true" outlineLevel="0" collapsed="false">
      <c r="A7" s="27" t="n">
        <v>2</v>
      </c>
      <c r="B7" s="28" t="s">
        <v>24</v>
      </c>
      <c r="C7" s="29" t="s">
        <v>25</v>
      </c>
      <c r="D7" s="30" t="n">
        <v>4</v>
      </c>
      <c r="E7" s="16" t="n">
        <v>0.486</v>
      </c>
      <c r="F7" s="17" t="n">
        <v>0.4931</v>
      </c>
      <c r="G7" s="18" t="n">
        <v>0.5108</v>
      </c>
      <c r="H7" s="19" t="n">
        <f aca="false">IF(E7&gt;=0.6,3,IF(E7&gt;=0.4,2,1))</f>
        <v>2</v>
      </c>
      <c r="I7" s="20" t="s">
        <v>26</v>
      </c>
      <c r="J7" s="31" t="s">
        <v>27</v>
      </c>
      <c r="K7" s="22" t="n">
        <v>0.5297</v>
      </c>
      <c r="L7" s="23" t="n">
        <v>0.5095</v>
      </c>
      <c r="M7" s="16" t="n">
        <v>0.52566</v>
      </c>
      <c r="N7" s="19" t="n">
        <f aca="false">IF(M7&gt;=0.6,3,IF(M7&gt;=0.4,2,1))</f>
        <v>2</v>
      </c>
      <c r="O7" s="24" t="n">
        <v>0.6</v>
      </c>
      <c r="P7" s="25" t="n">
        <f aca="false">M7-O7</f>
        <v>-0.07434</v>
      </c>
      <c r="Q7" s="26" t="str">
        <f aca="false">IF(M7&gt;=O7,"✔ Met","✘ Not Met")</f>
        <v>✘ Not Met</v>
      </c>
    </row>
    <row r="8" customFormat="false" ht="19.5" hidden="false" customHeight="true" outlineLevel="0" collapsed="false">
      <c r="A8" s="12" t="n">
        <v>3</v>
      </c>
      <c r="B8" s="13" t="s">
        <v>28</v>
      </c>
      <c r="C8" s="14" t="s">
        <v>29</v>
      </c>
      <c r="D8" s="15" t="n">
        <v>4</v>
      </c>
      <c r="E8" s="16" t="n">
        <v>0.67</v>
      </c>
      <c r="F8" s="17" t="n">
        <v>0.6305</v>
      </c>
      <c r="G8" s="18" t="n">
        <v>0.6945</v>
      </c>
      <c r="H8" s="19" t="n">
        <f aca="false">IF(E8&gt;=0.6,3,IF(E8&gt;=0.4,2,1))</f>
        <v>3</v>
      </c>
      <c r="I8" s="20" t="s">
        <v>30</v>
      </c>
      <c r="J8" s="21" t="s">
        <v>31</v>
      </c>
      <c r="K8" s="22" t="n">
        <v>0.5309</v>
      </c>
      <c r="L8" s="23" t="n">
        <v>0.6045</v>
      </c>
      <c r="M8" s="16" t="n">
        <v>0.54562</v>
      </c>
      <c r="N8" s="19" t="n">
        <f aca="false">IF(M8&gt;=0.6,3,IF(M8&gt;=0.4,2,1))</f>
        <v>2</v>
      </c>
      <c r="O8" s="24" t="n">
        <v>0.6</v>
      </c>
      <c r="P8" s="25" t="n">
        <f aca="false">M8-O8</f>
        <v>-0.05438</v>
      </c>
      <c r="Q8" s="26" t="str">
        <f aca="false">IF(M8&gt;=O8,"✔ Met","✘ Not Met")</f>
        <v>✘ Not Met</v>
      </c>
    </row>
    <row r="9" customFormat="false" ht="19.5" hidden="false" customHeight="true" outlineLevel="0" collapsed="false">
      <c r="A9" s="27" t="n">
        <v>4</v>
      </c>
      <c r="B9" s="28" t="s">
        <v>32</v>
      </c>
      <c r="C9" s="29" t="s">
        <v>33</v>
      </c>
      <c r="D9" s="30" t="n">
        <v>4</v>
      </c>
      <c r="E9" s="16" t="n">
        <v>0.628</v>
      </c>
      <c r="F9" s="17" t="n">
        <v>0.6439</v>
      </c>
      <c r="G9" s="18" t="n">
        <v>0.6152</v>
      </c>
      <c r="H9" s="19" t="n">
        <f aca="false">IF(E9&gt;=0.6,3,IF(E9&gt;=0.4,2,1))</f>
        <v>3</v>
      </c>
      <c r="I9" s="20" t="s">
        <v>34</v>
      </c>
      <c r="J9" s="31" t="s">
        <v>35</v>
      </c>
      <c r="K9" s="22" t="n">
        <v>0.7712</v>
      </c>
      <c r="L9" s="23" t="n">
        <v>0.5848</v>
      </c>
      <c r="M9" s="16" t="n">
        <v>0.73392</v>
      </c>
      <c r="N9" s="19" t="n">
        <f aca="false">IF(M9&gt;=0.6,3,IF(M9&gt;=0.4,2,1))</f>
        <v>3</v>
      </c>
      <c r="O9" s="24" t="n">
        <v>0.6</v>
      </c>
      <c r="P9" s="25" t="n">
        <f aca="false">M9-O9</f>
        <v>0.13392</v>
      </c>
      <c r="Q9" s="26" t="str">
        <f aca="false">IF(M9&gt;=O9,"✔ Met","✘ Not Met")</f>
        <v>✔ Met</v>
      </c>
    </row>
    <row r="10" customFormat="false" ht="19.5" hidden="false" customHeight="true" outlineLevel="0" collapsed="false">
      <c r="A10" s="12" t="n">
        <v>5</v>
      </c>
      <c r="B10" s="13" t="s">
        <v>36</v>
      </c>
      <c r="C10" s="14" t="s">
        <v>37</v>
      </c>
      <c r="D10" s="15" t="n">
        <v>4</v>
      </c>
      <c r="E10" s="16" t="n">
        <v>0.706666666666667</v>
      </c>
      <c r="F10" s="17" t="n">
        <v>0.679066666666667</v>
      </c>
      <c r="G10" s="18" t="n">
        <v>0.743266666666667</v>
      </c>
      <c r="H10" s="19" t="n">
        <f aca="false">IF(E10&gt;=0.6,3,IF(E10&gt;=0.4,2,1))</f>
        <v>3</v>
      </c>
      <c r="I10" s="20" t="s">
        <v>38</v>
      </c>
      <c r="J10" s="21" t="s">
        <v>39</v>
      </c>
      <c r="K10" s="22" t="n">
        <v>0.6932</v>
      </c>
      <c r="L10" s="23" t="n">
        <v>0.7799</v>
      </c>
      <c r="M10" s="16" t="n">
        <v>0.71054</v>
      </c>
      <c r="N10" s="19" t="n">
        <f aca="false">IF(M10&gt;=0.6,3,IF(M10&gt;=0.4,2,1))</f>
        <v>3</v>
      </c>
      <c r="O10" s="24" t="n">
        <v>0.6</v>
      </c>
      <c r="P10" s="25" t="n">
        <f aca="false">M10-O10</f>
        <v>0.11054</v>
      </c>
      <c r="Q10" s="26" t="str">
        <f aca="false">IF(M10&gt;=O10,"✔ Met","✘ Not Met")</f>
        <v>✔ Met</v>
      </c>
    </row>
    <row r="11" customFormat="false" ht="19.5" hidden="false" customHeight="true" outlineLevel="0" collapsed="false">
      <c r="I11" s="20" t="s">
        <v>40</v>
      </c>
      <c r="J11" s="31" t="s">
        <v>41</v>
      </c>
      <c r="K11" s="22" t="n">
        <v>0.7583</v>
      </c>
      <c r="L11" s="23" t="n">
        <v>0.7571</v>
      </c>
      <c r="M11" s="16" t="n">
        <v>0.75806</v>
      </c>
      <c r="N11" s="19" t="n">
        <f aca="false">IF(M11&gt;=0.6,3,IF(M11&gt;=0.4,2,1))</f>
        <v>3</v>
      </c>
      <c r="O11" s="24" t="n">
        <v>0.6</v>
      </c>
      <c r="P11" s="25" t="n">
        <f aca="false">M11-O11</f>
        <v>0.15806</v>
      </c>
      <c r="Q11" s="26" t="str">
        <f aca="false">IF(M11&gt;=O11,"✔ Met","✘ Not Met")</f>
        <v>✔ Met</v>
      </c>
    </row>
    <row r="12" customFormat="false" ht="19.5" hidden="false" customHeight="true" outlineLevel="0" collapsed="false">
      <c r="I12" s="20" t="s">
        <v>42</v>
      </c>
      <c r="J12" s="21" t="s">
        <v>43</v>
      </c>
      <c r="K12" s="22" t="n">
        <v>0.7335</v>
      </c>
      <c r="L12" s="23" t="n">
        <v>0.839</v>
      </c>
      <c r="M12" s="16" t="n">
        <v>0.7546</v>
      </c>
      <c r="N12" s="19" t="n">
        <f aca="false">IF(M12&gt;=0.6,3,IF(M12&gt;=0.4,2,1))</f>
        <v>3</v>
      </c>
      <c r="O12" s="24" t="n">
        <v>0.6</v>
      </c>
      <c r="P12" s="25" t="n">
        <f aca="false">M12-O12</f>
        <v>0.1546</v>
      </c>
      <c r="Q12" s="26" t="str">
        <f aca="false">IF(M12&gt;=O12,"✔ Met","✘ Not Met")</f>
        <v>✔ Met</v>
      </c>
    </row>
    <row r="13" customFormat="false" ht="19.5" hidden="false" customHeight="true" outlineLevel="0" collapsed="false">
      <c r="I13" s="20" t="s">
        <v>44</v>
      </c>
      <c r="J13" s="31" t="s">
        <v>45</v>
      </c>
      <c r="K13" s="22" t="n">
        <v>0.6716</v>
      </c>
      <c r="L13" s="23" t="n">
        <v>0.533</v>
      </c>
      <c r="M13" s="16" t="n">
        <v>0.64388</v>
      </c>
      <c r="N13" s="19" t="n">
        <f aca="false">IF(M13&gt;=0.6,3,IF(M13&gt;=0.4,2,1))</f>
        <v>3</v>
      </c>
      <c r="O13" s="24" t="n">
        <v>0.6</v>
      </c>
      <c r="P13" s="25" t="n">
        <f aca="false">M13-O13</f>
        <v>0.04388</v>
      </c>
      <c r="Q13" s="26" t="str">
        <f aca="false">IF(M13&gt;=O13,"✔ Met","✘ Not Met")</f>
        <v>✔ Met</v>
      </c>
    </row>
    <row r="14" customFormat="false" ht="19.5" hidden="false" customHeight="true" outlineLevel="0" collapsed="false">
      <c r="I14" s="20" t="s">
        <v>46</v>
      </c>
      <c r="J14" s="21" t="s">
        <v>47</v>
      </c>
      <c r="K14" s="22" t="n">
        <v>0.8114</v>
      </c>
      <c r="L14" s="23" t="n">
        <v>0.6603</v>
      </c>
      <c r="M14" s="16" t="n">
        <v>0.78118</v>
      </c>
      <c r="N14" s="19" t="n">
        <f aca="false">IF(M14&gt;=0.6,3,IF(M14&gt;=0.4,2,1))</f>
        <v>3</v>
      </c>
      <c r="O14" s="24" t="n">
        <v>0.6</v>
      </c>
      <c r="P14" s="25" t="n">
        <f aca="false">M14-O14</f>
        <v>0.18118</v>
      </c>
      <c r="Q14" s="26" t="str">
        <f aca="false">IF(M14&gt;=O14,"✔ Met","✘ Not Met")</f>
        <v>✔ Met</v>
      </c>
    </row>
    <row r="15" customFormat="false" ht="19.5" hidden="false" customHeight="true" outlineLevel="0" collapsed="false">
      <c r="I15" s="20" t="s">
        <v>48</v>
      </c>
      <c r="J15" s="31" t="s">
        <v>49</v>
      </c>
      <c r="K15" s="22" t="n">
        <v>0.6211</v>
      </c>
      <c r="L15" s="23" t="n">
        <v>0.5113</v>
      </c>
      <c r="M15" s="16" t="n">
        <v>0.59914</v>
      </c>
      <c r="N15" s="19" t="n">
        <f aca="false">IF(M15&gt;=0.6,3,IF(M15&gt;=0.4,2,1))</f>
        <v>2</v>
      </c>
      <c r="O15" s="24" t="n">
        <v>0.6</v>
      </c>
      <c r="P15" s="25" t="n">
        <f aca="false">M15-O15</f>
        <v>-0.000859999999999972</v>
      </c>
      <c r="Q15" s="26" t="str">
        <f aca="false">IF(M15&gt;=O15,"✔ Met","✘ Not Met")</f>
        <v>✘ Not Met</v>
      </c>
    </row>
    <row r="16" customFormat="false" ht="19.5" hidden="false" customHeight="true" outlineLevel="0" collapsed="false">
      <c r="I16" s="20" t="s">
        <v>50</v>
      </c>
      <c r="J16" s="21" t="s">
        <v>51</v>
      </c>
      <c r="K16" s="22" t="n">
        <v>0.6767</v>
      </c>
      <c r="L16" s="23" t="n">
        <v>0.5831</v>
      </c>
      <c r="M16" s="16" t="n">
        <v>0.65798</v>
      </c>
      <c r="N16" s="19" t="n">
        <f aca="false">IF(M16&gt;=0.6,3,IF(M16&gt;=0.4,2,1))</f>
        <v>3</v>
      </c>
      <c r="O16" s="24" t="n">
        <v>0.6</v>
      </c>
      <c r="P16" s="25" t="n">
        <f aca="false">M16-O16</f>
        <v>0.05798</v>
      </c>
      <c r="Q16" s="26" t="str">
        <f aca="false">IF(M16&gt;=O16,"✔ Met","✘ Not Met")</f>
        <v>✔ Met</v>
      </c>
    </row>
    <row r="17" customFormat="false" ht="19.5" hidden="false" customHeight="true" outlineLevel="0" collapsed="false">
      <c r="I17" s="20" t="s">
        <v>52</v>
      </c>
      <c r="J17" s="31" t="s">
        <v>53</v>
      </c>
      <c r="K17" s="22" t="n">
        <v>0.7654</v>
      </c>
      <c r="L17" s="23" t="n">
        <v>0.692</v>
      </c>
      <c r="M17" s="16" t="n">
        <v>0.75072</v>
      </c>
      <c r="N17" s="19" t="n">
        <f aca="false">IF(M17&gt;=0.6,3,IF(M17&gt;=0.4,2,1))</f>
        <v>3</v>
      </c>
      <c r="O17" s="24" t="n">
        <v>0.6</v>
      </c>
      <c r="P17" s="25" t="n">
        <f aca="false">M17-O17</f>
        <v>0.15072</v>
      </c>
      <c r="Q17" s="26" t="str">
        <f aca="false">IF(M17&gt;=O17,"✔ Met","✘ Not Met")</f>
        <v>✔ Met</v>
      </c>
    </row>
    <row r="18" customFormat="false" ht="19.5" hidden="false" customHeight="true" outlineLevel="0" collapsed="false">
      <c r="I18" s="32" t="s">
        <v>54</v>
      </c>
      <c r="J18" s="21" t="s">
        <v>55</v>
      </c>
      <c r="K18" s="22" t="n">
        <v>0.6979</v>
      </c>
      <c r="L18" s="23" t="n">
        <v>0.5101</v>
      </c>
      <c r="M18" s="16" t="n">
        <v>0.66034</v>
      </c>
      <c r="N18" s="33" t="n">
        <f aca="false">IF(M18&gt;=0.6,3,IF(M18&gt;=0.4,2,1))</f>
        <v>3</v>
      </c>
      <c r="O18" s="24" t="n">
        <v>0.6</v>
      </c>
      <c r="P18" s="25" t="n">
        <f aca="false">M18-O18</f>
        <v>0.0603400000000001</v>
      </c>
      <c r="Q18" s="26" t="str">
        <f aca="false">IF(M18&gt;=O18,"✔ Met","✘ Not Met")</f>
        <v>✔ Met</v>
      </c>
    </row>
    <row r="19" customFormat="false" ht="19.5" hidden="false" customHeight="true" outlineLevel="0" collapsed="false">
      <c r="I19" s="32" t="s">
        <v>56</v>
      </c>
      <c r="J19" s="31" t="s">
        <v>57</v>
      </c>
      <c r="K19" s="22" t="n">
        <v>0.7757</v>
      </c>
      <c r="L19" s="23" t="n">
        <v>0.5756</v>
      </c>
      <c r="M19" s="16" t="n">
        <v>0.73568</v>
      </c>
      <c r="N19" s="33" t="n">
        <f aca="false">IF(M19&gt;=0.6,3,IF(M19&gt;=0.4,2,1))</f>
        <v>3</v>
      </c>
      <c r="O19" s="24" t="n">
        <v>0.6</v>
      </c>
      <c r="P19" s="25" t="n">
        <f aca="false">M19-O19</f>
        <v>0.13568</v>
      </c>
      <c r="Q19" s="26" t="str">
        <f aca="false">IF(M19&gt;=O19,"✔ Met","✘ Not Met")</f>
        <v>✔ Met</v>
      </c>
    </row>
    <row r="20" customFormat="false" ht="19.5" hidden="false" customHeight="true" outlineLevel="0" collapsed="false">
      <c r="I20" s="32" t="s">
        <v>58</v>
      </c>
      <c r="J20" s="21" t="s">
        <v>59</v>
      </c>
      <c r="K20" s="22" t="n">
        <v>0.6848</v>
      </c>
      <c r="L20" s="23" t="n">
        <v>0.747</v>
      </c>
      <c r="M20" s="16" t="n">
        <v>0.69724</v>
      </c>
      <c r="N20" s="33" t="n">
        <f aca="false">IF(M20&gt;=0.6,3,IF(M20&gt;=0.4,2,1))</f>
        <v>3</v>
      </c>
      <c r="O20" s="24" t="n">
        <v>0.6</v>
      </c>
      <c r="P20" s="25" t="n">
        <f aca="false">M20-O20</f>
        <v>0.09724</v>
      </c>
      <c r="Q20" s="26" t="str">
        <f aca="false">IF(M20&gt;=O20,"✔ Met","✘ Not Met")</f>
        <v>✔ Met</v>
      </c>
    </row>
  </sheetData>
  <mergeCells count="4">
    <mergeCell ref="A1:P1"/>
    <mergeCell ref="A2:P2"/>
    <mergeCell ref="A4:H4"/>
    <mergeCell ref="I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1.5" hidden="false" customHeight="true" outlineLevel="0" collapsed="false">
      <c r="A1" s="34" t="s">
        <v>60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customFormat="false" ht="13.5" hidden="false" customHeight="true" outlineLevel="0" collapsed="false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customFormat="false" ht="6" hidden="false" customHeight="true" outlineLevel="0" collapsed="false"/>
    <row r="4" customFormat="false" ht="21.75" hidden="false" customHeight="true" outlineLevel="0" collapsed="false">
      <c r="A4" s="36" t="s">
        <v>62</v>
      </c>
      <c r="B4" s="36"/>
      <c r="C4" s="36"/>
      <c r="D4" s="37" t="s">
        <v>63</v>
      </c>
      <c r="E4" s="37"/>
      <c r="F4" s="37"/>
      <c r="G4" s="37"/>
      <c r="H4" s="37"/>
      <c r="I4" s="38" t="s">
        <v>64</v>
      </c>
      <c r="J4" s="38"/>
      <c r="K4" s="38"/>
      <c r="L4" s="38"/>
      <c r="M4" s="38"/>
      <c r="N4" s="39" t="s">
        <v>65</v>
      </c>
      <c r="O4" s="39"/>
      <c r="P4" s="39"/>
      <c r="Q4" s="39"/>
      <c r="R4" s="39"/>
      <c r="S4" s="40" t="s">
        <v>66</v>
      </c>
      <c r="T4" s="40"/>
      <c r="U4" s="40"/>
      <c r="V4" s="40"/>
      <c r="W4" s="40"/>
      <c r="X4" s="41" t="s">
        <v>67</v>
      </c>
      <c r="Y4" s="41"/>
      <c r="Z4" s="41"/>
      <c r="AA4" s="41"/>
      <c r="AB4" s="41"/>
      <c r="AC4" s="8" t="s">
        <v>68</v>
      </c>
      <c r="AD4" s="6" t="s">
        <v>69</v>
      </c>
      <c r="AE4" s="42" t="s">
        <v>70</v>
      </c>
    </row>
    <row r="5" customFormat="false" ht="18" hidden="false" customHeight="true" outlineLevel="0" collapsed="false">
      <c r="A5" s="43" t="s">
        <v>71</v>
      </c>
      <c r="B5" s="43" t="s">
        <v>72</v>
      </c>
      <c r="C5" s="43" t="s">
        <v>73</v>
      </c>
      <c r="D5" s="44" t="s">
        <v>74</v>
      </c>
      <c r="E5" s="44" t="s">
        <v>75</v>
      </c>
      <c r="F5" s="44" t="s">
        <v>76</v>
      </c>
      <c r="G5" s="44" t="s">
        <v>77</v>
      </c>
      <c r="H5" s="44" t="s">
        <v>78</v>
      </c>
      <c r="I5" s="45" t="s">
        <v>74</v>
      </c>
      <c r="J5" s="45" t="s">
        <v>75</v>
      </c>
      <c r="K5" s="45" t="s">
        <v>76</v>
      </c>
      <c r="L5" s="45" t="s">
        <v>77</v>
      </c>
      <c r="M5" s="45" t="s">
        <v>78</v>
      </c>
      <c r="N5" s="26" t="s">
        <v>74</v>
      </c>
      <c r="O5" s="26" t="s">
        <v>75</v>
      </c>
      <c r="P5" s="26" t="s">
        <v>76</v>
      </c>
      <c r="Q5" s="26" t="s">
        <v>77</v>
      </c>
      <c r="R5" s="26" t="s">
        <v>78</v>
      </c>
      <c r="S5" s="46" t="s">
        <v>74</v>
      </c>
      <c r="T5" s="46" t="s">
        <v>75</v>
      </c>
      <c r="U5" s="46" t="s">
        <v>76</v>
      </c>
      <c r="V5" s="46" t="s">
        <v>77</v>
      </c>
      <c r="W5" s="46" t="s">
        <v>78</v>
      </c>
      <c r="X5" s="47" t="s">
        <v>74</v>
      </c>
      <c r="Y5" s="47" t="s">
        <v>75</v>
      </c>
      <c r="Z5" s="47" t="s">
        <v>76</v>
      </c>
      <c r="AA5" s="47" t="s">
        <v>77</v>
      </c>
      <c r="AB5" s="47" t="s">
        <v>78</v>
      </c>
      <c r="AC5" s="48" t="s">
        <v>79</v>
      </c>
      <c r="AD5" s="49" t="s">
        <v>79</v>
      </c>
      <c r="AE5" s="50" t="s">
        <v>79</v>
      </c>
    </row>
    <row r="6" customFormat="false" ht="18" hidden="false" customHeight="true" outlineLevel="0" collapsed="false">
      <c r="A6" s="51" t="s">
        <v>80</v>
      </c>
      <c r="B6" s="51"/>
      <c r="C6" s="51"/>
      <c r="D6" s="52" t="n">
        <v>6</v>
      </c>
      <c r="E6" s="52" t="n">
        <v>6</v>
      </c>
      <c r="F6" s="52" t="n">
        <v>6</v>
      </c>
      <c r="G6" s="52" t="n">
        <v>6</v>
      </c>
      <c r="H6" s="52" t="n">
        <v>6</v>
      </c>
      <c r="I6" s="52" t="n">
        <v>6</v>
      </c>
      <c r="J6" s="52" t="n">
        <v>6</v>
      </c>
      <c r="K6" s="52" t="n">
        <v>6</v>
      </c>
      <c r="L6" s="52" t="n">
        <v>6</v>
      </c>
      <c r="M6" s="52" t="n">
        <v>6</v>
      </c>
      <c r="N6" s="52" t="n">
        <v>2</v>
      </c>
      <c r="O6" s="52" t="n">
        <v>2</v>
      </c>
      <c r="P6" s="52" t="n">
        <v>2</v>
      </c>
      <c r="Q6" s="52" t="n">
        <v>2</v>
      </c>
      <c r="R6" s="52" t="n">
        <v>2</v>
      </c>
      <c r="S6" s="52" t="n">
        <v>2</v>
      </c>
      <c r="T6" s="52" t="n">
        <v>2</v>
      </c>
      <c r="U6" s="52" t="n">
        <v>2</v>
      </c>
      <c r="V6" s="52" t="n">
        <v>2</v>
      </c>
      <c r="W6" s="52" t="n">
        <v>2</v>
      </c>
      <c r="X6" s="52" t="n">
        <v>20</v>
      </c>
      <c r="Y6" s="52" t="n">
        <v>20</v>
      </c>
      <c r="Z6" s="52" t="n">
        <v>20</v>
      </c>
      <c r="AA6" s="52" t="n">
        <v>20</v>
      </c>
      <c r="AB6" s="52" t="n">
        <v>20</v>
      </c>
      <c r="AC6" s="53" t="n">
        <v>50</v>
      </c>
      <c r="AD6" s="54" t="n">
        <v>50</v>
      </c>
      <c r="AE6" s="55" t="n">
        <v>100</v>
      </c>
    </row>
    <row r="7" customFormat="false" ht="16.5" hidden="false" customHeight="true" outlineLevel="0" collapsed="false">
      <c r="A7" s="12" t="n">
        <v>1</v>
      </c>
      <c r="B7" s="12" t="s">
        <v>81</v>
      </c>
      <c r="C7" s="56" t="s">
        <v>82</v>
      </c>
      <c r="D7" s="57" t="n">
        <v>5.1</v>
      </c>
      <c r="E7" s="57" t="n">
        <v>3.1</v>
      </c>
      <c r="F7" s="57" t="n">
        <v>3.7</v>
      </c>
      <c r="G7" s="57" t="n">
        <v>3.9</v>
      </c>
      <c r="H7" s="57" t="n">
        <v>3.2</v>
      </c>
      <c r="I7" s="57" t="n">
        <v>3.7</v>
      </c>
      <c r="J7" s="57" t="n">
        <v>3.3</v>
      </c>
      <c r="K7" s="57" t="n">
        <v>3.8</v>
      </c>
      <c r="L7" s="57" t="n">
        <v>4.9</v>
      </c>
      <c r="M7" s="57" t="n">
        <v>4.1</v>
      </c>
      <c r="N7" s="57" t="n">
        <v>1.4</v>
      </c>
      <c r="O7" s="57" t="n">
        <v>1.2</v>
      </c>
      <c r="P7" s="57" t="n">
        <v>1.3</v>
      </c>
      <c r="Q7" s="57" t="n">
        <v>1.9</v>
      </c>
      <c r="R7" s="57" t="n">
        <v>1.6</v>
      </c>
      <c r="S7" s="57" t="n">
        <v>1.6</v>
      </c>
      <c r="T7" s="57" t="n">
        <v>1.2</v>
      </c>
      <c r="U7" s="57" t="n">
        <v>1.7</v>
      </c>
      <c r="V7" s="57" t="n">
        <v>1.2</v>
      </c>
      <c r="W7" s="57" t="n">
        <v>1.4</v>
      </c>
      <c r="X7" s="57" t="n">
        <v>19.9</v>
      </c>
      <c r="Y7" s="57" t="n">
        <v>16.4</v>
      </c>
      <c r="Z7" s="57" t="n">
        <v>15.6</v>
      </c>
      <c r="AA7" s="57" t="n">
        <v>16.8</v>
      </c>
      <c r="AB7" s="57" t="n">
        <v>18.4</v>
      </c>
      <c r="AC7" s="58" t="n">
        <f aca="false">(SUM(D7:H7)+SUM(I7:M7))/2+SUM(N7:R7)+SUM(S7:W7)</f>
        <v>33.9</v>
      </c>
      <c r="AD7" s="59" t="n">
        <f aca="false">SUM(X7:AB7)/100*50</f>
        <v>43.55</v>
      </c>
      <c r="AE7" s="60" t="n">
        <f aca="false">AC7+AD7</f>
        <v>77.45</v>
      </c>
    </row>
    <row r="8" customFormat="false" ht="16.5" hidden="false" customHeight="true" outlineLevel="0" collapsed="false">
      <c r="A8" s="27" t="n">
        <v>2</v>
      </c>
      <c r="B8" s="27" t="s">
        <v>83</v>
      </c>
      <c r="C8" s="61" t="s">
        <v>84</v>
      </c>
      <c r="D8" s="62" t="n">
        <v>5.3</v>
      </c>
      <c r="E8" s="62" t="n">
        <v>3.7</v>
      </c>
      <c r="F8" s="62" t="n">
        <v>3.1</v>
      </c>
      <c r="G8" s="62" t="n">
        <v>3.9</v>
      </c>
      <c r="H8" s="62" t="n">
        <v>3.8</v>
      </c>
      <c r="I8" s="62" t="n">
        <v>3.6</v>
      </c>
      <c r="J8" s="62" t="n">
        <v>5.8</v>
      </c>
      <c r="K8" s="62" t="n">
        <v>5.6</v>
      </c>
      <c r="L8" s="62" t="n">
        <v>3.9</v>
      </c>
      <c r="M8" s="62" t="n">
        <v>5</v>
      </c>
      <c r="N8" s="62" t="n">
        <v>1.4</v>
      </c>
      <c r="O8" s="62" t="n">
        <v>1.9</v>
      </c>
      <c r="P8" s="62" t="n">
        <v>1.5</v>
      </c>
      <c r="Q8" s="62" t="n">
        <v>1.3</v>
      </c>
      <c r="R8" s="62" t="n">
        <v>1.2</v>
      </c>
      <c r="S8" s="62" t="n">
        <v>1.6</v>
      </c>
      <c r="T8" s="62" t="n">
        <v>1.3</v>
      </c>
      <c r="U8" s="62" t="n">
        <v>1.6</v>
      </c>
      <c r="V8" s="62" t="n">
        <v>1.9</v>
      </c>
      <c r="W8" s="62" t="n">
        <v>1.4</v>
      </c>
      <c r="X8" s="62" t="n">
        <v>12.2</v>
      </c>
      <c r="Y8" s="62" t="n">
        <v>20</v>
      </c>
      <c r="Z8" s="62" t="n">
        <v>15.1</v>
      </c>
      <c r="AA8" s="62" t="n">
        <v>10.9</v>
      </c>
      <c r="AB8" s="62" t="n">
        <v>10.5</v>
      </c>
      <c r="AC8" s="58" t="n">
        <f aca="false">(SUM(D8:H8)+SUM(I8:M8))/2+SUM(N8:R8)+SUM(S8:W8)</f>
        <v>36.95</v>
      </c>
      <c r="AD8" s="59" t="n">
        <f aca="false">SUM(X8:AB8)/100*50</f>
        <v>34.35</v>
      </c>
      <c r="AE8" s="60" t="n">
        <f aca="false">AC8+AD8</f>
        <v>71.3</v>
      </c>
    </row>
    <row r="9" customFormat="false" ht="16.5" hidden="false" customHeight="true" outlineLevel="0" collapsed="false">
      <c r="A9" s="12" t="n">
        <v>3</v>
      </c>
      <c r="B9" s="12" t="s">
        <v>85</v>
      </c>
      <c r="C9" s="56" t="s">
        <v>86</v>
      </c>
      <c r="D9" s="57" t="n">
        <v>3.3</v>
      </c>
      <c r="E9" s="57" t="n">
        <v>4.9</v>
      </c>
      <c r="F9" s="57" t="n">
        <v>5.4</v>
      </c>
      <c r="G9" s="57" t="n">
        <v>4.3</v>
      </c>
      <c r="H9" s="57" t="n">
        <v>3.2</v>
      </c>
      <c r="I9" s="57" t="n">
        <v>4.1</v>
      </c>
      <c r="J9" s="57" t="n">
        <v>6</v>
      </c>
      <c r="K9" s="57" t="n">
        <v>4.6</v>
      </c>
      <c r="L9" s="57" t="n">
        <v>5.9</v>
      </c>
      <c r="M9" s="57" t="n">
        <v>5.6</v>
      </c>
      <c r="N9" s="57" t="n">
        <v>1</v>
      </c>
      <c r="O9" s="57" t="n">
        <v>1.7</v>
      </c>
      <c r="P9" s="57" t="n">
        <v>1.7</v>
      </c>
      <c r="Q9" s="57" t="n">
        <v>1.5</v>
      </c>
      <c r="R9" s="57" t="n">
        <v>1.3</v>
      </c>
      <c r="S9" s="57" t="n">
        <v>1.6</v>
      </c>
      <c r="T9" s="57" t="n">
        <v>1.1</v>
      </c>
      <c r="U9" s="57" t="n">
        <v>1.4</v>
      </c>
      <c r="V9" s="57" t="n">
        <v>1.5</v>
      </c>
      <c r="W9" s="57" t="n">
        <v>2</v>
      </c>
      <c r="X9" s="57" t="n">
        <v>18.8</v>
      </c>
      <c r="Y9" s="57" t="n">
        <v>12.6</v>
      </c>
      <c r="Z9" s="57" t="n">
        <v>15</v>
      </c>
      <c r="AA9" s="57" t="n">
        <v>11.8</v>
      </c>
      <c r="AB9" s="57" t="n">
        <v>19.1</v>
      </c>
      <c r="AC9" s="58" t="n">
        <f aca="false">(SUM(D9:H9)+SUM(I9:M9))/2+SUM(N9:R9)+SUM(S9:W9)</f>
        <v>38.45</v>
      </c>
      <c r="AD9" s="59" t="n">
        <f aca="false">SUM(X9:AB9)/100*50</f>
        <v>38.65</v>
      </c>
      <c r="AE9" s="60" t="n">
        <f aca="false">AC9+AD9</f>
        <v>77.1</v>
      </c>
    </row>
    <row r="10" customFormat="false" ht="16.5" hidden="false" customHeight="true" outlineLevel="0" collapsed="false">
      <c r="A10" s="27" t="n">
        <v>4</v>
      </c>
      <c r="B10" s="27" t="s">
        <v>87</v>
      </c>
      <c r="C10" s="61" t="s">
        <v>88</v>
      </c>
      <c r="D10" s="62" t="n">
        <v>5.6</v>
      </c>
      <c r="E10" s="62" t="n">
        <v>3.9</v>
      </c>
      <c r="F10" s="62" t="n">
        <v>4.9</v>
      </c>
      <c r="G10" s="62" t="n">
        <v>4.8</v>
      </c>
      <c r="H10" s="62" t="n">
        <v>3.5</v>
      </c>
      <c r="I10" s="62" t="n">
        <v>5.3</v>
      </c>
      <c r="J10" s="62" t="n">
        <v>4.6</v>
      </c>
      <c r="K10" s="62" t="n">
        <v>5.3</v>
      </c>
      <c r="L10" s="62" t="n">
        <v>4.6</v>
      </c>
      <c r="M10" s="62" t="n">
        <v>3</v>
      </c>
      <c r="N10" s="62" t="n">
        <v>1.3</v>
      </c>
      <c r="O10" s="62" t="n">
        <v>1</v>
      </c>
      <c r="P10" s="62" t="n">
        <v>1.9</v>
      </c>
      <c r="Q10" s="62" t="n">
        <v>1.9</v>
      </c>
      <c r="R10" s="62" t="n">
        <v>1.8</v>
      </c>
      <c r="S10" s="62" t="n">
        <v>1.3</v>
      </c>
      <c r="T10" s="62" t="n">
        <v>1.1</v>
      </c>
      <c r="U10" s="62" t="n">
        <v>1.9</v>
      </c>
      <c r="V10" s="62" t="n">
        <v>1.9</v>
      </c>
      <c r="W10" s="62" t="n">
        <v>1.1</v>
      </c>
      <c r="X10" s="62" t="n">
        <v>14.9</v>
      </c>
      <c r="Y10" s="62" t="n">
        <v>10.7</v>
      </c>
      <c r="Z10" s="62" t="n">
        <v>17.6</v>
      </c>
      <c r="AA10" s="62" t="n">
        <v>17.7</v>
      </c>
      <c r="AB10" s="62" t="n">
        <v>11.3</v>
      </c>
      <c r="AC10" s="58" t="n">
        <f aca="false">(SUM(D10:H10)+SUM(I10:M10))/2+SUM(N10:R10)+SUM(S10:W10)</f>
        <v>37.95</v>
      </c>
      <c r="AD10" s="59" t="n">
        <f aca="false">SUM(X10:AB10)/100*50</f>
        <v>36.1</v>
      </c>
      <c r="AE10" s="60" t="n">
        <f aca="false">AC10+AD10</f>
        <v>74.05</v>
      </c>
    </row>
    <row r="11" customFormat="false" ht="16.5" hidden="false" customHeight="true" outlineLevel="0" collapsed="false">
      <c r="A11" s="12" t="n">
        <v>5</v>
      </c>
      <c r="B11" s="12" t="s">
        <v>89</v>
      </c>
      <c r="C11" s="56" t="s">
        <v>90</v>
      </c>
      <c r="D11" s="57" t="n">
        <v>4.4</v>
      </c>
      <c r="E11" s="57" t="n">
        <v>4.6</v>
      </c>
      <c r="F11" s="57" t="n">
        <v>3.8</v>
      </c>
      <c r="G11" s="57" t="n">
        <v>5.6</v>
      </c>
      <c r="H11" s="57" t="n">
        <v>4.3</v>
      </c>
      <c r="I11" s="57" t="n">
        <v>3.6</v>
      </c>
      <c r="J11" s="57" t="n">
        <v>4.6</v>
      </c>
      <c r="K11" s="57" t="n">
        <v>5.2</v>
      </c>
      <c r="L11" s="57" t="n">
        <v>3.6</v>
      </c>
      <c r="M11" s="57" t="n">
        <v>3.9</v>
      </c>
      <c r="N11" s="57" t="n">
        <v>2</v>
      </c>
      <c r="O11" s="57" t="n">
        <v>1.6</v>
      </c>
      <c r="P11" s="57" t="n">
        <v>1.4</v>
      </c>
      <c r="Q11" s="57" t="n">
        <v>1.5</v>
      </c>
      <c r="R11" s="57" t="n">
        <v>1.1</v>
      </c>
      <c r="S11" s="57" t="n">
        <v>1.2</v>
      </c>
      <c r="T11" s="57" t="n">
        <v>1.3</v>
      </c>
      <c r="U11" s="57" t="n">
        <v>1.6</v>
      </c>
      <c r="V11" s="57" t="n">
        <v>1.2</v>
      </c>
      <c r="W11" s="57" t="n">
        <v>1.2</v>
      </c>
      <c r="X11" s="57" t="n">
        <v>10.7</v>
      </c>
      <c r="Y11" s="57" t="n">
        <v>16.3</v>
      </c>
      <c r="Z11" s="57" t="n">
        <v>12.3</v>
      </c>
      <c r="AA11" s="57" t="n">
        <v>19.1</v>
      </c>
      <c r="AB11" s="57" t="n">
        <v>18.6</v>
      </c>
      <c r="AC11" s="58" t="n">
        <f aca="false">(SUM(D11:H11)+SUM(I11:M11))/2+SUM(N11:R11)+SUM(S11:W11)</f>
        <v>35.9</v>
      </c>
      <c r="AD11" s="59" t="n">
        <f aca="false">SUM(X11:AB11)/100*50</f>
        <v>38.5</v>
      </c>
      <c r="AE11" s="60" t="n">
        <f aca="false">AC11+AD11</f>
        <v>74.4</v>
      </c>
    </row>
    <row r="12" customFormat="false" ht="16.5" hidden="false" customHeight="true" outlineLevel="0" collapsed="false">
      <c r="A12" s="27" t="n">
        <v>6</v>
      </c>
      <c r="B12" s="27" t="s">
        <v>91</v>
      </c>
      <c r="C12" s="61" t="s">
        <v>92</v>
      </c>
      <c r="D12" s="62" t="n">
        <v>3.2</v>
      </c>
      <c r="E12" s="62" t="n">
        <v>3.7</v>
      </c>
      <c r="F12" s="62" t="n">
        <v>5</v>
      </c>
      <c r="G12" s="62" t="n">
        <v>3.6</v>
      </c>
      <c r="H12" s="62" t="n">
        <v>3.4</v>
      </c>
      <c r="I12" s="62" t="n">
        <v>5.8</v>
      </c>
      <c r="J12" s="62" t="n">
        <v>4.7</v>
      </c>
      <c r="K12" s="62" t="n">
        <v>4.4</v>
      </c>
      <c r="L12" s="62" t="n">
        <v>5.4</v>
      </c>
      <c r="M12" s="62" t="n">
        <v>5.4</v>
      </c>
      <c r="N12" s="62" t="n">
        <v>1.2</v>
      </c>
      <c r="O12" s="62" t="n">
        <v>1.1</v>
      </c>
      <c r="P12" s="62" t="n">
        <v>1.4</v>
      </c>
      <c r="Q12" s="62" t="n">
        <v>1.4</v>
      </c>
      <c r="R12" s="62" t="n">
        <v>1.5</v>
      </c>
      <c r="S12" s="62" t="n">
        <v>1.7</v>
      </c>
      <c r="T12" s="62" t="n">
        <v>1.7</v>
      </c>
      <c r="U12" s="62" t="n">
        <v>2</v>
      </c>
      <c r="V12" s="62" t="n">
        <v>1.1</v>
      </c>
      <c r="W12" s="62" t="n">
        <v>1.4</v>
      </c>
      <c r="X12" s="62" t="n">
        <v>13.4</v>
      </c>
      <c r="Y12" s="62" t="n">
        <v>18.6</v>
      </c>
      <c r="Z12" s="62" t="n">
        <v>12.5</v>
      </c>
      <c r="AA12" s="62" t="n">
        <v>11.9</v>
      </c>
      <c r="AB12" s="62" t="n">
        <v>14.5</v>
      </c>
      <c r="AC12" s="58" t="n">
        <f aca="false">(SUM(D12:H12)+SUM(I12:M12))/2+SUM(N12:R12)+SUM(S12:W12)</f>
        <v>36.8</v>
      </c>
      <c r="AD12" s="59" t="n">
        <f aca="false">SUM(X12:AB12)/100*50</f>
        <v>35.45</v>
      </c>
      <c r="AE12" s="60" t="n">
        <f aca="false">AC12+AD12</f>
        <v>72.25</v>
      </c>
    </row>
    <row r="13" customFormat="false" ht="16.5" hidden="false" customHeight="true" outlineLevel="0" collapsed="false">
      <c r="A13" s="12" t="n">
        <v>7</v>
      </c>
      <c r="B13" s="12" t="s">
        <v>93</v>
      </c>
      <c r="C13" s="56" t="s">
        <v>94</v>
      </c>
      <c r="D13" s="57" t="n">
        <v>4.3</v>
      </c>
      <c r="E13" s="57" t="n">
        <v>3.8</v>
      </c>
      <c r="F13" s="57" t="n">
        <v>3.7</v>
      </c>
      <c r="G13" s="57" t="n">
        <v>5.8</v>
      </c>
      <c r="H13" s="57" t="n">
        <v>4.3</v>
      </c>
      <c r="I13" s="57" t="n">
        <v>5.6</v>
      </c>
      <c r="J13" s="57" t="n">
        <v>4.7</v>
      </c>
      <c r="K13" s="57" t="n">
        <v>3.2</v>
      </c>
      <c r="L13" s="57" t="n">
        <v>6</v>
      </c>
      <c r="M13" s="57" t="n">
        <v>5.5</v>
      </c>
      <c r="N13" s="57" t="n">
        <v>2</v>
      </c>
      <c r="O13" s="57" t="n">
        <v>1.9</v>
      </c>
      <c r="P13" s="57" t="n">
        <v>1.8</v>
      </c>
      <c r="Q13" s="57" t="n">
        <v>1.2</v>
      </c>
      <c r="R13" s="57" t="n">
        <v>1.5</v>
      </c>
      <c r="S13" s="57" t="n">
        <v>1.2</v>
      </c>
      <c r="T13" s="57" t="n">
        <v>1.4</v>
      </c>
      <c r="U13" s="57" t="n">
        <v>1.1</v>
      </c>
      <c r="V13" s="57" t="n">
        <v>1.4</v>
      </c>
      <c r="W13" s="57" t="n">
        <v>2</v>
      </c>
      <c r="X13" s="57" t="n">
        <v>12.7</v>
      </c>
      <c r="Y13" s="57" t="n">
        <v>17.8</v>
      </c>
      <c r="Z13" s="57" t="n">
        <v>14.6</v>
      </c>
      <c r="AA13" s="57" t="n">
        <v>14.2</v>
      </c>
      <c r="AB13" s="57" t="n">
        <v>19.6</v>
      </c>
      <c r="AC13" s="58" t="n">
        <f aca="false">(SUM(D13:H13)+SUM(I13:M13))/2+SUM(N13:R13)+SUM(S13:W13)</f>
        <v>38.95</v>
      </c>
      <c r="AD13" s="59" t="n">
        <f aca="false">SUM(X13:AB13)/100*50</f>
        <v>39.45</v>
      </c>
      <c r="AE13" s="60" t="n">
        <f aca="false">AC13+AD13</f>
        <v>78.4</v>
      </c>
    </row>
    <row r="14" customFormat="false" ht="16.5" hidden="false" customHeight="true" outlineLevel="0" collapsed="false">
      <c r="A14" s="27" t="n">
        <v>8</v>
      </c>
      <c r="B14" s="27" t="s">
        <v>95</v>
      </c>
      <c r="C14" s="61" t="s">
        <v>96</v>
      </c>
      <c r="D14" s="62" t="n">
        <v>6</v>
      </c>
      <c r="E14" s="62" t="n">
        <v>4.7</v>
      </c>
      <c r="F14" s="62" t="n">
        <v>5.2</v>
      </c>
      <c r="G14" s="62" t="n">
        <v>3.5</v>
      </c>
      <c r="H14" s="62" t="n">
        <v>3.9</v>
      </c>
      <c r="I14" s="62" t="n">
        <v>5.9</v>
      </c>
      <c r="J14" s="62" t="n">
        <v>4.7</v>
      </c>
      <c r="K14" s="62" t="n">
        <v>4.6</v>
      </c>
      <c r="L14" s="62" t="n">
        <v>5.2</v>
      </c>
      <c r="M14" s="62" t="n">
        <v>3.2</v>
      </c>
      <c r="N14" s="62" t="n">
        <v>1.6</v>
      </c>
      <c r="O14" s="62" t="n">
        <v>1.5</v>
      </c>
      <c r="P14" s="62" t="n">
        <v>1.9</v>
      </c>
      <c r="Q14" s="62" t="n">
        <v>1.2</v>
      </c>
      <c r="R14" s="62" t="n">
        <v>2</v>
      </c>
      <c r="S14" s="62" t="n">
        <v>1.1</v>
      </c>
      <c r="T14" s="62" t="n">
        <v>1.2</v>
      </c>
      <c r="U14" s="62" t="n">
        <v>1.6</v>
      </c>
      <c r="V14" s="62" t="n">
        <v>1.7</v>
      </c>
      <c r="W14" s="62" t="n">
        <v>1.2</v>
      </c>
      <c r="X14" s="62" t="n">
        <v>11.2</v>
      </c>
      <c r="Y14" s="62" t="n">
        <v>18.9</v>
      </c>
      <c r="Z14" s="62" t="n">
        <v>12.5</v>
      </c>
      <c r="AA14" s="62" t="n">
        <v>15.9</v>
      </c>
      <c r="AB14" s="62" t="n">
        <v>16.2</v>
      </c>
      <c r="AC14" s="58" t="n">
        <f aca="false">(SUM(D14:H14)+SUM(I14:M14))/2+SUM(N14:R14)+SUM(S14:W14)</f>
        <v>38.45</v>
      </c>
      <c r="AD14" s="59" t="n">
        <f aca="false">SUM(X14:AB14)/100*50</f>
        <v>37.35</v>
      </c>
      <c r="AE14" s="60" t="n">
        <f aca="false">AC14+AD14</f>
        <v>75.8</v>
      </c>
    </row>
    <row r="15" customFormat="false" ht="16.5" hidden="false" customHeight="true" outlineLevel="0" collapsed="false">
      <c r="A15" s="12" t="n">
        <v>9</v>
      </c>
      <c r="B15" s="12" t="s">
        <v>97</v>
      </c>
      <c r="C15" s="56" t="s">
        <v>98</v>
      </c>
      <c r="D15" s="57" t="n">
        <v>4.3</v>
      </c>
      <c r="E15" s="57" t="n">
        <v>4.8</v>
      </c>
      <c r="F15" s="57" t="n">
        <v>4.6</v>
      </c>
      <c r="G15" s="57" t="n">
        <v>5.8</v>
      </c>
      <c r="H15" s="57" t="n">
        <v>3.6</v>
      </c>
      <c r="I15" s="57" t="n">
        <v>5.1</v>
      </c>
      <c r="J15" s="57" t="n">
        <v>3.7</v>
      </c>
      <c r="K15" s="57" t="n">
        <v>4.2</v>
      </c>
      <c r="L15" s="57" t="n">
        <v>5</v>
      </c>
      <c r="M15" s="57" t="n">
        <v>3.9</v>
      </c>
      <c r="N15" s="57" t="n">
        <v>1.3</v>
      </c>
      <c r="O15" s="57" t="n">
        <v>1.8</v>
      </c>
      <c r="P15" s="57" t="n">
        <v>1.1</v>
      </c>
      <c r="Q15" s="57" t="n">
        <v>1.5</v>
      </c>
      <c r="R15" s="57" t="n">
        <v>2</v>
      </c>
      <c r="S15" s="57" t="n">
        <v>2</v>
      </c>
      <c r="T15" s="57" t="n">
        <v>1.1</v>
      </c>
      <c r="U15" s="57" t="n">
        <v>1.2</v>
      </c>
      <c r="V15" s="57" t="n">
        <v>1.3</v>
      </c>
      <c r="W15" s="57" t="n">
        <v>1.9</v>
      </c>
      <c r="X15" s="57" t="n">
        <v>18.8</v>
      </c>
      <c r="Y15" s="57" t="n">
        <v>18.8</v>
      </c>
      <c r="Z15" s="57" t="n">
        <v>13.7</v>
      </c>
      <c r="AA15" s="57" t="n">
        <v>11.6</v>
      </c>
      <c r="AB15" s="57" t="n">
        <v>18.3</v>
      </c>
      <c r="AC15" s="58" t="n">
        <f aca="false">(SUM(D15:H15)+SUM(I15:M15))/2+SUM(N15:R15)+SUM(S15:W15)</f>
        <v>37.7</v>
      </c>
      <c r="AD15" s="59" t="n">
        <f aca="false">SUM(X15:AB15)/100*50</f>
        <v>40.6</v>
      </c>
      <c r="AE15" s="60" t="n">
        <f aca="false">AC15+AD15</f>
        <v>78.3</v>
      </c>
    </row>
    <row r="16" customFormat="false" ht="16.5" hidden="false" customHeight="true" outlineLevel="0" collapsed="false">
      <c r="A16" s="27" t="n">
        <v>10</v>
      </c>
      <c r="B16" s="27" t="s">
        <v>99</v>
      </c>
      <c r="C16" s="61" t="s">
        <v>100</v>
      </c>
      <c r="D16" s="62" t="n">
        <v>5.1</v>
      </c>
      <c r="E16" s="62" t="n">
        <v>4.8</v>
      </c>
      <c r="F16" s="62" t="n">
        <v>6</v>
      </c>
      <c r="G16" s="62" t="n">
        <v>5</v>
      </c>
      <c r="H16" s="62" t="n">
        <v>3</v>
      </c>
      <c r="I16" s="62" t="n">
        <v>5.5</v>
      </c>
      <c r="J16" s="62" t="n">
        <v>3.9</v>
      </c>
      <c r="K16" s="62" t="n">
        <v>5</v>
      </c>
      <c r="L16" s="62" t="n">
        <v>5.8</v>
      </c>
      <c r="M16" s="62" t="n">
        <v>3.4</v>
      </c>
      <c r="N16" s="62" t="n">
        <v>1.1</v>
      </c>
      <c r="O16" s="62" t="n">
        <v>1.1</v>
      </c>
      <c r="P16" s="62" t="n">
        <v>1.6</v>
      </c>
      <c r="Q16" s="62" t="n">
        <v>1.3</v>
      </c>
      <c r="R16" s="62" t="n">
        <v>1.6</v>
      </c>
      <c r="S16" s="62" t="n">
        <v>1.7</v>
      </c>
      <c r="T16" s="62" t="n">
        <v>1.2</v>
      </c>
      <c r="U16" s="62" t="n">
        <v>1.6</v>
      </c>
      <c r="V16" s="62" t="n">
        <v>1.3</v>
      </c>
      <c r="W16" s="62" t="n">
        <v>1.5</v>
      </c>
      <c r="X16" s="62" t="n">
        <v>19.1</v>
      </c>
      <c r="Y16" s="62" t="n">
        <v>18.5</v>
      </c>
      <c r="Z16" s="62" t="n">
        <v>10.9</v>
      </c>
      <c r="AA16" s="62" t="n">
        <v>14.2</v>
      </c>
      <c r="AB16" s="62" t="n">
        <v>12.8</v>
      </c>
      <c r="AC16" s="58" t="n">
        <f aca="false">(SUM(D16:H16)+SUM(I16:M16))/2+SUM(N16:R16)+SUM(S16:W16)</f>
        <v>37.75</v>
      </c>
      <c r="AD16" s="59" t="n">
        <f aca="false">SUM(X16:AB16)/100*50</f>
        <v>37.75</v>
      </c>
      <c r="AE16" s="60" t="n">
        <f aca="false">AC16+AD16</f>
        <v>75.5</v>
      </c>
    </row>
    <row r="17" customFormat="false" ht="16.5" hidden="false" customHeight="true" outlineLevel="0" collapsed="false">
      <c r="A17" s="12" t="n">
        <v>11</v>
      </c>
      <c r="B17" s="12" t="s">
        <v>101</v>
      </c>
      <c r="C17" s="56" t="s">
        <v>102</v>
      </c>
      <c r="D17" s="57" t="n">
        <v>3</v>
      </c>
      <c r="E17" s="57" t="n">
        <v>5.3</v>
      </c>
      <c r="F17" s="57" t="n">
        <v>4.9</v>
      </c>
      <c r="G17" s="57" t="n">
        <v>3.8</v>
      </c>
      <c r="H17" s="57" t="n">
        <v>5.2</v>
      </c>
      <c r="I17" s="57" t="n">
        <v>4.7</v>
      </c>
      <c r="J17" s="57" t="n">
        <v>4.3</v>
      </c>
      <c r="K17" s="57" t="n">
        <v>3</v>
      </c>
      <c r="L17" s="57" t="n">
        <v>3.2</v>
      </c>
      <c r="M17" s="57" t="n">
        <v>5.6</v>
      </c>
      <c r="N17" s="57" t="n">
        <v>1.9</v>
      </c>
      <c r="O17" s="57" t="n">
        <v>1.5</v>
      </c>
      <c r="P17" s="57" t="n">
        <v>1.8</v>
      </c>
      <c r="Q17" s="57" t="n">
        <v>1.6</v>
      </c>
      <c r="R17" s="57" t="n">
        <v>1.1</v>
      </c>
      <c r="S17" s="57" t="n">
        <v>1.1</v>
      </c>
      <c r="T17" s="57" t="n">
        <v>1.3</v>
      </c>
      <c r="U17" s="57" t="n">
        <v>1.9</v>
      </c>
      <c r="V17" s="57" t="n">
        <v>1.8</v>
      </c>
      <c r="W17" s="57" t="n">
        <v>1.9</v>
      </c>
      <c r="X17" s="57" t="n">
        <v>19</v>
      </c>
      <c r="Y17" s="57" t="n">
        <v>12.1</v>
      </c>
      <c r="Z17" s="57" t="n">
        <v>12.5</v>
      </c>
      <c r="AA17" s="57" t="n">
        <v>11</v>
      </c>
      <c r="AB17" s="57" t="n">
        <v>17.8</v>
      </c>
      <c r="AC17" s="58" t="n">
        <f aca="false">(SUM(D17:H17)+SUM(I17:M17))/2+SUM(N17:R17)+SUM(S17:W17)</f>
        <v>37.4</v>
      </c>
      <c r="AD17" s="59" t="n">
        <f aca="false">SUM(X17:AB17)/100*50</f>
        <v>36.2</v>
      </c>
      <c r="AE17" s="60" t="n">
        <f aca="false">AC17+AD17</f>
        <v>73.6</v>
      </c>
    </row>
    <row r="18" customFormat="false" ht="16.5" hidden="false" customHeight="true" outlineLevel="0" collapsed="false">
      <c r="A18" s="27" t="n">
        <v>12</v>
      </c>
      <c r="B18" s="27" t="s">
        <v>103</v>
      </c>
      <c r="C18" s="61" t="s">
        <v>104</v>
      </c>
      <c r="D18" s="62" t="n">
        <v>5.7</v>
      </c>
      <c r="E18" s="62" t="n">
        <v>4.2</v>
      </c>
      <c r="F18" s="62" t="n">
        <v>4.9</v>
      </c>
      <c r="G18" s="62" t="n">
        <v>3.5</v>
      </c>
      <c r="H18" s="62" t="n">
        <v>5.8</v>
      </c>
      <c r="I18" s="62" t="n">
        <v>5.6</v>
      </c>
      <c r="J18" s="62" t="n">
        <v>5.9</v>
      </c>
      <c r="K18" s="62" t="n">
        <v>5.4</v>
      </c>
      <c r="L18" s="62" t="n">
        <v>5.6</v>
      </c>
      <c r="M18" s="62" t="n">
        <v>3.1</v>
      </c>
      <c r="N18" s="62" t="n">
        <v>1.7</v>
      </c>
      <c r="O18" s="62" t="n">
        <v>1.3</v>
      </c>
      <c r="P18" s="62" t="n">
        <v>1.9</v>
      </c>
      <c r="Q18" s="62" t="n">
        <v>1.8</v>
      </c>
      <c r="R18" s="62" t="n">
        <v>1.9</v>
      </c>
      <c r="S18" s="62" t="n">
        <v>1.8</v>
      </c>
      <c r="T18" s="62" t="n">
        <v>1.3</v>
      </c>
      <c r="U18" s="62" t="n">
        <v>1.8</v>
      </c>
      <c r="V18" s="62" t="n">
        <v>1.1</v>
      </c>
      <c r="W18" s="62" t="n">
        <v>1.9</v>
      </c>
      <c r="X18" s="62" t="n">
        <v>18.6</v>
      </c>
      <c r="Y18" s="62" t="n">
        <v>12.2</v>
      </c>
      <c r="Z18" s="62" t="n">
        <v>18.2</v>
      </c>
      <c r="AA18" s="62" t="n">
        <v>14.6</v>
      </c>
      <c r="AB18" s="62" t="n">
        <v>13.1</v>
      </c>
      <c r="AC18" s="58" t="n">
        <f aca="false">(SUM(D18:H18)+SUM(I18:M18))/2+SUM(N18:R18)+SUM(S18:W18)</f>
        <v>41.35</v>
      </c>
      <c r="AD18" s="59" t="n">
        <f aca="false">SUM(X18:AB18)/100*50</f>
        <v>38.35</v>
      </c>
      <c r="AE18" s="60" t="n">
        <f aca="false">AC18+AD18</f>
        <v>79.7</v>
      </c>
    </row>
    <row r="19" customFormat="false" ht="16.5" hidden="false" customHeight="true" outlineLevel="0" collapsed="false">
      <c r="A19" s="12" t="n">
        <v>13</v>
      </c>
      <c r="B19" s="12" t="s">
        <v>105</v>
      </c>
      <c r="C19" s="56" t="s">
        <v>106</v>
      </c>
      <c r="D19" s="57" t="n">
        <v>5.4</v>
      </c>
      <c r="E19" s="57" t="n">
        <v>3.7</v>
      </c>
      <c r="F19" s="57" t="n">
        <v>3.1</v>
      </c>
      <c r="G19" s="57" t="n">
        <v>3.6</v>
      </c>
      <c r="H19" s="57" t="n">
        <v>4</v>
      </c>
      <c r="I19" s="57" t="n">
        <v>5.6</v>
      </c>
      <c r="J19" s="57" t="n">
        <v>5.9</v>
      </c>
      <c r="K19" s="57" t="n">
        <v>3.8</v>
      </c>
      <c r="L19" s="57" t="n">
        <v>4.9</v>
      </c>
      <c r="M19" s="57" t="n">
        <v>4.2</v>
      </c>
      <c r="N19" s="57" t="n">
        <v>2</v>
      </c>
      <c r="O19" s="57" t="n">
        <v>1.5</v>
      </c>
      <c r="P19" s="57" t="n">
        <v>1.9</v>
      </c>
      <c r="Q19" s="57" t="n">
        <v>1.1</v>
      </c>
      <c r="R19" s="57" t="n">
        <v>2</v>
      </c>
      <c r="S19" s="57" t="n">
        <v>1.2</v>
      </c>
      <c r="T19" s="57" t="n">
        <v>2</v>
      </c>
      <c r="U19" s="57" t="n">
        <v>1.3</v>
      </c>
      <c r="V19" s="57" t="n">
        <v>1.1</v>
      </c>
      <c r="W19" s="57" t="n">
        <v>1.4</v>
      </c>
      <c r="X19" s="57" t="n">
        <v>17.3</v>
      </c>
      <c r="Y19" s="57" t="n">
        <v>13.1</v>
      </c>
      <c r="Z19" s="57" t="n">
        <v>16.1</v>
      </c>
      <c r="AA19" s="57" t="n">
        <v>15.1</v>
      </c>
      <c r="AB19" s="57" t="n">
        <v>13.9</v>
      </c>
      <c r="AC19" s="58" t="n">
        <f aca="false">(SUM(D19:H19)+SUM(I19:M19))/2+SUM(N19:R19)+SUM(S19:W19)</f>
        <v>37.6</v>
      </c>
      <c r="AD19" s="59" t="n">
        <f aca="false">SUM(X19:AB19)/100*50</f>
        <v>37.75</v>
      </c>
      <c r="AE19" s="60" t="n">
        <f aca="false">AC19+AD19</f>
        <v>75.35</v>
      </c>
    </row>
    <row r="20" customFormat="false" ht="16.5" hidden="false" customHeight="true" outlineLevel="0" collapsed="false">
      <c r="A20" s="27" t="n">
        <v>14</v>
      </c>
      <c r="B20" s="27" t="s">
        <v>107</v>
      </c>
      <c r="C20" s="61" t="s">
        <v>108</v>
      </c>
      <c r="D20" s="62" t="n">
        <v>4.7</v>
      </c>
      <c r="E20" s="62" t="n">
        <v>3.8</v>
      </c>
      <c r="F20" s="62" t="n">
        <v>5.1</v>
      </c>
      <c r="G20" s="62" t="n">
        <v>3</v>
      </c>
      <c r="H20" s="62" t="n">
        <v>5.8</v>
      </c>
      <c r="I20" s="62" t="n">
        <v>4.6</v>
      </c>
      <c r="J20" s="62" t="n">
        <v>5.2</v>
      </c>
      <c r="K20" s="62" t="n">
        <v>5.2</v>
      </c>
      <c r="L20" s="62" t="n">
        <v>5</v>
      </c>
      <c r="M20" s="62" t="n">
        <v>4.1</v>
      </c>
      <c r="N20" s="62" t="n">
        <v>1.1</v>
      </c>
      <c r="O20" s="62" t="n">
        <v>1.7</v>
      </c>
      <c r="P20" s="62" t="n">
        <v>1.3</v>
      </c>
      <c r="Q20" s="62" t="n">
        <v>1.3</v>
      </c>
      <c r="R20" s="62" t="n">
        <v>1.8</v>
      </c>
      <c r="S20" s="62" t="n">
        <v>1.7</v>
      </c>
      <c r="T20" s="62" t="n">
        <v>1.3</v>
      </c>
      <c r="U20" s="62" t="n">
        <v>1.3</v>
      </c>
      <c r="V20" s="62" t="n">
        <v>1.4</v>
      </c>
      <c r="W20" s="62" t="n">
        <v>1.4</v>
      </c>
      <c r="X20" s="62" t="n">
        <v>13</v>
      </c>
      <c r="Y20" s="62" t="n">
        <v>11.3</v>
      </c>
      <c r="Z20" s="62" t="n">
        <v>14.2</v>
      </c>
      <c r="AA20" s="62" t="n">
        <v>19.4</v>
      </c>
      <c r="AB20" s="62" t="n">
        <v>16.8</v>
      </c>
      <c r="AC20" s="58" t="n">
        <f aca="false">(SUM(D20:H20)+SUM(I20:M20))/2+SUM(N20:R20)+SUM(S20:W20)</f>
        <v>37.55</v>
      </c>
      <c r="AD20" s="59" t="n">
        <f aca="false">SUM(X20:AB20)/100*50</f>
        <v>37.35</v>
      </c>
      <c r="AE20" s="60" t="n">
        <f aca="false">AC20+AD20</f>
        <v>74.9</v>
      </c>
    </row>
    <row r="21" customFormat="false" ht="16.5" hidden="false" customHeight="true" outlineLevel="0" collapsed="false">
      <c r="A21" s="12" t="n">
        <v>15</v>
      </c>
      <c r="B21" s="12" t="s">
        <v>109</v>
      </c>
      <c r="C21" s="56" t="s">
        <v>110</v>
      </c>
      <c r="D21" s="57" t="n">
        <v>5.7</v>
      </c>
      <c r="E21" s="57" t="n">
        <v>4.8</v>
      </c>
      <c r="F21" s="57" t="n">
        <v>3.9</v>
      </c>
      <c r="G21" s="57" t="n">
        <v>4.6</v>
      </c>
      <c r="H21" s="57" t="n">
        <v>3</v>
      </c>
      <c r="I21" s="57" t="n">
        <v>3.9</v>
      </c>
      <c r="J21" s="57" t="n">
        <v>4.3</v>
      </c>
      <c r="K21" s="57" t="n">
        <v>4.7</v>
      </c>
      <c r="L21" s="57" t="n">
        <v>5</v>
      </c>
      <c r="M21" s="57" t="n">
        <v>4.4</v>
      </c>
      <c r="N21" s="57" t="n">
        <v>1.4</v>
      </c>
      <c r="O21" s="57" t="n">
        <v>1.2</v>
      </c>
      <c r="P21" s="57" t="n">
        <v>1.5</v>
      </c>
      <c r="Q21" s="57" t="n">
        <v>1.9</v>
      </c>
      <c r="R21" s="57" t="n">
        <v>1.8</v>
      </c>
      <c r="S21" s="57" t="n">
        <v>1.2</v>
      </c>
      <c r="T21" s="57" t="n">
        <v>1.1</v>
      </c>
      <c r="U21" s="57" t="n">
        <v>1.5</v>
      </c>
      <c r="V21" s="57" t="n">
        <v>1.6</v>
      </c>
      <c r="W21" s="57" t="n">
        <v>1.3</v>
      </c>
      <c r="X21" s="57" t="n">
        <v>18.2</v>
      </c>
      <c r="Y21" s="57" t="n">
        <v>17.5</v>
      </c>
      <c r="Z21" s="57" t="n">
        <v>16.7</v>
      </c>
      <c r="AA21" s="57" t="n">
        <v>12.2</v>
      </c>
      <c r="AB21" s="57" t="n">
        <v>12</v>
      </c>
      <c r="AC21" s="58" t="n">
        <f aca="false">(SUM(D21:H21)+SUM(I21:M21))/2+SUM(N21:R21)+SUM(S21:W21)</f>
        <v>36.65</v>
      </c>
      <c r="AD21" s="59" t="n">
        <f aca="false">SUM(X21:AB21)/100*50</f>
        <v>38.3</v>
      </c>
      <c r="AE21" s="60" t="n">
        <f aca="false">AC21+AD21</f>
        <v>74.95</v>
      </c>
    </row>
    <row r="22" customFormat="false" ht="16.5" hidden="false" customHeight="true" outlineLevel="0" collapsed="false">
      <c r="A22" s="27" t="n">
        <v>16</v>
      </c>
      <c r="B22" s="27" t="s">
        <v>111</v>
      </c>
      <c r="C22" s="61" t="s">
        <v>112</v>
      </c>
      <c r="D22" s="62" t="n">
        <v>3.1</v>
      </c>
      <c r="E22" s="62" t="n">
        <v>3.7</v>
      </c>
      <c r="F22" s="62" t="n">
        <v>4.4</v>
      </c>
      <c r="G22" s="62" t="n">
        <v>5.5</v>
      </c>
      <c r="H22" s="62" t="n">
        <v>3.2</v>
      </c>
      <c r="I22" s="62" t="n">
        <v>4.2</v>
      </c>
      <c r="J22" s="62" t="n">
        <v>4.9</v>
      </c>
      <c r="K22" s="62" t="n">
        <v>3.6</v>
      </c>
      <c r="L22" s="62" t="n">
        <v>5.1</v>
      </c>
      <c r="M22" s="62" t="n">
        <v>4.5</v>
      </c>
      <c r="N22" s="62" t="n">
        <v>1.2</v>
      </c>
      <c r="O22" s="62" t="n">
        <v>1.7</v>
      </c>
      <c r="P22" s="62" t="n">
        <v>1</v>
      </c>
      <c r="Q22" s="62" t="n">
        <v>1.8</v>
      </c>
      <c r="R22" s="62" t="n">
        <v>1.8</v>
      </c>
      <c r="S22" s="62" t="n">
        <v>1.1</v>
      </c>
      <c r="T22" s="62" t="n">
        <v>1.4</v>
      </c>
      <c r="U22" s="62" t="n">
        <v>1.2</v>
      </c>
      <c r="V22" s="62" t="n">
        <v>2</v>
      </c>
      <c r="W22" s="62" t="n">
        <v>1.5</v>
      </c>
      <c r="X22" s="62" t="n">
        <v>10.5</v>
      </c>
      <c r="Y22" s="62" t="n">
        <v>12.5</v>
      </c>
      <c r="Z22" s="62" t="n">
        <v>18.5</v>
      </c>
      <c r="AA22" s="62" t="n">
        <v>14.6</v>
      </c>
      <c r="AB22" s="62" t="n">
        <v>18</v>
      </c>
      <c r="AC22" s="58" t="n">
        <f aca="false">(SUM(D22:H22)+SUM(I22:M22))/2+SUM(N22:R22)+SUM(S22:W22)</f>
        <v>35.8</v>
      </c>
      <c r="AD22" s="59" t="n">
        <f aca="false">SUM(X22:AB22)/100*50</f>
        <v>37.05</v>
      </c>
      <c r="AE22" s="60" t="n">
        <f aca="false">AC22+AD22</f>
        <v>72.85</v>
      </c>
    </row>
    <row r="23" customFormat="false" ht="16.5" hidden="false" customHeight="true" outlineLevel="0" collapsed="false">
      <c r="A23" s="12" t="n">
        <v>17</v>
      </c>
      <c r="B23" s="12" t="s">
        <v>113</v>
      </c>
      <c r="C23" s="56" t="s">
        <v>114</v>
      </c>
      <c r="D23" s="57" t="n">
        <v>5</v>
      </c>
      <c r="E23" s="57" t="n">
        <v>6</v>
      </c>
      <c r="F23" s="57" t="n">
        <v>4.8</v>
      </c>
      <c r="G23" s="57" t="n">
        <v>5.8</v>
      </c>
      <c r="H23" s="57" t="n">
        <v>5.7</v>
      </c>
      <c r="I23" s="57" t="n">
        <v>4.8</v>
      </c>
      <c r="J23" s="57" t="n">
        <v>5.2</v>
      </c>
      <c r="K23" s="57" t="n">
        <v>4.5</v>
      </c>
      <c r="L23" s="57" t="n">
        <v>5.5</v>
      </c>
      <c r="M23" s="57" t="n">
        <v>4.6</v>
      </c>
      <c r="N23" s="57" t="n">
        <v>1.9</v>
      </c>
      <c r="O23" s="57" t="n">
        <v>1.7</v>
      </c>
      <c r="P23" s="57" t="n">
        <v>1.5</v>
      </c>
      <c r="Q23" s="57" t="n">
        <v>1.3</v>
      </c>
      <c r="R23" s="57" t="n">
        <v>1.2</v>
      </c>
      <c r="S23" s="57" t="n">
        <v>1.6</v>
      </c>
      <c r="T23" s="57" t="n">
        <v>1.8</v>
      </c>
      <c r="U23" s="57" t="n">
        <v>1.5</v>
      </c>
      <c r="V23" s="57" t="n">
        <v>1.6</v>
      </c>
      <c r="W23" s="57" t="n">
        <v>1.3</v>
      </c>
      <c r="X23" s="57" t="n">
        <v>10.8</v>
      </c>
      <c r="Y23" s="57" t="n">
        <v>12.9</v>
      </c>
      <c r="Z23" s="57" t="n">
        <v>12.7</v>
      </c>
      <c r="AA23" s="57" t="n">
        <v>13.2</v>
      </c>
      <c r="AB23" s="57" t="n">
        <v>15.4</v>
      </c>
      <c r="AC23" s="58" t="n">
        <f aca="false">(SUM(D23:H23)+SUM(I23:M23))/2+SUM(N23:R23)+SUM(S23:W23)</f>
        <v>41.35</v>
      </c>
      <c r="AD23" s="59" t="n">
        <f aca="false">SUM(X23:AB23)/100*50</f>
        <v>32.5</v>
      </c>
      <c r="AE23" s="60" t="n">
        <f aca="false">AC23+AD23</f>
        <v>73.85</v>
      </c>
    </row>
    <row r="24" customFormat="false" ht="16.5" hidden="false" customHeight="true" outlineLevel="0" collapsed="false">
      <c r="A24" s="27" t="n">
        <v>18</v>
      </c>
      <c r="B24" s="27" t="s">
        <v>115</v>
      </c>
      <c r="C24" s="61" t="s">
        <v>116</v>
      </c>
      <c r="D24" s="62" t="n">
        <v>3.4</v>
      </c>
      <c r="E24" s="62" t="n">
        <v>3.7</v>
      </c>
      <c r="F24" s="62" t="n">
        <v>5.1</v>
      </c>
      <c r="G24" s="62" t="n">
        <v>5.1</v>
      </c>
      <c r="H24" s="62" t="n">
        <v>3.2</v>
      </c>
      <c r="I24" s="62" t="n">
        <v>4.2</v>
      </c>
      <c r="J24" s="62" t="n">
        <v>4.6</v>
      </c>
      <c r="K24" s="62" t="n">
        <v>4.2</v>
      </c>
      <c r="L24" s="62" t="n">
        <v>3.6</v>
      </c>
      <c r="M24" s="62" t="n">
        <v>4.3</v>
      </c>
      <c r="N24" s="62" t="n">
        <v>1.9</v>
      </c>
      <c r="O24" s="62" t="n">
        <v>1.6</v>
      </c>
      <c r="P24" s="62" t="n">
        <v>1.7</v>
      </c>
      <c r="Q24" s="62" t="n">
        <v>1.9</v>
      </c>
      <c r="R24" s="62" t="n">
        <v>1.8</v>
      </c>
      <c r="S24" s="62" t="n">
        <v>1.4</v>
      </c>
      <c r="T24" s="62" t="n">
        <v>1</v>
      </c>
      <c r="U24" s="62" t="n">
        <v>1.4</v>
      </c>
      <c r="V24" s="62" t="n">
        <v>1.8</v>
      </c>
      <c r="W24" s="62" t="n">
        <v>1.9</v>
      </c>
      <c r="X24" s="62" t="n">
        <v>19.5</v>
      </c>
      <c r="Y24" s="62" t="n">
        <v>14.2</v>
      </c>
      <c r="Z24" s="62" t="n">
        <v>17.5</v>
      </c>
      <c r="AA24" s="62" t="n">
        <v>15.5</v>
      </c>
      <c r="AB24" s="62" t="n">
        <v>16</v>
      </c>
      <c r="AC24" s="58" t="n">
        <f aca="false">(SUM(D24:H24)+SUM(I24:M24))/2+SUM(N24:R24)+SUM(S24:W24)</f>
        <v>37.1</v>
      </c>
      <c r="AD24" s="59" t="n">
        <f aca="false">SUM(X24:AB24)/100*50</f>
        <v>41.35</v>
      </c>
      <c r="AE24" s="60" t="n">
        <f aca="false">AC24+AD24</f>
        <v>78.45</v>
      </c>
    </row>
    <row r="25" customFormat="false" ht="16.5" hidden="false" customHeight="true" outlineLevel="0" collapsed="false">
      <c r="A25" s="12" t="n">
        <v>19</v>
      </c>
      <c r="B25" s="12" t="s">
        <v>117</v>
      </c>
      <c r="C25" s="56" t="s">
        <v>118</v>
      </c>
      <c r="D25" s="57" t="n">
        <v>3.7</v>
      </c>
      <c r="E25" s="57" t="n">
        <v>3.7</v>
      </c>
      <c r="F25" s="57" t="n">
        <v>4.3</v>
      </c>
      <c r="G25" s="57" t="n">
        <v>3.1</v>
      </c>
      <c r="H25" s="57" t="n">
        <v>4</v>
      </c>
      <c r="I25" s="57" t="n">
        <v>5</v>
      </c>
      <c r="J25" s="57" t="n">
        <v>4.2</v>
      </c>
      <c r="K25" s="57" t="n">
        <v>3.5</v>
      </c>
      <c r="L25" s="57" t="n">
        <v>4.4</v>
      </c>
      <c r="M25" s="57" t="n">
        <v>3.4</v>
      </c>
      <c r="N25" s="57" t="n">
        <v>1.6</v>
      </c>
      <c r="O25" s="57" t="n">
        <v>1</v>
      </c>
      <c r="P25" s="57" t="n">
        <v>1.4</v>
      </c>
      <c r="Q25" s="57" t="n">
        <v>1.6</v>
      </c>
      <c r="R25" s="57" t="n">
        <v>1</v>
      </c>
      <c r="S25" s="57" t="n">
        <v>1.6</v>
      </c>
      <c r="T25" s="57" t="n">
        <v>1.1</v>
      </c>
      <c r="U25" s="57" t="n">
        <v>1.5</v>
      </c>
      <c r="V25" s="57" t="n">
        <v>1.1</v>
      </c>
      <c r="W25" s="57" t="n">
        <v>1.4</v>
      </c>
      <c r="X25" s="57" t="n">
        <v>12.1</v>
      </c>
      <c r="Y25" s="57" t="n">
        <v>13.3</v>
      </c>
      <c r="Z25" s="57" t="n">
        <v>17.6</v>
      </c>
      <c r="AA25" s="57" t="n">
        <v>13.8</v>
      </c>
      <c r="AB25" s="57" t="n">
        <v>17.5</v>
      </c>
      <c r="AC25" s="58" t="n">
        <f aca="false">(SUM(D25:H25)+SUM(I25:M25))/2+SUM(N25:R25)+SUM(S25:W25)</f>
        <v>32.95</v>
      </c>
      <c r="AD25" s="59" t="n">
        <f aca="false">SUM(X25:AB25)/100*50</f>
        <v>37.15</v>
      </c>
      <c r="AE25" s="60" t="n">
        <f aca="false">AC25+AD25</f>
        <v>70.1</v>
      </c>
    </row>
    <row r="26" customFormat="false" ht="16.5" hidden="false" customHeight="true" outlineLevel="0" collapsed="false">
      <c r="A26" s="27" t="n">
        <v>20</v>
      </c>
      <c r="B26" s="27" t="s">
        <v>119</v>
      </c>
      <c r="C26" s="61" t="s">
        <v>120</v>
      </c>
      <c r="D26" s="62" t="n">
        <v>5.5</v>
      </c>
      <c r="E26" s="62" t="n">
        <v>3.8</v>
      </c>
      <c r="F26" s="62" t="n">
        <v>3.2</v>
      </c>
      <c r="G26" s="62" t="n">
        <v>3.1</v>
      </c>
      <c r="H26" s="62" t="n">
        <v>4.6</v>
      </c>
      <c r="I26" s="62" t="n">
        <v>6</v>
      </c>
      <c r="J26" s="62" t="n">
        <v>4.1</v>
      </c>
      <c r="K26" s="62" t="n">
        <v>5</v>
      </c>
      <c r="L26" s="62" t="n">
        <v>5.3</v>
      </c>
      <c r="M26" s="62" t="n">
        <v>5</v>
      </c>
      <c r="N26" s="62" t="n">
        <v>1.8</v>
      </c>
      <c r="O26" s="62" t="n">
        <v>1.9</v>
      </c>
      <c r="P26" s="62" t="n">
        <v>1.2</v>
      </c>
      <c r="Q26" s="62" t="n">
        <v>1</v>
      </c>
      <c r="R26" s="62" t="n">
        <v>1.2</v>
      </c>
      <c r="S26" s="62" t="n">
        <v>1.1</v>
      </c>
      <c r="T26" s="62" t="n">
        <v>1.7</v>
      </c>
      <c r="U26" s="62" t="n">
        <v>1.6</v>
      </c>
      <c r="V26" s="62" t="n">
        <v>1.2</v>
      </c>
      <c r="W26" s="62" t="n">
        <v>1.7</v>
      </c>
      <c r="X26" s="62" t="n">
        <v>17.7</v>
      </c>
      <c r="Y26" s="62" t="n">
        <v>11.7</v>
      </c>
      <c r="Z26" s="62" t="n">
        <v>16.1</v>
      </c>
      <c r="AA26" s="62" t="n">
        <v>17.5</v>
      </c>
      <c r="AB26" s="62" t="n">
        <v>11.1</v>
      </c>
      <c r="AC26" s="58" t="n">
        <f aca="false">(SUM(D26:H26)+SUM(I26:M26))/2+SUM(N26:R26)+SUM(S26:W26)</f>
        <v>37.2</v>
      </c>
      <c r="AD26" s="59" t="n">
        <f aca="false">SUM(X26:AB26)/100*50</f>
        <v>37.05</v>
      </c>
      <c r="AE26" s="60" t="n">
        <f aca="false">AC26+AD26</f>
        <v>74.25</v>
      </c>
    </row>
    <row r="28" customFormat="false" ht="19.5" hidden="false" customHeight="true" outlineLevel="0" collapsed="false">
      <c r="A28" s="41" t="s">
        <v>121</v>
      </c>
      <c r="B28" s="41"/>
      <c r="C28" s="41"/>
      <c r="D28" s="63" t="n">
        <f aca="false">AVERAGE(D7:D26)</f>
        <v>4.59</v>
      </c>
      <c r="E28" s="63" t="n">
        <f aca="false">AVERAGE(E7:E26)</f>
        <v>4.235</v>
      </c>
      <c r="F28" s="63" t="n">
        <f aca="false">AVERAGE(F7:F26)</f>
        <v>4.455</v>
      </c>
      <c r="G28" s="63" t="n">
        <f aca="false">AVERAGE(G7:G26)</f>
        <v>4.365</v>
      </c>
      <c r="H28" s="63" t="n">
        <f aca="false">AVERAGE(H7:H26)</f>
        <v>4.035</v>
      </c>
      <c r="I28" s="63" t="n">
        <f aca="false">AVERAGE(I7:I26)</f>
        <v>4.84</v>
      </c>
      <c r="J28" s="63" t="n">
        <f aca="false">AVERAGE(J7:J26)</f>
        <v>4.73</v>
      </c>
      <c r="K28" s="63" t="n">
        <f aca="false">AVERAGE(K7:K26)</f>
        <v>4.44</v>
      </c>
      <c r="L28" s="63" t="n">
        <f aca="false">AVERAGE(L7:L26)</f>
        <v>4.895</v>
      </c>
      <c r="M28" s="63" t="n">
        <f aca="false">AVERAGE(M7:M26)</f>
        <v>4.31</v>
      </c>
      <c r="N28" s="63" t="n">
        <f aca="false">AVERAGE(N7:N26)</f>
        <v>1.54</v>
      </c>
      <c r="O28" s="63" t="n">
        <f aca="false">AVERAGE(O7:O26)</f>
        <v>1.495</v>
      </c>
      <c r="P28" s="63" t="n">
        <f aca="false">AVERAGE(P7:P26)</f>
        <v>1.54</v>
      </c>
      <c r="Q28" s="63" t="n">
        <f aca="false">AVERAGE(Q7:Q26)</f>
        <v>1.5</v>
      </c>
      <c r="R28" s="63" t="n">
        <f aca="false">AVERAGE(R7:R26)</f>
        <v>1.56</v>
      </c>
      <c r="S28" s="63" t="n">
        <f aca="false">AVERAGE(S7:S26)</f>
        <v>1.44</v>
      </c>
      <c r="T28" s="63" t="n">
        <f aca="false">AVERAGE(T7:T26)</f>
        <v>1.33</v>
      </c>
      <c r="U28" s="63" t="n">
        <f aca="false">AVERAGE(U7:U26)</f>
        <v>1.535</v>
      </c>
      <c r="V28" s="63" t="n">
        <f aca="false">AVERAGE(V7:V26)</f>
        <v>1.46</v>
      </c>
      <c r="W28" s="63" t="n">
        <f aca="false">AVERAGE(W7:W26)</f>
        <v>1.54</v>
      </c>
      <c r="X28" s="63" t="n">
        <f aca="false">AVERAGE(X7:X26)</f>
        <v>15.42</v>
      </c>
      <c r="Y28" s="63" t="n">
        <f aca="false">AVERAGE(Y7:Y26)</f>
        <v>14.97</v>
      </c>
      <c r="Z28" s="63" t="n">
        <f aca="false">AVERAGE(Z7:Z26)</f>
        <v>14.995</v>
      </c>
      <c r="AA28" s="63" t="n">
        <f aca="false">AVERAGE(AA7:AA26)</f>
        <v>14.55</v>
      </c>
      <c r="AB28" s="63" t="n">
        <f aca="false">AVERAGE(AB7:AB26)</f>
        <v>15.545</v>
      </c>
      <c r="AC28" s="64" t="n">
        <f aca="false">AVERAGE(AC7:AC26)</f>
        <v>37.3875</v>
      </c>
      <c r="AD28" s="63" t="n">
        <f aca="false">AVERAGE(AD7:AD26)</f>
        <v>37.74</v>
      </c>
      <c r="AE28" s="52" t="n">
        <f aca="false">AVERAGE(AE7:AE26)</f>
        <v>75.1275</v>
      </c>
    </row>
    <row r="30" customFormat="false" ht="21.75" hidden="false" customHeight="true" outlineLevel="0" collapsed="false">
      <c r="A30" s="41" t="s">
        <v>122</v>
      </c>
      <c r="B30" s="41"/>
      <c r="C30" s="41"/>
      <c r="D30" s="65" t="n">
        <f aca="false">IFERROR((D28/D6+I28/I6+N28/N6+S28/S6+X28/X6)/5,0)</f>
        <v>0.766533333333333</v>
      </c>
      <c r="E30" s="65" t="n">
        <f aca="false">IFERROR((E28/E6+J28/J6+O28/O6+T28/T6+Y28/Y6)/5,0)</f>
        <v>0.731033333333333</v>
      </c>
      <c r="F30" s="65" t="n">
        <f aca="false">IFERROR((F28/F6+K28/K6+P28/P6+U28/U6+Z28/Z6)/5,0)</f>
        <v>0.75395</v>
      </c>
      <c r="G30" s="65" t="n">
        <f aca="false">IFERROR((G28/G6+L28/L6+Q28/Q6+V28/V6+AA28/AA6)/5,0)</f>
        <v>0.750166666666667</v>
      </c>
      <c r="H30" s="65" t="n">
        <f aca="false">IFERROR((H28/H6+M28/M6+R28/R6+W28/W6+AB28/AB6)/5,0)</f>
        <v>0.743616666666667</v>
      </c>
    </row>
    <row r="31" customFormat="false" ht="19.5" hidden="false" customHeight="true" outlineLevel="0" collapsed="false">
      <c r="A31" s="38" t="s">
        <v>123</v>
      </c>
      <c r="B31" s="38"/>
      <c r="C31" s="38"/>
      <c r="D31" s="66" t="n">
        <f aca="false">IF(D30&gt;=0.6,3,IF(D30&gt;=0.4,2,1))</f>
        <v>3</v>
      </c>
      <c r="E31" s="66" t="n">
        <f aca="false">IF(E30&gt;=0.6,3,IF(E30&gt;=0.4,2,1))</f>
        <v>3</v>
      </c>
      <c r="F31" s="66" t="n">
        <f aca="false">IF(F30&gt;=0.6,3,IF(F30&gt;=0.4,2,1))</f>
        <v>3</v>
      </c>
      <c r="G31" s="66" t="n">
        <f aca="false">IF(G30&gt;=0.6,3,IF(G30&gt;=0.4,2,1))</f>
        <v>3</v>
      </c>
      <c r="H31" s="66" t="n">
        <f aca="false">IF(H30&gt;=0.6,3,IF(H30&gt;=0.4,2,1))</f>
        <v>3</v>
      </c>
    </row>
  </sheetData>
  <mergeCells count="12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28:C28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1.5" hidden="false" customHeight="true" outlineLevel="0" collapsed="false">
      <c r="A1" s="34" t="s">
        <v>124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customFormat="false" ht="13.5" hidden="false" customHeight="true" outlineLevel="0" collapsed="false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customFormat="false" ht="6" hidden="false" customHeight="true" outlineLevel="0" collapsed="false"/>
    <row r="4" customFormat="false" ht="21.75" hidden="false" customHeight="true" outlineLevel="0" collapsed="false">
      <c r="A4" s="36" t="s">
        <v>62</v>
      </c>
      <c r="B4" s="36"/>
      <c r="C4" s="36"/>
      <c r="D4" s="37" t="s">
        <v>63</v>
      </c>
      <c r="E4" s="37"/>
      <c r="F4" s="37"/>
      <c r="G4" s="37"/>
      <c r="H4" s="37"/>
      <c r="I4" s="38" t="s">
        <v>64</v>
      </c>
      <c r="J4" s="38"/>
      <c r="K4" s="38"/>
      <c r="L4" s="38"/>
      <c r="M4" s="38"/>
      <c r="N4" s="39" t="s">
        <v>65</v>
      </c>
      <c r="O4" s="39"/>
      <c r="P4" s="39"/>
      <c r="Q4" s="39"/>
      <c r="R4" s="39"/>
      <c r="S4" s="40" t="s">
        <v>66</v>
      </c>
      <c r="T4" s="40"/>
      <c r="U4" s="40"/>
      <c r="V4" s="40"/>
      <c r="W4" s="40"/>
      <c r="X4" s="41" t="s">
        <v>67</v>
      </c>
      <c r="Y4" s="41"/>
      <c r="Z4" s="41"/>
      <c r="AA4" s="41"/>
      <c r="AB4" s="41"/>
      <c r="AC4" s="8" t="s">
        <v>68</v>
      </c>
      <c r="AD4" s="6" t="s">
        <v>69</v>
      </c>
      <c r="AE4" s="42" t="s">
        <v>70</v>
      </c>
    </row>
    <row r="5" customFormat="false" ht="18" hidden="false" customHeight="true" outlineLevel="0" collapsed="false">
      <c r="A5" s="43" t="s">
        <v>71</v>
      </c>
      <c r="B5" s="43" t="s">
        <v>72</v>
      </c>
      <c r="C5" s="43" t="s">
        <v>73</v>
      </c>
      <c r="D5" s="44" t="s">
        <v>74</v>
      </c>
      <c r="E5" s="44" t="s">
        <v>75</v>
      </c>
      <c r="F5" s="44" t="s">
        <v>76</v>
      </c>
      <c r="G5" s="44" t="s">
        <v>77</v>
      </c>
      <c r="H5" s="44" t="s">
        <v>78</v>
      </c>
      <c r="I5" s="45" t="s">
        <v>74</v>
      </c>
      <c r="J5" s="45" t="s">
        <v>75</v>
      </c>
      <c r="K5" s="45" t="s">
        <v>76</v>
      </c>
      <c r="L5" s="45" t="s">
        <v>77</v>
      </c>
      <c r="M5" s="45" t="s">
        <v>78</v>
      </c>
      <c r="N5" s="26" t="s">
        <v>74</v>
      </c>
      <c r="O5" s="26" t="s">
        <v>75</v>
      </c>
      <c r="P5" s="26" t="s">
        <v>76</v>
      </c>
      <c r="Q5" s="26" t="s">
        <v>77</v>
      </c>
      <c r="R5" s="26" t="s">
        <v>78</v>
      </c>
      <c r="S5" s="46" t="s">
        <v>74</v>
      </c>
      <c r="T5" s="46" t="s">
        <v>75</v>
      </c>
      <c r="U5" s="46" t="s">
        <v>76</v>
      </c>
      <c r="V5" s="46" t="s">
        <v>77</v>
      </c>
      <c r="W5" s="46" t="s">
        <v>78</v>
      </c>
      <c r="X5" s="47" t="s">
        <v>74</v>
      </c>
      <c r="Y5" s="47" t="s">
        <v>75</v>
      </c>
      <c r="Z5" s="47" t="s">
        <v>76</v>
      </c>
      <c r="AA5" s="47" t="s">
        <v>77</v>
      </c>
      <c r="AB5" s="47" t="s">
        <v>78</v>
      </c>
      <c r="AC5" s="48" t="s">
        <v>79</v>
      </c>
      <c r="AD5" s="49" t="s">
        <v>79</v>
      </c>
      <c r="AE5" s="50" t="s">
        <v>79</v>
      </c>
    </row>
    <row r="6" customFormat="false" ht="18" hidden="false" customHeight="true" outlineLevel="0" collapsed="false">
      <c r="A6" s="51" t="s">
        <v>80</v>
      </c>
      <c r="B6" s="51"/>
      <c r="C6" s="51"/>
      <c r="D6" s="52" t="n">
        <v>6</v>
      </c>
      <c r="E6" s="52" t="n">
        <v>6</v>
      </c>
      <c r="F6" s="52" t="n">
        <v>6</v>
      </c>
      <c r="G6" s="52" t="n">
        <v>6</v>
      </c>
      <c r="H6" s="52" t="n">
        <v>6</v>
      </c>
      <c r="I6" s="52" t="n">
        <v>6</v>
      </c>
      <c r="J6" s="52" t="n">
        <v>6</v>
      </c>
      <c r="K6" s="52" t="n">
        <v>6</v>
      </c>
      <c r="L6" s="52" t="n">
        <v>6</v>
      </c>
      <c r="M6" s="52" t="n">
        <v>6</v>
      </c>
      <c r="N6" s="52" t="n">
        <v>2</v>
      </c>
      <c r="O6" s="52" t="n">
        <v>2</v>
      </c>
      <c r="P6" s="52" t="n">
        <v>2</v>
      </c>
      <c r="Q6" s="52" t="n">
        <v>2</v>
      </c>
      <c r="R6" s="52" t="n">
        <v>2</v>
      </c>
      <c r="S6" s="52" t="n">
        <v>2</v>
      </c>
      <c r="T6" s="52" t="n">
        <v>2</v>
      </c>
      <c r="U6" s="52" t="n">
        <v>2</v>
      </c>
      <c r="V6" s="52" t="n">
        <v>2</v>
      </c>
      <c r="W6" s="52" t="n">
        <v>2</v>
      </c>
      <c r="X6" s="52" t="n">
        <v>20</v>
      </c>
      <c r="Y6" s="52" t="n">
        <v>20</v>
      </c>
      <c r="Z6" s="52" t="n">
        <v>20</v>
      </c>
      <c r="AA6" s="52" t="n">
        <v>20</v>
      </c>
      <c r="AB6" s="52" t="n">
        <v>20</v>
      </c>
      <c r="AC6" s="53" t="n">
        <v>50</v>
      </c>
      <c r="AD6" s="54" t="n">
        <v>50</v>
      </c>
      <c r="AE6" s="55" t="n">
        <v>100</v>
      </c>
    </row>
    <row r="7" customFormat="false" ht="16.5" hidden="false" customHeight="true" outlineLevel="0" collapsed="false">
      <c r="A7" s="12" t="n">
        <v>1</v>
      </c>
      <c r="B7" s="12" t="s">
        <v>81</v>
      </c>
      <c r="C7" s="56" t="s">
        <v>82</v>
      </c>
      <c r="D7" s="57" t="n">
        <v>5.5</v>
      </c>
      <c r="E7" s="57" t="n">
        <v>5.9</v>
      </c>
      <c r="F7" s="57" t="n">
        <v>3.3</v>
      </c>
      <c r="G7" s="57" t="n">
        <v>3.1</v>
      </c>
      <c r="H7" s="57" t="n">
        <v>3.9</v>
      </c>
      <c r="I7" s="57" t="n">
        <v>5</v>
      </c>
      <c r="J7" s="57" t="n">
        <v>5.9</v>
      </c>
      <c r="K7" s="57" t="n">
        <v>4.2</v>
      </c>
      <c r="L7" s="57" t="n">
        <v>5.1</v>
      </c>
      <c r="M7" s="57" t="n">
        <v>3.2</v>
      </c>
      <c r="N7" s="57" t="n">
        <v>1.7</v>
      </c>
      <c r="O7" s="57" t="n">
        <v>1.6</v>
      </c>
      <c r="P7" s="57" t="n">
        <v>1.1</v>
      </c>
      <c r="Q7" s="57" t="n">
        <v>1.8</v>
      </c>
      <c r="R7" s="57" t="n">
        <v>1.9</v>
      </c>
      <c r="S7" s="57" t="n">
        <v>1.6</v>
      </c>
      <c r="T7" s="57" t="n">
        <v>1.1</v>
      </c>
      <c r="U7" s="57" t="n">
        <v>2</v>
      </c>
      <c r="V7" s="57" t="n">
        <v>1.8</v>
      </c>
      <c r="W7" s="57" t="n">
        <v>1.3</v>
      </c>
      <c r="X7" s="57" t="n">
        <v>14.3</v>
      </c>
      <c r="Y7" s="57" t="n">
        <v>13.7</v>
      </c>
      <c r="Z7" s="57" t="n">
        <v>15.1</v>
      </c>
      <c r="AA7" s="57" t="n">
        <v>13.4</v>
      </c>
      <c r="AB7" s="57" t="n">
        <v>18.5</v>
      </c>
      <c r="AC7" s="58" t="n">
        <f aca="false">(SUM(D7:H7)+SUM(I7:M7))/2+SUM(N7:R7)+SUM(S7:W7)</f>
        <v>38.45</v>
      </c>
      <c r="AD7" s="59" t="n">
        <f aca="false">SUM(X7:AB7)/100*50</f>
        <v>37.5</v>
      </c>
      <c r="AE7" s="60" t="n">
        <f aca="false">AC7+AD7</f>
        <v>75.95</v>
      </c>
    </row>
    <row r="8" customFormat="false" ht="16.5" hidden="false" customHeight="true" outlineLevel="0" collapsed="false">
      <c r="A8" s="27" t="n">
        <v>2</v>
      </c>
      <c r="B8" s="27" t="s">
        <v>83</v>
      </c>
      <c r="C8" s="61" t="s">
        <v>84</v>
      </c>
      <c r="D8" s="62" t="n">
        <v>5.5</v>
      </c>
      <c r="E8" s="62" t="n">
        <v>3.3</v>
      </c>
      <c r="F8" s="62" t="n">
        <v>5.9</v>
      </c>
      <c r="G8" s="62" t="n">
        <v>4.9</v>
      </c>
      <c r="H8" s="62" t="n">
        <v>5.5</v>
      </c>
      <c r="I8" s="62" t="n">
        <v>5.1</v>
      </c>
      <c r="J8" s="62" t="n">
        <v>4.3</v>
      </c>
      <c r="K8" s="62" t="n">
        <v>5.2</v>
      </c>
      <c r="L8" s="62" t="n">
        <v>5.9</v>
      </c>
      <c r="M8" s="62" t="n">
        <v>3.8</v>
      </c>
      <c r="N8" s="62" t="n">
        <v>1.8</v>
      </c>
      <c r="O8" s="62" t="n">
        <v>1.5</v>
      </c>
      <c r="P8" s="62" t="n">
        <v>1.5</v>
      </c>
      <c r="Q8" s="62" t="n">
        <v>1.4</v>
      </c>
      <c r="R8" s="62" t="n">
        <v>1.7</v>
      </c>
      <c r="S8" s="62" t="n">
        <v>1.3</v>
      </c>
      <c r="T8" s="62" t="n">
        <v>1.9</v>
      </c>
      <c r="U8" s="62" t="n">
        <v>1.8</v>
      </c>
      <c r="V8" s="62" t="n">
        <v>1.1</v>
      </c>
      <c r="W8" s="62" t="n">
        <v>1.9</v>
      </c>
      <c r="X8" s="62" t="n">
        <v>12.4</v>
      </c>
      <c r="Y8" s="62" t="n">
        <v>14.6</v>
      </c>
      <c r="Z8" s="62" t="n">
        <v>16.1</v>
      </c>
      <c r="AA8" s="62" t="n">
        <v>13.8</v>
      </c>
      <c r="AB8" s="62" t="n">
        <v>10.3</v>
      </c>
      <c r="AC8" s="58" t="n">
        <f aca="false">(SUM(D8:H8)+SUM(I8:M8))/2+SUM(N8:R8)+SUM(S8:W8)</f>
        <v>40.6</v>
      </c>
      <c r="AD8" s="59" t="n">
        <f aca="false">SUM(X8:AB8)/100*50</f>
        <v>33.6</v>
      </c>
      <c r="AE8" s="60" t="n">
        <f aca="false">AC8+AD8</f>
        <v>74.2</v>
      </c>
    </row>
    <row r="9" customFormat="false" ht="16.5" hidden="false" customHeight="true" outlineLevel="0" collapsed="false">
      <c r="A9" s="12" t="n">
        <v>3</v>
      </c>
      <c r="B9" s="12" t="s">
        <v>85</v>
      </c>
      <c r="C9" s="56" t="s">
        <v>86</v>
      </c>
      <c r="D9" s="57" t="n">
        <v>5.6</v>
      </c>
      <c r="E9" s="57" t="n">
        <v>3.5</v>
      </c>
      <c r="F9" s="57" t="n">
        <v>3.6</v>
      </c>
      <c r="G9" s="57" t="n">
        <v>5.4</v>
      </c>
      <c r="H9" s="57" t="n">
        <v>4</v>
      </c>
      <c r="I9" s="57" t="n">
        <v>5.6</v>
      </c>
      <c r="J9" s="57" t="n">
        <v>5.1</v>
      </c>
      <c r="K9" s="57" t="n">
        <v>3.8</v>
      </c>
      <c r="L9" s="57" t="n">
        <v>3</v>
      </c>
      <c r="M9" s="57" t="n">
        <v>5.8</v>
      </c>
      <c r="N9" s="57" t="n">
        <v>1.1</v>
      </c>
      <c r="O9" s="57" t="n">
        <v>1.7</v>
      </c>
      <c r="P9" s="57" t="n">
        <v>1.5</v>
      </c>
      <c r="Q9" s="57" t="n">
        <v>1.8</v>
      </c>
      <c r="R9" s="57" t="n">
        <v>1.7</v>
      </c>
      <c r="S9" s="57" t="n">
        <v>1.6</v>
      </c>
      <c r="T9" s="57" t="n">
        <v>1.5</v>
      </c>
      <c r="U9" s="57" t="n">
        <v>1.8</v>
      </c>
      <c r="V9" s="57" t="n">
        <v>1.1</v>
      </c>
      <c r="W9" s="57" t="n">
        <v>1.2</v>
      </c>
      <c r="X9" s="57" t="n">
        <v>16.9</v>
      </c>
      <c r="Y9" s="57" t="n">
        <v>13.1</v>
      </c>
      <c r="Z9" s="57" t="n">
        <v>15.8</v>
      </c>
      <c r="AA9" s="57" t="n">
        <v>14.7</v>
      </c>
      <c r="AB9" s="57" t="n">
        <v>15.3</v>
      </c>
      <c r="AC9" s="58" t="n">
        <f aca="false">(SUM(D9:H9)+SUM(I9:M9))/2+SUM(N9:R9)+SUM(S9:W9)</f>
        <v>37.7</v>
      </c>
      <c r="AD9" s="59" t="n">
        <f aca="false">SUM(X9:AB9)/100*50</f>
        <v>37.9</v>
      </c>
      <c r="AE9" s="60" t="n">
        <f aca="false">AC9+AD9</f>
        <v>75.6</v>
      </c>
    </row>
    <row r="10" customFormat="false" ht="16.5" hidden="false" customHeight="true" outlineLevel="0" collapsed="false">
      <c r="A10" s="27" t="n">
        <v>4</v>
      </c>
      <c r="B10" s="27" t="s">
        <v>87</v>
      </c>
      <c r="C10" s="61" t="s">
        <v>88</v>
      </c>
      <c r="D10" s="62" t="n">
        <v>4.3</v>
      </c>
      <c r="E10" s="62" t="n">
        <v>5.2</v>
      </c>
      <c r="F10" s="62" t="n">
        <v>4</v>
      </c>
      <c r="G10" s="62" t="n">
        <v>5.1</v>
      </c>
      <c r="H10" s="62" t="n">
        <v>3.8</v>
      </c>
      <c r="I10" s="62" t="n">
        <v>3.8</v>
      </c>
      <c r="J10" s="62" t="n">
        <v>3.4</v>
      </c>
      <c r="K10" s="62" t="n">
        <v>3.6</v>
      </c>
      <c r="L10" s="62" t="n">
        <v>3.4</v>
      </c>
      <c r="M10" s="62" t="n">
        <v>4.6</v>
      </c>
      <c r="N10" s="62" t="n">
        <v>1.8</v>
      </c>
      <c r="O10" s="62" t="n">
        <v>1.2</v>
      </c>
      <c r="P10" s="62" t="n">
        <v>1.2</v>
      </c>
      <c r="Q10" s="62" t="n">
        <v>1.5</v>
      </c>
      <c r="R10" s="62" t="n">
        <v>1.7</v>
      </c>
      <c r="S10" s="62" t="n">
        <v>2</v>
      </c>
      <c r="T10" s="62" t="n">
        <v>1.5</v>
      </c>
      <c r="U10" s="62" t="n">
        <v>1.3</v>
      </c>
      <c r="V10" s="62" t="n">
        <v>1.1</v>
      </c>
      <c r="W10" s="62" t="n">
        <v>1.2</v>
      </c>
      <c r="X10" s="62" t="n">
        <v>12.3</v>
      </c>
      <c r="Y10" s="62" t="n">
        <v>11.8</v>
      </c>
      <c r="Z10" s="62" t="n">
        <v>10.1</v>
      </c>
      <c r="AA10" s="62" t="n">
        <v>15.3</v>
      </c>
      <c r="AB10" s="62" t="n">
        <v>12.7</v>
      </c>
      <c r="AC10" s="58" t="n">
        <f aca="false">(SUM(D10:H10)+SUM(I10:M10))/2+SUM(N10:R10)+SUM(S10:W10)</f>
        <v>35.1</v>
      </c>
      <c r="AD10" s="59" t="n">
        <f aca="false">SUM(X10:AB10)/100*50</f>
        <v>31.1</v>
      </c>
      <c r="AE10" s="60" t="n">
        <f aca="false">AC10+AD10</f>
        <v>66.2</v>
      </c>
    </row>
    <row r="11" customFormat="false" ht="16.5" hidden="false" customHeight="true" outlineLevel="0" collapsed="false">
      <c r="A11" s="12" t="n">
        <v>5</v>
      </c>
      <c r="B11" s="12" t="s">
        <v>89</v>
      </c>
      <c r="C11" s="56" t="s">
        <v>90</v>
      </c>
      <c r="D11" s="57" t="n">
        <v>5.9</v>
      </c>
      <c r="E11" s="57" t="n">
        <v>4.7</v>
      </c>
      <c r="F11" s="57" t="n">
        <v>5.1</v>
      </c>
      <c r="G11" s="57" t="n">
        <v>3.4</v>
      </c>
      <c r="H11" s="57" t="n">
        <v>5.6</v>
      </c>
      <c r="I11" s="57" t="n">
        <v>4.5</v>
      </c>
      <c r="J11" s="57" t="n">
        <v>5.6</v>
      </c>
      <c r="K11" s="57" t="n">
        <v>4.7</v>
      </c>
      <c r="L11" s="57" t="n">
        <v>4.4</v>
      </c>
      <c r="M11" s="57" t="n">
        <v>4.3</v>
      </c>
      <c r="N11" s="57" t="n">
        <v>1.2</v>
      </c>
      <c r="O11" s="57" t="n">
        <v>1.1</v>
      </c>
      <c r="P11" s="57" t="n">
        <v>1.9</v>
      </c>
      <c r="Q11" s="57" t="n">
        <v>1.5</v>
      </c>
      <c r="R11" s="57" t="n">
        <v>1.8</v>
      </c>
      <c r="S11" s="57" t="n">
        <v>1.4</v>
      </c>
      <c r="T11" s="57" t="n">
        <v>1.1</v>
      </c>
      <c r="U11" s="57" t="n">
        <v>1.6</v>
      </c>
      <c r="V11" s="57" t="n">
        <v>1.1</v>
      </c>
      <c r="W11" s="57" t="n">
        <v>1.1</v>
      </c>
      <c r="X11" s="57" t="n">
        <v>15.6</v>
      </c>
      <c r="Y11" s="57" t="n">
        <v>13</v>
      </c>
      <c r="Z11" s="57" t="n">
        <v>19.9</v>
      </c>
      <c r="AA11" s="57" t="n">
        <v>11.2</v>
      </c>
      <c r="AB11" s="57" t="n">
        <v>17.6</v>
      </c>
      <c r="AC11" s="58" t="n">
        <f aca="false">(SUM(D11:H11)+SUM(I11:M11))/2+SUM(N11:R11)+SUM(S11:W11)</f>
        <v>37.9</v>
      </c>
      <c r="AD11" s="59" t="n">
        <f aca="false">SUM(X11:AB11)/100*50</f>
        <v>38.65</v>
      </c>
      <c r="AE11" s="60" t="n">
        <f aca="false">AC11+AD11</f>
        <v>76.55</v>
      </c>
    </row>
    <row r="12" customFormat="false" ht="16.5" hidden="false" customHeight="true" outlineLevel="0" collapsed="false">
      <c r="A12" s="27" t="n">
        <v>6</v>
      </c>
      <c r="B12" s="27" t="s">
        <v>91</v>
      </c>
      <c r="C12" s="61" t="s">
        <v>92</v>
      </c>
      <c r="D12" s="62" t="n">
        <v>4.8</v>
      </c>
      <c r="E12" s="62" t="n">
        <v>5.4</v>
      </c>
      <c r="F12" s="62" t="n">
        <v>3.7</v>
      </c>
      <c r="G12" s="62" t="n">
        <v>4.6</v>
      </c>
      <c r="H12" s="62" t="n">
        <v>4.4</v>
      </c>
      <c r="I12" s="62" t="n">
        <v>4.3</v>
      </c>
      <c r="J12" s="62" t="n">
        <v>5.6</v>
      </c>
      <c r="K12" s="62" t="n">
        <v>6</v>
      </c>
      <c r="L12" s="62" t="n">
        <v>3.9</v>
      </c>
      <c r="M12" s="62" t="n">
        <v>4.9</v>
      </c>
      <c r="N12" s="62" t="n">
        <v>1.6</v>
      </c>
      <c r="O12" s="62" t="n">
        <v>1.7</v>
      </c>
      <c r="P12" s="62" t="n">
        <v>1.9</v>
      </c>
      <c r="Q12" s="62" t="n">
        <v>1.2</v>
      </c>
      <c r="R12" s="62" t="n">
        <v>1.2</v>
      </c>
      <c r="S12" s="62" t="n">
        <v>1.7</v>
      </c>
      <c r="T12" s="62" t="n">
        <v>1.2</v>
      </c>
      <c r="U12" s="62" t="n">
        <v>1.2</v>
      </c>
      <c r="V12" s="62" t="n">
        <v>1.1</v>
      </c>
      <c r="W12" s="62" t="n">
        <v>1</v>
      </c>
      <c r="X12" s="62" t="n">
        <v>14.5</v>
      </c>
      <c r="Y12" s="62" t="n">
        <v>15.9</v>
      </c>
      <c r="Z12" s="62" t="n">
        <v>12.9</v>
      </c>
      <c r="AA12" s="62" t="n">
        <v>12.3</v>
      </c>
      <c r="AB12" s="62" t="n">
        <v>17.1</v>
      </c>
      <c r="AC12" s="58" t="n">
        <f aca="false">(SUM(D12:H12)+SUM(I12:M12))/2+SUM(N12:R12)+SUM(S12:W12)</f>
        <v>37.6</v>
      </c>
      <c r="AD12" s="59" t="n">
        <f aca="false">SUM(X12:AB12)/100*50</f>
        <v>36.35</v>
      </c>
      <c r="AE12" s="60" t="n">
        <f aca="false">AC12+AD12</f>
        <v>73.95</v>
      </c>
    </row>
    <row r="13" customFormat="false" ht="16.5" hidden="false" customHeight="true" outlineLevel="0" collapsed="false">
      <c r="A13" s="12" t="n">
        <v>7</v>
      </c>
      <c r="B13" s="12" t="s">
        <v>93</v>
      </c>
      <c r="C13" s="56" t="s">
        <v>94</v>
      </c>
      <c r="D13" s="57" t="n">
        <v>5.1</v>
      </c>
      <c r="E13" s="57" t="n">
        <v>4.4</v>
      </c>
      <c r="F13" s="57" t="n">
        <v>5.1</v>
      </c>
      <c r="G13" s="57" t="n">
        <v>5.8</v>
      </c>
      <c r="H13" s="57" t="n">
        <v>5.4</v>
      </c>
      <c r="I13" s="57" t="n">
        <v>4.9</v>
      </c>
      <c r="J13" s="57" t="n">
        <v>5</v>
      </c>
      <c r="K13" s="57" t="n">
        <v>5.8</v>
      </c>
      <c r="L13" s="57" t="n">
        <v>4.3</v>
      </c>
      <c r="M13" s="57" t="n">
        <v>4.6</v>
      </c>
      <c r="N13" s="57" t="n">
        <v>1.6</v>
      </c>
      <c r="O13" s="57" t="n">
        <v>1.9</v>
      </c>
      <c r="P13" s="57" t="n">
        <v>1.8</v>
      </c>
      <c r="Q13" s="57" t="n">
        <v>1.1</v>
      </c>
      <c r="R13" s="57" t="n">
        <v>1.2</v>
      </c>
      <c r="S13" s="57" t="n">
        <v>1.3</v>
      </c>
      <c r="T13" s="57" t="n">
        <v>1.7</v>
      </c>
      <c r="U13" s="57" t="n">
        <v>1.6</v>
      </c>
      <c r="V13" s="57" t="n">
        <v>1.3</v>
      </c>
      <c r="W13" s="57" t="n">
        <v>1.1</v>
      </c>
      <c r="X13" s="57" t="n">
        <v>16.9</v>
      </c>
      <c r="Y13" s="57" t="n">
        <v>17</v>
      </c>
      <c r="Z13" s="57" t="n">
        <v>19.4</v>
      </c>
      <c r="AA13" s="57" t="n">
        <v>15</v>
      </c>
      <c r="AB13" s="57" t="n">
        <v>14.9</v>
      </c>
      <c r="AC13" s="58" t="n">
        <f aca="false">(SUM(D13:H13)+SUM(I13:M13))/2+SUM(N13:R13)+SUM(S13:W13)</f>
        <v>39.8</v>
      </c>
      <c r="AD13" s="59" t="n">
        <f aca="false">SUM(X13:AB13)/100*50</f>
        <v>41.6</v>
      </c>
      <c r="AE13" s="60" t="n">
        <f aca="false">AC13+AD13</f>
        <v>81.4</v>
      </c>
    </row>
    <row r="14" customFormat="false" ht="16.5" hidden="false" customHeight="true" outlineLevel="0" collapsed="false">
      <c r="A14" s="27" t="n">
        <v>8</v>
      </c>
      <c r="B14" s="27" t="s">
        <v>95</v>
      </c>
      <c r="C14" s="61" t="s">
        <v>96</v>
      </c>
      <c r="D14" s="62" t="n">
        <v>3.2</v>
      </c>
      <c r="E14" s="62" t="n">
        <v>3.1</v>
      </c>
      <c r="F14" s="62" t="n">
        <v>4.3</v>
      </c>
      <c r="G14" s="62" t="n">
        <v>4</v>
      </c>
      <c r="H14" s="62" t="n">
        <v>3.8</v>
      </c>
      <c r="I14" s="62" t="n">
        <v>3.3</v>
      </c>
      <c r="J14" s="62" t="n">
        <v>5.9</v>
      </c>
      <c r="K14" s="62" t="n">
        <v>5.5</v>
      </c>
      <c r="L14" s="62" t="n">
        <v>4.7</v>
      </c>
      <c r="M14" s="62" t="n">
        <v>5.9</v>
      </c>
      <c r="N14" s="62" t="n">
        <v>2</v>
      </c>
      <c r="O14" s="62" t="n">
        <v>1.7</v>
      </c>
      <c r="P14" s="62" t="n">
        <v>1.3</v>
      </c>
      <c r="Q14" s="62" t="n">
        <v>1</v>
      </c>
      <c r="R14" s="62" t="n">
        <v>1.8</v>
      </c>
      <c r="S14" s="62" t="n">
        <v>1.5</v>
      </c>
      <c r="T14" s="62" t="n">
        <v>1.7</v>
      </c>
      <c r="U14" s="62" t="n">
        <v>1.9</v>
      </c>
      <c r="V14" s="62" t="n">
        <v>1.2</v>
      </c>
      <c r="W14" s="62" t="n">
        <v>1.6</v>
      </c>
      <c r="X14" s="62" t="n">
        <v>16.3</v>
      </c>
      <c r="Y14" s="62" t="n">
        <v>14.9</v>
      </c>
      <c r="Z14" s="62" t="n">
        <v>10.9</v>
      </c>
      <c r="AA14" s="62" t="n">
        <v>13.5</v>
      </c>
      <c r="AB14" s="62" t="n">
        <v>13.3</v>
      </c>
      <c r="AC14" s="58" t="n">
        <f aca="false">(SUM(D14:H14)+SUM(I14:M14))/2+SUM(N14:R14)+SUM(S14:W14)</f>
        <v>37.55</v>
      </c>
      <c r="AD14" s="59" t="n">
        <f aca="false">SUM(X14:AB14)/100*50</f>
        <v>34.45</v>
      </c>
      <c r="AE14" s="60" t="n">
        <f aca="false">AC14+AD14</f>
        <v>72</v>
      </c>
    </row>
    <row r="15" customFormat="false" ht="16.5" hidden="false" customHeight="true" outlineLevel="0" collapsed="false">
      <c r="A15" s="12" t="n">
        <v>9</v>
      </c>
      <c r="B15" s="12" t="s">
        <v>97</v>
      </c>
      <c r="C15" s="56" t="s">
        <v>98</v>
      </c>
      <c r="D15" s="57" t="n">
        <v>5</v>
      </c>
      <c r="E15" s="57" t="n">
        <v>5.6</v>
      </c>
      <c r="F15" s="57" t="n">
        <v>4</v>
      </c>
      <c r="G15" s="57" t="n">
        <v>5.1</v>
      </c>
      <c r="H15" s="57" t="n">
        <v>3.9</v>
      </c>
      <c r="I15" s="57" t="n">
        <v>5.8</v>
      </c>
      <c r="J15" s="57" t="n">
        <v>5.4</v>
      </c>
      <c r="K15" s="57" t="n">
        <v>4.7</v>
      </c>
      <c r="L15" s="57" t="n">
        <v>4.4</v>
      </c>
      <c r="M15" s="57" t="n">
        <v>3.9</v>
      </c>
      <c r="N15" s="57" t="n">
        <v>1.3</v>
      </c>
      <c r="O15" s="57" t="n">
        <v>2</v>
      </c>
      <c r="P15" s="57" t="n">
        <v>1.4</v>
      </c>
      <c r="Q15" s="57" t="n">
        <v>1.5</v>
      </c>
      <c r="R15" s="57" t="n">
        <v>2</v>
      </c>
      <c r="S15" s="57" t="n">
        <v>1.7</v>
      </c>
      <c r="T15" s="57" t="n">
        <v>1.5</v>
      </c>
      <c r="U15" s="57" t="n">
        <v>1.4</v>
      </c>
      <c r="V15" s="57" t="n">
        <v>1.2</v>
      </c>
      <c r="W15" s="57" t="n">
        <v>1.4</v>
      </c>
      <c r="X15" s="57" t="n">
        <v>17.6</v>
      </c>
      <c r="Y15" s="57" t="n">
        <v>16.3</v>
      </c>
      <c r="Z15" s="57" t="n">
        <v>17.6</v>
      </c>
      <c r="AA15" s="57" t="n">
        <v>12</v>
      </c>
      <c r="AB15" s="57" t="n">
        <v>15.5</v>
      </c>
      <c r="AC15" s="58" t="n">
        <f aca="false">(SUM(D15:H15)+SUM(I15:M15))/2+SUM(N15:R15)+SUM(S15:W15)</f>
        <v>39.3</v>
      </c>
      <c r="AD15" s="59" t="n">
        <f aca="false">SUM(X15:AB15)/100*50</f>
        <v>39.5</v>
      </c>
      <c r="AE15" s="60" t="n">
        <f aca="false">AC15+AD15</f>
        <v>78.8</v>
      </c>
    </row>
    <row r="16" customFormat="false" ht="16.5" hidden="false" customHeight="true" outlineLevel="0" collapsed="false">
      <c r="A16" s="27" t="n">
        <v>10</v>
      </c>
      <c r="B16" s="27" t="s">
        <v>99</v>
      </c>
      <c r="C16" s="61" t="s">
        <v>100</v>
      </c>
      <c r="D16" s="62" t="n">
        <v>5.8</v>
      </c>
      <c r="E16" s="62" t="n">
        <v>4.3</v>
      </c>
      <c r="F16" s="62" t="n">
        <v>5.1</v>
      </c>
      <c r="G16" s="62" t="n">
        <v>3.4</v>
      </c>
      <c r="H16" s="62" t="n">
        <v>5.9</v>
      </c>
      <c r="I16" s="62" t="n">
        <v>4.8</v>
      </c>
      <c r="J16" s="62" t="n">
        <v>3.7</v>
      </c>
      <c r="K16" s="62" t="n">
        <v>3.5</v>
      </c>
      <c r="L16" s="62" t="n">
        <v>4.7</v>
      </c>
      <c r="M16" s="62" t="n">
        <v>4.7</v>
      </c>
      <c r="N16" s="62" t="n">
        <v>1.1</v>
      </c>
      <c r="O16" s="62" t="n">
        <v>2</v>
      </c>
      <c r="P16" s="62" t="n">
        <v>1.9</v>
      </c>
      <c r="Q16" s="62" t="n">
        <v>1.5</v>
      </c>
      <c r="R16" s="62" t="n">
        <v>1.1</v>
      </c>
      <c r="S16" s="62" t="n">
        <v>1.8</v>
      </c>
      <c r="T16" s="62" t="n">
        <v>1.5</v>
      </c>
      <c r="U16" s="62" t="n">
        <v>1.7</v>
      </c>
      <c r="V16" s="62" t="n">
        <v>1.5</v>
      </c>
      <c r="W16" s="62" t="n">
        <v>1.3</v>
      </c>
      <c r="X16" s="62" t="n">
        <v>18.3</v>
      </c>
      <c r="Y16" s="62" t="n">
        <v>19.8</v>
      </c>
      <c r="Z16" s="62" t="n">
        <v>12.4</v>
      </c>
      <c r="AA16" s="62" t="n">
        <v>15.5</v>
      </c>
      <c r="AB16" s="62" t="n">
        <v>13.8</v>
      </c>
      <c r="AC16" s="58" t="n">
        <f aca="false">(SUM(D16:H16)+SUM(I16:M16))/2+SUM(N16:R16)+SUM(S16:W16)</f>
        <v>38.35</v>
      </c>
      <c r="AD16" s="59" t="n">
        <f aca="false">SUM(X16:AB16)/100*50</f>
        <v>39.9</v>
      </c>
      <c r="AE16" s="60" t="n">
        <f aca="false">AC16+AD16</f>
        <v>78.25</v>
      </c>
    </row>
    <row r="17" customFormat="false" ht="16.5" hidden="false" customHeight="true" outlineLevel="0" collapsed="false">
      <c r="A17" s="12" t="n">
        <v>11</v>
      </c>
      <c r="B17" s="12" t="s">
        <v>101</v>
      </c>
      <c r="C17" s="56" t="s">
        <v>102</v>
      </c>
      <c r="D17" s="57" t="n">
        <v>5.8</v>
      </c>
      <c r="E17" s="57" t="n">
        <v>4.5</v>
      </c>
      <c r="F17" s="57" t="n">
        <v>5.6</v>
      </c>
      <c r="G17" s="57" t="n">
        <v>5.6</v>
      </c>
      <c r="H17" s="57" t="n">
        <v>3.8</v>
      </c>
      <c r="I17" s="57" t="n">
        <v>5.4</v>
      </c>
      <c r="J17" s="57" t="n">
        <v>4.2</v>
      </c>
      <c r="K17" s="57" t="n">
        <v>5.8</v>
      </c>
      <c r="L17" s="57" t="n">
        <v>4.5</v>
      </c>
      <c r="M17" s="57" t="n">
        <v>5.5</v>
      </c>
      <c r="N17" s="57" t="n">
        <v>1.3</v>
      </c>
      <c r="O17" s="57" t="n">
        <v>1.3</v>
      </c>
      <c r="P17" s="57" t="n">
        <v>1.6</v>
      </c>
      <c r="Q17" s="57" t="n">
        <v>2</v>
      </c>
      <c r="R17" s="57" t="n">
        <v>1.5</v>
      </c>
      <c r="S17" s="57" t="n">
        <v>1.1</v>
      </c>
      <c r="T17" s="57" t="n">
        <v>1.5</v>
      </c>
      <c r="U17" s="57" t="n">
        <v>1.3</v>
      </c>
      <c r="V17" s="57" t="n">
        <v>1.6</v>
      </c>
      <c r="W17" s="57" t="n">
        <v>1.5</v>
      </c>
      <c r="X17" s="57" t="n">
        <v>14.6</v>
      </c>
      <c r="Y17" s="57" t="n">
        <v>13.2</v>
      </c>
      <c r="Z17" s="57" t="n">
        <v>11.9</v>
      </c>
      <c r="AA17" s="57" t="n">
        <v>17</v>
      </c>
      <c r="AB17" s="57" t="n">
        <v>15.7</v>
      </c>
      <c r="AC17" s="58" t="n">
        <f aca="false">(SUM(D17:H17)+SUM(I17:M17))/2+SUM(N17:R17)+SUM(S17:W17)</f>
        <v>40.05</v>
      </c>
      <c r="AD17" s="59" t="n">
        <f aca="false">SUM(X17:AB17)/100*50</f>
        <v>36.2</v>
      </c>
      <c r="AE17" s="60" t="n">
        <f aca="false">AC17+AD17</f>
        <v>76.25</v>
      </c>
    </row>
    <row r="18" customFormat="false" ht="16.5" hidden="false" customHeight="true" outlineLevel="0" collapsed="false">
      <c r="A18" s="27" t="n">
        <v>12</v>
      </c>
      <c r="B18" s="27" t="s">
        <v>103</v>
      </c>
      <c r="C18" s="61" t="s">
        <v>104</v>
      </c>
      <c r="D18" s="62" t="n">
        <v>3.7</v>
      </c>
      <c r="E18" s="62" t="n">
        <v>5.3</v>
      </c>
      <c r="F18" s="62" t="n">
        <v>3.1</v>
      </c>
      <c r="G18" s="62" t="n">
        <v>5.2</v>
      </c>
      <c r="H18" s="62" t="n">
        <v>5.1</v>
      </c>
      <c r="I18" s="62" t="n">
        <v>5.4</v>
      </c>
      <c r="J18" s="62" t="n">
        <v>4.2</v>
      </c>
      <c r="K18" s="62" t="n">
        <v>5</v>
      </c>
      <c r="L18" s="62" t="n">
        <v>5.5</v>
      </c>
      <c r="M18" s="62" t="n">
        <v>5.9</v>
      </c>
      <c r="N18" s="62" t="n">
        <v>1.5</v>
      </c>
      <c r="O18" s="62" t="n">
        <v>1</v>
      </c>
      <c r="P18" s="62" t="n">
        <v>1.5</v>
      </c>
      <c r="Q18" s="62" t="n">
        <v>1.6</v>
      </c>
      <c r="R18" s="62" t="n">
        <v>1.9</v>
      </c>
      <c r="S18" s="62" t="n">
        <v>1.9</v>
      </c>
      <c r="T18" s="62" t="n">
        <v>1.4</v>
      </c>
      <c r="U18" s="62" t="n">
        <v>1.5</v>
      </c>
      <c r="V18" s="62" t="n">
        <v>1.5</v>
      </c>
      <c r="W18" s="62" t="n">
        <v>1.7</v>
      </c>
      <c r="X18" s="62" t="n">
        <v>14.1</v>
      </c>
      <c r="Y18" s="62" t="n">
        <v>16.5</v>
      </c>
      <c r="Z18" s="62" t="n">
        <v>11.5</v>
      </c>
      <c r="AA18" s="62" t="n">
        <v>14.7</v>
      </c>
      <c r="AB18" s="62" t="n">
        <v>19.7</v>
      </c>
      <c r="AC18" s="58" t="n">
        <f aca="false">(SUM(D18:H18)+SUM(I18:M18))/2+SUM(N18:R18)+SUM(S18:W18)</f>
        <v>39.7</v>
      </c>
      <c r="AD18" s="59" t="n">
        <f aca="false">SUM(X18:AB18)/100*50</f>
        <v>38.25</v>
      </c>
      <c r="AE18" s="60" t="n">
        <f aca="false">AC18+AD18</f>
        <v>77.95</v>
      </c>
    </row>
    <row r="19" customFormat="false" ht="16.5" hidden="false" customHeight="true" outlineLevel="0" collapsed="false">
      <c r="A19" s="12" t="n">
        <v>13</v>
      </c>
      <c r="B19" s="12" t="s">
        <v>105</v>
      </c>
      <c r="C19" s="56" t="s">
        <v>106</v>
      </c>
      <c r="D19" s="57" t="n">
        <v>4</v>
      </c>
      <c r="E19" s="57" t="n">
        <v>5.1</v>
      </c>
      <c r="F19" s="57" t="n">
        <v>4.9</v>
      </c>
      <c r="G19" s="57" t="n">
        <v>5.6</v>
      </c>
      <c r="H19" s="57" t="n">
        <v>5.6</v>
      </c>
      <c r="I19" s="57" t="n">
        <v>5.6</v>
      </c>
      <c r="J19" s="57" t="n">
        <v>4.1</v>
      </c>
      <c r="K19" s="57" t="n">
        <v>3.9</v>
      </c>
      <c r="L19" s="57" t="n">
        <v>5.2</v>
      </c>
      <c r="M19" s="57" t="n">
        <v>5.3</v>
      </c>
      <c r="N19" s="57" t="n">
        <v>1.9</v>
      </c>
      <c r="O19" s="57" t="n">
        <v>1</v>
      </c>
      <c r="P19" s="57" t="n">
        <v>1.1</v>
      </c>
      <c r="Q19" s="57" t="n">
        <v>1.6</v>
      </c>
      <c r="R19" s="57" t="n">
        <v>1.9</v>
      </c>
      <c r="S19" s="57" t="n">
        <v>2</v>
      </c>
      <c r="T19" s="57" t="n">
        <v>1.7</v>
      </c>
      <c r="U19" s="57" t="n">
        <v>1.4</v>
      </c>
      <c r="V19" s="57" t="n">
        <v>1.1</v>
      </c>
      <c r="W19" s="57" t="n">
        <v>1.6</v>
      </c>
      <c r="X19" s="57" t="n">
        <v>18.7</v>
      </c>
      <c r="Y19" s="57" t="n">
        <v>14.4</v>
      </c>
      <c r="Z19" s="57" t="n">
        <v>16.9</v>
      </c>
      <c r="AA19" s="57" t="n">
        <v>19</v>
      </c>
      <c r="AB19" s="57" t="n">
        <v>10.5</v>
      </c>
      <c r="AC19" s="58" t="n">
        <f aca="false">(SUM(D19:H19)+SUM(I19:M19))/2+SUM(N19:R19)+SUM(S19:W19)</f>
        <v>39.95</v>
      </c>
      <c r="AD19" s="59" t="n">
        <f aca="false">SUM(X19:AB19)/100*50</f>
        <v>39.75</v>
      </c>
      <c r="AE19" s="60" t="n">
        <f aca="false">AC19+AD19</f>
        <v>79.7</v>
      </c>
    </row>
    <row r="20" customFormat="false" ht="16.5" hidden="false" customHeight="true" outlineLevel="0" collapsed="false">
      <c r="A20" s="27" t="n">
        <v>14</v>
      </c>
      <c r="B20" s="27" t="s">
        <v>107</v>
      </c>
      <c r="C20" s="61" t="s">
        <v>108</v>
      </c>
      <c r="D20" s="62" t="n">
        <v>5.4</v>
      </c>
      <c r="E20" s="62" t="n">
        <v>3.9</v>
      </c>
      <c r="F20" s="62" t="n">
        <v>4.1</v>
      </c>
      <c r="G20" s="62" t="n">
        <v>3.4</v>
      </c>
      <c r="H20" s="62" t="n">
        <v>4.6</v>
      </c>
      <c r="I20" s="62" t="n">
        <v>4.7</v>
      </c>
      <c r="J20" s="62" t="n">
        <v>5.4</v>
      </c>
      <c r="K20" s="62" t="n">
        <v>3.5</v>
      </c>
      <c r="L20" s="62" t="n">
        <v>3.2</v>
      </c>
      <c r="M20" s="62" t="n">
        <v>5.6</v>
      </c>
      <c r="N20" s="62" t="n">
        <v>1.6</v>
      </c>
      <c r="O20" s="62" t="n">
        <v>1.2</v>
      </c>
      <c r="P20" s="62" t="n">
        <v>1.9</v>
      </c>
      <c r="Q20" s="62" t="n">
        <v>1.1</v>
      </c>
      <c r="R20" s="62" t="n">
        <v>1.5</v>
      </c>
      <c r="S20" s="62" t="n">
        <v>1.3</v>
      </c>
      <c r="T20" s="62" t="n">
        <v>1.3</v>
      </c>
      <c r="U20" s="62" t="n">
        <v>1</v>
      </c>
      <c r="V20" s="62" t="n">
        <v>1.8</v>
      </c>
      <c r="W20" s="62" t="n">
        <v>1.9</v>
      </c>
      <c r="X20" s="62" t="n">
        <v>16.8</v>
      </c>
      <c r="Y20" s="62" t="n">
        <v>11.6</v>
      </c>
      <c r="Z20" s="62" t="n">
        <v>14.4</v>
      </c>
      <c r="AA20" s="62" t="n">
        <v>13.5</v>
      </c>
      <c r="AB20" s="62" t="n">
        <v>15.9</v>
      </c>
      <c r="AC20" s="58" t="n">
        <f aca="false">(SUM(D20:H20)+SUM(I20:M20))/2+SUM(N20:R20)+SUM(S20:W20)</f>
        <v>36.5</v>
      </c>
      <c r="AD20" s="59" t="n">
        <f aca="false">SUM(X20:AB20)/100*50</f>
        <v>36.1</v>
      </c>
      <c r="AE20" s="60" t="n">
        <f aca="false">AC20+AD20</f>
        <v>72.6</v>
      </c>
    </row>
    <row r="21" customFormat="false" ht="16.5" hidden="false" customHeight="true" outlineLevel="0" collapsed="false">
      <c r="A21" s="12" t="n">
        <v>15</v>
      </c>
      <c r="B21" s="12" t="s">
        <v>109</v>
      </c>
      <c r="C21" s="56" t="s">
        <v>110</v>
      </c>
      <c r="D21" s="57" t="n">
        <v>4.9</v>
      </c>
      <c r="E21" s="57" t="n">
        <v>4.3</v>
      </c>
      <c r="F21" s="57" t="n">
        <v>3.8</v>
      </c>
      <c r="G21" s="57" t="n">
        <v>5.5</v>
      </c>
      <c r="H21" s="57" t="n">
        <v>3.6</v>
      </c>
      <c r="I21" s="57" t="n">
        <v>4.2</v>
      </c>
      <c r="J21" s="57" t="n">
        <v>4.4</v>
      </c>
      <c r="K21" s="57" t="n">
        <v>3.7</v>
      </c>
      <c r="L21" s="57" t="n">
        <v>4.7</v>
      </c>
      <c r="M21" s="57" t="n">
        <v>4.7</v>
      </c>
      <c r="N21" s="57" t="n">
        <v>2</v>
      </c>
      <c r="O21" s="57" t="n">
        <v>1.3</v>
      </c>
      <c r="P21" s="57" t="n">
        <v>2</v>
      </c>
      <c r="Q21" s="57" t="n">
        <v>1.7</v>
      </c>
      <c r="R21" s="57" t="n">
        <v>1.3</v>
      </c>
      <c r="S21" s="57" t="n">
        <v>1.6</v>
      </c>
      <c r="T21" s="57" t="n">
        <v>1.7</v>
      </c>
      <c r="U21" s="57" t="n">
        <v>1.7</v>
      </c>
      <c r="V21" s="57" t="n">
        <v>1</v>
      </c>
      <c r="W21" s="57" t="n">
        <v>1.6</v>
      </c>
      <c r="X21" s="57" t="n">
        <v>15</v>
      </c>
      <c r="Y21" s="57" t="n">
        <v>19</v>
      </c>
      <c r="Z21" s="57" t="n">
        <v>12.9</v>
      </c>
      <c r="AA21" s="57" t="n">
        <v>18</v>
      </c>
      <c r="AB21" s="57" t="n">
        <v>16.1</v>
      </c>
      <c r="AC21" s="58" t="n">
        <f aca="false">(SUM(D21:H21)+SUM(I21:M21))/2+SUM(N21:R21)+SUM(S21:W21)</f>
        <v>37.8</v>
      </c>
      <c r="AD21" s="59" t="n">
        <f aca="false">SUM(X21:AB21)/100*50</f>
        <v>40.5</v>
      </c>
      <c r="AE21" s="60" t="n">
        <f aca="false">AC21+AD21</f>
        <v>78.3</v>
      </c>
    </row>
    <row r="22" customFormat="false" ht="16.5" hidden="false" customHeight="true" outlineLevel="0" collapsed="false">
      <c r="A22" s="27" t="n">
        <v>16</v>
      </c>
      <c r="B22" s="27" t="s">
        <v>111</v>
      </c>
      <c r="C22" s="61" t="s">
        <v>112</v>
      </c>
      <c r="D22" s="62" t="n">
        <v>4.1</v>
      </c>
      <c r="E22" s="62" t="n">
        <v>4.9</v>
      </c>
      <c r="F22" s="62" t="n">
        <v>4.9</v>
      </c>
      <c r="G22" s="62" t="n">
        <v>5</v>
      </c>
      <c r="H22" s="62" t="n">
        <v>5.2</v>
      </c>
      <c r="I22" s="62" t="n">
        <v>5</v>
      </c>
      <c r="J22" s="62" t="n">
        <v>5.5</v>
      </c>
      <c r="K22" s="62" t="n">
        <v>4.9</v>
      </c>
      <c r="L22" s="62" t="n">
        <v>5.7</v>
      </c>
      <c r="M22" s="62" t="n">
        <v>4.9</v>
      </c>
      <c r="N22" s="62" t="n">
        <v>1.3</v>
      </c>
      <c r="O22" s="62" t="n">
        <v>1.4</v>
      </c>
      <c r="P22" s="62" t="n">
        <v>1.6</v>
      </c>
      <c r="Q22" s="62" t="n">
        <v>1.7</v>
      </c>
      <c r="R22" s="62" t="n">
        <v>1.1</v>
      </c>
      <c r="S22" s="62" t="n">
        <v>1.3</v>
      </c>
      <c r="T22" s="62" t="n">
        <v>1.7</v>
      </c>
      <c r="U22" s="62" t="n">
        <v>1.2</v>
      </c>
      <c r="V22" s="62" t="n">
        <v>1.1</v>
      </c>
      <c r="W22" s="62" t="n">
        <v>1.5</v>
      </c>
      <c r="X22" s="62" t="n">
        <v>19.7</v>
      </c>
      <c r="Y22" s="62" t="n">
        <v>15.3</v>
      </c>
      <c r="Z22" s="62" t="n">
        <v>19.1</v>
      </c>
      <c r="AA22" s="62" t="n">
        <v>18.3</v>
      </c>
      <c r="AB22" s="62" t="n">
        <v>12.6</v>
      </c>
      <c r="AC22" s="58" t="n">
        <f aca="false">(SUM(D22:H22)+SUM(I22:M22))/2+SUM(N22:R22)+SUM(S22:W22)</f>
        <v>38.95</v>
      </c>
      <c r="AD22" s="59" t="n">
        <f aca="false">SUM(X22:AB22)/100*50</f>
        <v>42.5</v>
      </c>
      <c r="AE22" s="60" t="n">
        <f aca="false">AC22+AD22</f>
        <v>81.45</v>
      </c>
    </row>
    <row r="23" customFormat="false" ht="16.5" hidden="false" customHeight="true" outlineLevel="0" collapsed="false">
      <c r="A23" s="12" t="n">
        <v>17</v>
      </c>
      <c r="B23" s="12" t="s">
        <v>113</v>
      </c>
      <c r="C23" s="56" t="s">
        <v>114</v>
      </c>
      <c r="D23" s="57" t="n">
        <v>5.5</v>
      </c>
      <c r="E23" s="57" t="n">
        <v>4.4</v>
      </c>
      <c r="F23" s="57" t="n">
        <v>5.4</v>
      </c>
      <c r="G23" s="57" t="n">
        <v>5.2</v>
      </c>
      <c r="H23" s="57" t="n">
        <v>4</v>
      </c>
      <c r="I23" s="57" t="n">
        <v>3.3</v>
      </c>
      <c r="J23" s="57" t="n">
        <v>5.9</v>
      </c>
      <c r="K23" s="57" t="n">
        <v>3.4</v>
      </c>
      <c r="L23" s="57" t="n">
        <v>5.9</v>
      </c>
      <c r="M23" s="57" t="n">
        <v>5.6</v>
      </c>
      <c r="N23" s="57" t="n">
        <v>1.7</v>
      </c>
      <c r="O23" s="57" t="n">
        <v>2</v>
      </c>
      <c r="P23" s="57" t="n">
        <v>2</v>
      </c>
      <c r="Q23" s="57" t="n">
        <v>1.8</v>
      </c>
      <c r="R23" s="57" t="n">
        <v>1.4</v>
      </c>
      <c r="S23" s="57" t="n">
        <v>1.8</v>
      </c>
      <c r="T23" s="57" t="n">
        <v>1</v>
      </c>
      <c r="U23" s="57" t="n">
        <v>1.5</v>
      </c>
      <c r="V23" s="57" t="n">
        <v>1.5</v>
      </c>
      <c r="W23" s="57" t="n">
        <v>1.7</v>
      </c>
      <c r="X23" s="57" t="n">
        <v>16.7</v>
      </c>
      <c r="Y23" s="57" t="n">
        <v>15.8</v>
      </c>
      <c r="Z23" s="57" t="n">
        <v>18.2</v>
      </c>
      <c r="AA23" s="57" t="n">
        <v>19.4</v>
      </c>
      <c r="AB23" s="57" t="n">
        <v>11.1</v>
      </c>
      <c r="AC23" s="58" t="n">
        <f aca="false">(SUM(D23:H23)+SUM(I23:M23))/2+SUM(N23:R23)+SUM(S23:W23)</f>
        <v>40.7</v>
      </c>
      <c r="AD23" s="59" t="n">
        <f aca="false">SUM(X23:AB23)/100*50</f>
        <v>40.6</v>
      </c>
      <c r="AE23" s="60" t="n">
        <f aca="false">AC23+AD23</f>
        <v>81.3</v>
      </c>
    </row>
    <row r="24" customFormat="false" ht="16.5" hidden="false" customHeight="true" outlineLevel="0" collapsed="false">
      <c r="A24" s="27" t="n">
        <v>18</v>
      </c>
      <c r="B24" s="27" t="s">
        <v>115</v>
      </c>
      <c r="C24" s="61" t="s">
        <v>116</v>
      </c>
      <c r="D24" s="62" t="n">
        <v>3.7</v>
      </c>
      <c r="E24" s="62" t="n">
        <v>3.1</v>
      </c>
      <c r="F24" s="62" t="n">
        <v>5.7</v>
      </c>
      <c r="G24" s="62" t="n">
        <v>4.7</v>
      </c>
      <c r="H24" s="62" t="n">
        <v>5.7</v>
      </c>
      <c r="I24" s="62" t="n">
        <v>3.7</v>
      </c>
      <c r="J24" s="62" t="n">
        <v>3.2</v>
      </c>
      <c r="K24" s="62" t="n">
        <v>5.5</v>
      </c>
      <c r="L24" s="62" t="n">
        <v>5.7</v>
      </c>
      <c r="M24" s="62" t="n">
        <v>3.9</v>
      </c>
      <c r="N24" s="62" t="n">
        <v>1.4</v>
      </c>
      <c r="O24" s="62" t="n">
        <v>1.1</v>
      </c>
      <c r="P24" s="62" t="n">
        <v>1.9</v>
      </c>
      <c r="Q24" s="62" t="n">
        <v>1.3</v>
      </c>
      <c r="R24" s="62" t="n">
        <v>1.5</v>
      </c>
      <c r="S24" s="62" t="n">
        <v>1.1</v>
      </c>
      <c r="T24" s="62" t="n">
        <v>1.9</v>
      </c>
      <c r="U24" s="62" t="n">
        <v>1.1</v>
      </c>
      <c r="V24" s="62" t="n">
        <v>1.5</v>
      </c>
      <c r="W24" s="62" t="n">
        <v>1.7</v>
      </c>
      <c r="X24" s="62" t="n">
        <v>17.4</v>
      </c>
      <c r="Y24" s="62" t="n">
        <v>19.5</v>
      </c>
      <c r="Z24" s="62" t="n">
        <v>14.2</v>
      </c>
      <c r="AA24" s="62" t="n">
        <v>17.4</v>
      </c>
      <c r="AB24" s="62" t="n">
        <v>11.5</v>
      </c>
      <c r="AC24" s="58" t="n">
        <f aca="false">(SUM(D24:H24)+SUM(I24:M24))/2+SUM(N24:R24)+SUM(S24:W24)</f>
        <v>36.95</v>
      </c>
      <c r="AD24" s="59" t="n">
        <f aca="false">SUM(X24:AB24)/100*50</f>
        <v>40</v>
      </c>
      <c r="AE24" s="60" t="n">
        <f aca="false">AC24+AD24</f>
        <v>76.95</v>
      </c>
    </row>
    <row r="25" customFormat="false" ht="16.5" hidden="false" customHeight="true" outlineLevel="0" collapsed="false">
      <c r="A25" s="12" t="n">
        <v>19</v>
      </c>
      <c r="B25" s="12" t="s">
        <v>117</v>
      </c>
      <c r="C25" s="56" t="s">
        <v>118</v>
      </c>
      <c r="D25" s="57" t="n">
        <v>4.2</v>
      </c>
      <c r="E25" s="57" t="n">
        <v>3.3</v>
      </c>
      <c r="F25" s="57" t="n">
        <v>4.5</v>
      </c>
      <c r="G25" s="57" t="n">
        <v>4.2</v>
      </c>
      <c r="H25" s="57" t="n">
        <v>5.9</v>
      </c>
      <c r="I25" s="57" t="n">
        <v>3.1</v>
      </c>
      <c r="J25" s="57" t="n">
        <v>4.1</v>
      </c>
      <c r="K25" s="57" t="n">
        <v>4.3</v>
      </c>
      <c r="L25" s="57" t="n">
        <v>5.9</v>
      </c>
      <c r="M25" s="57" t="n">
        <v>5.6</v>
      </c>
      <c r="N25" s="57" t="n">
        <v>1.1</v>
      </c>
      <c r="O25" s="57" t="n">
        <v>1.7</v>
      </c>
      <c r="P25" s="57" t="n">
        <v>1.5</v>
      </c>
      <c r="Q25" s="57" t="n">
        <v>2</v>
      </c>
      <c r="R25" s="57" t="n">
        <v>1.4</v>
      </c>
      <c r="S25" s="57" t="n">
        <v>1.4</v>
      </c>
      <c r="T25" s="57" t="n">
        <v>1.2</v>
      </c>
      <c r="U25" s="57" t="n">
        <v>1.1</v>
      </c>
      <c r="V25" s="57" t="n">
        <v>1.8</v>
      </c>
      <c r="W25" s="57" t="n">
        <v>1.5</v>
      </c>
      <c r="X25" s="57" t="n">
        <v>16.6</v>
      </c>
      <c r="Y25" s="57" t="n">
        <v>16.4</v>
      </c>
      <c r="Z25" s="57" t="n">
        <v>16</v>
      </c>
      <c r="AA25" s="57" t="n">
        <v>10.2</v>
      </c>
      <c r="AB25" s="57" t="n">
        <v>17.9</v>
      </c>
      <c r="AC25" s="58" t="n">
        <f aca="false">(SUM(D25:H25)+SUM(I25:M25))/2+SUM(N25:R25)+SUM(S25:W25)</f>
        <v>37.25</v>
      </c>
      <c r="AD25" s="59" t="n">
        <f aca="false">SUM(X25:AB25)/100*50</f>
        <v>38.55</v>
      </c>
      <c r="AE25" s="60" t="n">
        <f aca="false">AC25+AD25</f>
        <v>75.8</v>
      </c>
    </row>
    <row r="26" customFormat="false" ht="16.5" hidden="false" customHeight="true" outlineLevel="0" collapsed="false">
      <c r="A26" s="27" t="n">
        <v>20</v>
      </c>
      <c r="B26" s="27" t="s">
        <v>119</v>
      </c>
      <c r="C26" s="61" t="s">
        <v>120</v>
      </c>
      <c r="D26" s="62" t="n">
        <v>3.7</v>
      </c>
      <c r="E26" s="62" t="n">
        <v>3.4</v>
      </c>
      <c r="F26" s="62" t="n">
        <v>4.7</v>
      </c>
      <c r="G26" s="62" t="n">
        <v>3.2</v>
      </c>
      <c r="H26" s="62" t="n">
        <v>5.3</v>
      </c>
      <c r="I26" s="62" t="n">
        <v>3.6</v>
      </c>
      <c r="J26" s="62" t="n">
        <v>3.6</v>
      </c>
      <c r="K26" s="62" t="n">
        <v>5.6</v>
      </c>
      <c r="L26" s="62" t="n">
        <v>4</v>
      </c>
      <c r="M26" s="62" t="n">
        <v>3.4</v>
      </c>
      <c r="N26" s="62" t="n">
        <v>1.9</v>
      </c>
      <c r="O26" s="62" t="n">
        <v>1</v>
      </c>
      <c r="P26" s="62" t="n">
        <v>1.9</v>
      </c>
      <c r="Q26" s="62" t="n">
        <v>1.1</v>
      </c>
      <c r="R26" s="62" t="n">
        <v>1.1</v>
      </c>
      <c r="S26" s="62" t="n">
        <v>1.3</v>
      </c>
      <c r="T26" s="62" t="n">
        <v>1.2</v>
      </c>
      <c r="U26" s="62" t="n">
        <v>1.7</v>
      </c>
      <c r="V26" s="62" t="n">
        <v>1</v>
      </c>
      <c r="W26" s="62" t="n">
        <v>1</v>
      </c>
      <c r="X26" s="62" t="n">
        <v>17.9</v>
      </c>
      <c r="Y26" s="62" t="n">
        <v>12.4</v>
      </c>
      <c r="Z26" s="62" t="n">
        <v>13.2</v>
      </c>
      <c r="AA26" s="62" t="n">
        <v>11.7</v>
      </c>
      <c r="AB26" s="62" t="n">
        <v>10.5</v>
      </c>
      <c r="AC26" s="58" t="n">
        <f aca="false">(SUM(D26:H26)+SUM(I26:M26))/2+SUM(N26:R26)+SUM(S26:W26)</f>
        <v>33.45</v>
      </c>
      <c r="AD26" s="59" t="n">
        <f aca="false">SUM(X26:AB26)/100*50</f>
        <v>32.85</v>
      </c>
      <c r="AE26" s="60" t="n">
        <f aca="false">AC26+AD26</f>
        <v>66.3</v>
      </c>
    </row>
    <row r="28" customFormat="false" ht="19.5" hidden="false" customHeight="true" outlineLevel="0" collapsed="false">
      <c r="A28" s="41" t="s">
        <v>121</v>
      </c>
      <c r="B28" s="41"/>
      <c r="C28" s="41"/>
      <c r="D28" s="63" t="n">
        <f aca="false">AVERAGE(D7:D26)</f>
        <v>4.785</v>
      </c>
      <c r="E28" s="63" t="n">
        <f aca="false">AVERAGE(E7:E26)</f>
        <v>4.38</v>
      </c>
      <c r="F28" s="63" t="n">
        <f aca="false">AVERAGE(F7:F26)</f>
        <v>4.54</v>
      </c>
      <c r="G28" s="63" t="n">
        <f aca="false">AVERAGE(G7:G26)</f>
        <v>4.62</v>
      </c>
      <c r="H28" s="63" t="n">
        <f aca="false">AVERAGE(H7:H26)</f>
        <v>4.75</v>
      </c>
      <c r="I28" s="63" t="n">
        <f aca="false">AVERAGE(I7:I26)</f>
        <v>4.555</v>
      </c>
      <c r="J28" s="63" t="n">
        <f aca="false">AVERAGE(J7:J26)</f>
        <v>4.725</v>
      </c>
      <c r="K28" s="63" t="n">
        <f aca="false">AVERAGE(K7:K26)</f>
        <v>4.63</v>
      </c>
      <c r="L28" s="63" t="n">
        <f aca="false">AVERAGE(L7:L26)</f>
        <v>4.705</v>
      </c>
      <c r="M28" s="63" t="n">
        <f aca="false">AVERAGE(M7:M26)</f>
        <v>4.805</v>
      </c>
      <c r="N28" s="63" t="n">
        <f aca="false">AVERAGE(N7:N26)</f>
        <v>1.545</v>
      </c>
      <c r="O28" s="63" t="n">
        <f aca="false">AVERAGE(O7:O26)</f>
        <v>1.47</v>
      </c>
      <c r="P28" s="63" t="n">
        <f aca="false">AVERAGE(P7:P26)</f>
        <v>1.625</v>
      </c>
      <c r="Q28" s="63" t="n">
        <f aca="false">AVERAGE(Q7:Q26)</f>
        <v>1.51</v>
      </c>
      <c r="R28" s="63" t="n">
        <f aca="false">AVERAGE(R7:R26)</f>
        <v>1.535</v>
      </c>
      <c r="S28" s="63" t="n">
        <f aca="false">AVERAGE(S7:S26)</f>
        <v>1.535</v>
      </c>
      <c r="T28" s="63" t="n">
        <f aca="false">AVERAGE(T7:T26)</f>
        <v>1.465</v>
      </c>
      <c r="U28" s="63" t="n">
        <f aca="false">AVERAGE(U7:U26)</f>
        <v>1.49</v>
      </c>
      <c r="V28" s="63" t="n">
        <f aca="false">AVERAGE(V7:V26)</f>
        <v>1.32</v>
      </c>
      <c r="W28" s="63" t="n">
        <f aca="false">AVERAGE(W7:W26)</f>
        <v>1.44</v>
      </c>
      <c r="X28" s="63" t="n">
        <f aca="false">AVERAGE(X7:X26)</f>
        <v>16.13</v>
      </c>
      <c r="Y28" s="63" t="n">
        <f aca="false">AVERAGE(Y7:Y26)</f>
        <v>15.21</v>
      </c>
      <c r="Z28" s="63" t="n">
        <f aca="false">AVERAGE(Z7:Z26)</f>
        <v>14.925</v>
      </c>
      <c r="AA28" s="63" t="n">
        <f aca="false">AVERAGE(AA7:AA26)</f>
        <v>14.795</v>
      </c>
      <c r="AB28" s="63" t="n">
        <f aca="false">AVERAGE(AB7:AB26)</f>
        <v>14.525</v>
      </c>
      <c r="AC28" s="64" t="n">
        <f aca="false">AVERAGE(AC7:AC26)</f>
        <v>38.1825</v>
      </c>
      <c r="AD28" s="63" t="n">
        <f aca="false">AVERAGE(AD7:AD26)</f>
        <v>37.7925</v>
      </c>
      <c r="AE28" s="52" t="n">
        <f aca="false">AVERAGE(AE7:AE26)</f>
        <v>75.975</v>
      </c>
    </row>
    <row r="30" customFormat="false" ht="21.75" hidden="false" customHeight="true" outlineLevel="0" collapsed="false">
      <c r="A30" s="41" t="s">
        <v>122</v>
      </c>
      <c r="B30" s="41"/>
      <c r="C30" s="41"/>
      <c r="D30" s="65" t="n">
        <f aca="false">IFERROR((D28/D6+I28/I6+N28/N6+S28/S6+X28/X6)/5,0)</f>
        <v>0.780633333333333</v>
      </c>
      <c r="E30" s="65" t="n">
        <f aca="false">IFERROR((E28/E6+J28/J6+O28/O6+T28/T6+Y28/Y6)/5,0)</f>
        <v>0.7491</v>
      </c>
      <c r="F30" s="65" t="n">
        <f aca="false">IFERROR((F28/F6+K28/K6+P28/P6+U28/U6+Z28/Z6)/5,0)</f>
        <v>0.766416666666667</v>
      </c>
      <c r="G30" s="65" t="n">
        <f aca="false">IFERROR((G28/G6+L28/L6+Q28/Q6+V28/V6+AA28/AA6)/5,0)</f>
        <v>0.741783333333333</v>
      </c>
      <c r="H30" s="65" t="n">
        <f aca="false">IFERROR((H28/H6+M28/M6+R28/R6+W28/W6+AB28/AB6)/5,0)</f>
        <v>0.76125</v>
      </c>
    </row>
    <row r="31" customFormat="false" ht="19.5" hidden="false" customHeight="true" outlineLevel="0" collapsed="false">
      <c r="A31" s="38" t="s">
        <v>123</v>
      </c>
      <c r="B31" s="38"/>
      <c r="C31" s="38"/>
      <c r="D31" s="66" t="n">
        <f aca="false">IF(D30&gt;=0.6,3,IF(D30&gt;=0.4,2,1))</f>
        <v>3</v>
      </c>
      <c r="E31" s="66" t="n">
        <f aca="false">IF(E30&gt;=0.6,3,IF(E30&gt;=0.4,2,1))</f>
        <v>3</v>
      </c>
      <c r="F31" s="66" t="n">
        <f aca="false">IF(F30&gt;=0.6,3,IF(F30&gt;=0.4,2,1))</f>
        <v>3</v>
      </c>
      <c r="G31" s="66" t="n">
        <f aca="false">IF(G30&gt;=0.6,3,IF(G30&gt;=0.4,2,1))</f>
        <v>3</v>
      </c>
      <c r="H31" s="66" t="n">
        <f aca="false">IF(H30&gt;=0.6,3,IF(H30&gt;=0.4,2,1))</f>
        <v>3</v>
      </c>
    </row>
  </sheetData>
  <mergeCells count="12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28:C28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1.5" hidden="false" customHeight="true" outlineLevel="0" collapsed="false">
      <c r="A1" s="34" t="s">
        <v>125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customFormat="false" ht="13.5" hidden="false" customHeight="true" outlineLevel="0" collapsed="false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customFormat="false" ht="6" hidden="false" customHeight="true" outlineLevel="0" collapsed="false"/>
    <row r="4" customFormat="false" ht="21.75" hidden="false" customHeight="true" outlineLevel="0" collapsed="false">
      <c r="A4" s="36" t="s">
        <v>62</v>
      </c>
      <c r="B4" s="36"/>
      <c r="C4" s="36"/>
      <c r="D4" s="37" t="s">
        <v>63</v>
      </c>
      <c r="E4" s="37"/>
      <c r="F4" s="37"/>
      <c r="G4" s="37"/>
      <c r="H4" s="37"/>
      <c r="I4" s="38" t="s">
        <v>64</v>
      </c>
      <c r="J4" s="38"/>
      <c r="K4" s="38"/>
      <c r="L4" s="38"/>
      <c r="M4" s="38"/>
      <c r="N4" s="39" t="s">
        <v>65</v>
      </c>
      <c r="O4" s="39"/>
      <c r="P4" s="39"/>
      <c r="Q4" s="39"/>
      <c r="R4" s="39"/>
      <c r="S4" s="40" t="s">
        <v>66</v>
      </c>
      <c r="T4" s="40"/>
      <c r="U4" s="40"/>
      <c r="V4" s="40"/>
      <c r="W4" s="40"/>
      <c r="X4" s="41" t="s">
        <v>67</v>
      </c>
      <c r="Y4" s="41"/>
      <c r="Z4" s="41"/>
      <c r="AA4" s="41"/>
      <c r="AB4" s="41"/>
      <c r="AC4" s="8" t="s">
        <v>68</v>
      </c>
      <c r="AD4" s="6" t="s">
        <v>69</v>
      </c>
      <c r="AE4" s="42" t="s">
        <v>70</v>
      </c>
    </row>
    <row r="5" customFormat="false" ht="18" hidden="false" customHeight="true" outlineLevel="0" collapsed="false">
      <c r="A5" s="43" t="s">
        <v>71</v>
      </c>
      <c r="B5" s="43" t="s">
        <v>72</v>
      </c>
      <c r="C5" s="43" t="s">
        <v>73</v>
      </c>
      <c r="D5" s="44" t="s">
        <v>74</v>
      </c>
      <c r="E5" s="44" t="s">
        <v>75</v>
      </c>
      <c r="F5" s="44" t="s">
        <v>76</v>
      </c>
      <c r="G5" s="44" t="s">
        <v>77</v>
      </c>
      <c r="H5" s="44" t="s">
        <v>78</v>
      </c>
      <c r="I5" s="45" t="s">
        <v>74</v>
      </c>
      <c r="J5" s="45" t="s">
        <v>75</v>
      </c>
      <c r="K5" s="45" t="s">
        <v>76</v>
      </c>
      <c r="L5" s="45" t="s">
        <v>77</v>
      </c>
      <c r="M5" s="45" t="s">
        <v>78</v>
      </c>
      <c r="N5" s="26" t="s">
        <v>74</v>
      </c>
      <c r="O5" s="26" t="s">
        <v>75</v>
      </c>
      <c r="P5" s="26" t="s">
        <v>76</v>
      </c>
      <c r="Q5" s="26" t="s">
        <v>77</v>
      </c>
      <c r="R5" s="26" t="s">
        <v>78</v>
      </c>
      <c r="S5" s="46" t="s">
        <v>74</v>
      </c>
      <c r="T5" s="46" t="s">
        <v>75</v>
      </c>
      <c r="U5" s="46" t="s">
        <v>76</v>
      </c>
      <c r="V5" s="46" t="s">
        <v>77</v>
      </c>
      <c r="W5" s="46" t="s">
        <v>78</v>
      </c>
      <c r="X5" s="47" t="s">
        <v>74</v>
      </c>
      <c r="Y5" s="47" t="s">
        <v>75</v>
      </c>
      <c r="Z5" s="47" t="s">
        <v>76</v>
      </c>
      <c r="AA5" s="47" t="s">
        <v>77</v>
      </c>
      <c r="AB5" s="47" t="s">
        <v>78</v>
      </c>
      <c r="AC5" s="48" t="s">
        <v>79</v>
      </c>
      <c r="AD5" s="49" t="s">
        <v>79</v>
      </c>
      <c r="AE5" s="50" t="s">
        <v>79</v>
      </c>
    </row>
    <row r="6" customFormat="false" ht="18" hidden="false" customHeight="true" outlineLevel="0" collapsed="false">
      <c r="A6" s="51" t="s">
        <v>80</v>
      </c>
      <c r="B6" s="51"/>
      <c r="C6" s="51"/>
      <c r="D6" s="52" t="n">
        <v>6</v>
      </c>
      <c r="E6" s="52" t="n">
        <v>6</v>
      </c>
      <c r="F6" s="52" t="n">
        <v>6</v>
      </c>
      <c r="G6" s="52" t="n">
        <v>6</v>
      </c>
      <c r="H6" s="52" t="n">
        <v>6</v>
      </c>
      <c r="I6" s="52" t="n">
        <v>6</v>
      </c>
      <c r="J6" s="52" t="n">
        <v>6</v>
      </c>
      <c r="K6" s="52" t="n">
        <v>6</v>
      </c>
      <c r="L6" s="52" t="n">
        <v>6</v>
      </c>
      <c r="M6" s="52" t="n">
        <v>6</v>
      </c>
      <c r="N6" s="52" t="n">
        <v>2</v>
      </c>
      <c r="O6" s="52" t="n">
        <v>2</v>
      </c>
      <c r="P6" s="52" t="n">
        <v>2</v>
      </c>
      <c r="Q6" s="52" t="n">
        <v>2</v>
      </c>
      <c r="R6" s="52" t="n">
        <v>2</v>
      </c>
      <c r="S6" s="52" t="n">
        <v>2</v>
      </c>
      <c r="T6" s="52" t="n">
        <v>2</v>
      </c>
      <c r="U6" s="52" t="n">
        <v>2</v>
      </c>
      <c r="V6" s="52" t="n">
        <v>2</v>
      </c>
      <c r="W6" s="52" t="n">
        <v>2</v>
      </c>
      <c r="X6" s="52" t="n">
        <v>20</v>
      </c>
      <c r="Y6" s="52" t="n">
        <v>20</v>
      </c>
      <c r="Z6" s="52" t="n">
        <v>20</v>
      </c>
      <c r="AA6" s="52" t="n">
        <v>20</v>
      </c>
      <c r="AB6" s="52" t="n">
        <v>20</v>
      </c>
      <c r="AC6" s="53" t="n">
        <v>50</v>
      </c>
      <c r="AD6" s="54" t="n">
        <v>50</v>
      </c>
      <c r="AE6" s="55" t="n">
        <v>100</v>
      </c>
    </row>
    <row r="7" customFormat="false" ht="16.5" hidden="false" customHeight="true" outlineLevel="0" collapsed="false">
      <c r="A7" s="12" t="n">
        <v>1</v>
      </c>
      <c r="B7" s="12" t="s">
        <v>81</v>
      </c>
      <c r="C7" s="56" t="s">
        <v>82</v>
      </c>
      <c r="D7" s="57" t="n">
        <v>5.2</v>
      </c>
      <c r="E7" s="57" t="n">
        <v>4.6</v>
      </c>
      <c r="F7" s="57" t="n">
        <v>5.2</v>
      </c>
      <c r="G7" s="57" t="n">
        <v>4.4</v>
      </c>
      <c r="H7" s="57" t="n">
        <v>5.3</v>
      </c>
      <c r="I7" s="57" t="n">
        <v>4.5</v>
      </c>
      <c r="J7" s="57" t="n">
        <v>3.3</v>
      </c>
      <c r="K7" s="57" t="n">
        <v>4.5</v>
      </c>
      <c r="L7" s="57" t="n">
        <v>5.8</v>
      </c>
      <c r="M7" s="57" t="n">
        <v>3.1</v>
      </c>
      <c r="N7" s="57" t="n">
        <v>1.8</v>
      </c>
      <c r="O7" s="57" t="n">
        <v>1.9</v>
      </c>
      <c r="P7" s="57" t="n">
        <v>1.5</v>
      </c>
      <c r="Q7" s="57" t="n">
        <v>1.5</v>
      </c>
      <c r="R7" s="57" t="n">
        <v>2</v>
      </c>
      <c r="S7" s="57" t="n">
        <v>1.1</v>
      </c>
      <c r="T7" s="57" t="n">
        <v>1.5</v>
      </c>
      <c r="U7" s="57" t="n">
        <v>1.4</v>
      </c>
      <c r="V7" s="57" t="n">
        <v>1.7</v>
      </c>
      <c r="W7" s="57" t="n">
        <v>1.5</v>
      </c>
      <c r="X7" s="57" t="n">
        <v>19.1</v>
      </c>
      <c r="Y7" s="57" t="n">
        <v>10.7</v>
      </c>
      <c r="Z7" s="57" t="n">
        <v>10.8</v>
      </c>
      <c r="AA7" s="57" t="n">
        <v>16.1</v>
      </c>
      <c r="AB7" s="57" t="n">
        <v>10.7</v>
      </c>
      <c r="AC7" s="58" t="n">
        <f aca="false">(SUM(D7:H7)+SUM(I7:M7))/2+SUM(N7:R7)+SUM(S7:W7)</f>
        <v>38.85</v>
      </c>
      <c r="AD7" s="59" t="n">
        <f aca="false">SUM(X7:AB7)/100*50</f>
        <v>33.7</v>
      </c>
      <c r="AE7" s="60" t="n">
        <f aca="false">AC7+AD7</f>
        <v>72.55</v>
      </c>
    </row>
    <row r="8" customFormat="false" ht="16.5" hidden="false" customHeight="true" outlineLevel="0" collapsed="false">
      <c r="A8" s="27" t="n">
        <v>2</v>
      </c>
      <c r="B8" s="27" t="s">
        <v>83</v>
      </c>
      <c r="C8" s="61" t="s">
        <v>84</v>
      </c>
      <c r="D8" s="62" t="n">
        <v>3.8</v>
      </c>
      <c r="E8" s="62" t="n">
        <v>4.9</v>
      </c>
      <c r="F8" s="62" t="n">
        <v>4.6</v>
      </c>
      <c r="G8" s="62" t="n">
        <v>4</v>
      </c>
      <c r="H8" s="62" t="n">
        <v>6</v>
      </c>
      <c r="I8" s="62" t="n">
        <v>4.6</v>
      </c>
      <c r="J8" s="62" t="n">
        <v>4.4</v>
      </c>
      <c r="K8" s="62" t="n">
        <v>4.8</v>
      </c>
      <c r="L8" s="62" t="n">
        <v>3.3</v>
      </c>
      <c r="M8" s="62" t="n">
        <v>5.1</v>
      </c>
      <c r="N8" s="62" t="n">
        <v>1.9</v>
      </c>
      <c r="O8" s="62" t="n">
        <v>1.7</v>
      </c>
      <c r="P8" s="62" t="n">
        <v>1.8</v>
      </c>
      <c r="Q8" s="62" t="n">
        <v>1.7</v>
      </c>
      <c r="R8" s="62" t="n">
        <v>1.2</v>
      </c>
      <c r="S8" s="62" t="n">
        <v>1.5</v>
      </c>
      <c r="T8" s="62" t="n">
        <v>1.2</v>
      </c>
      <c r="U8" s="62" t="n">
        <v>1.3</v>
      </c>
      <c r="V8" s="62" t="n">
        <v>1.5</v>
      </c>
      <c r="W8" s="62" t="n">
        <v>1.4</v>
      </c>
      <c r="X8" s="62" t="n">
        <v>10.9</v>
      </c>
      <c r="Y8" s="62" t="n">
        <v>14.3</v>
      </c>
      <c r="Z8" s="62" t="n">
        <v>16.7</v>
      </c>
      <c r="AA8" s="62" t="n">
        <v>13.7</v>
      </c>
      <c r="AB8" s="62" t="n">
        <v>11.5</v>
      </c>
      <c r="AC8" s="58" t="n">
        <f aca="false">(SUM(D8:H8)+SUM(I8:M8))/2+SUM(N8:R8)+SUM(S8:W8)</f>
        <v>37.95</v>
      </c>
      <c r="AD8" s="59" t="n">
        <f aca="false">SUM(X8:AB8)/100*50</f>
        <v>33.55</v>
      </c>
      <c r="AE8" s="60" t="n">
        <f aca="false">AC8+AD8</f>
        <v>71.5</v>
      </c>
    </row>
    <row r="9" customFormat="false" ht="16.5" hidden="false" customHeight="true" outlineLevel="0" collapsed="false">
      <c r="A9" s="12" t="n">
        <v>3</v>
      </c>
      <c r="B9" s="12" t="s">
        <v>85</v>
      </c>
      <c r="C9" s="56" t="s">
        <v>86</v>
      </c>
      <c r="D9" s="57" t="n">
        <v>5.8</v>
      </c>
      <c r="E9" s="57" t="n">
        <v>3.2</v>
      </c>
      <c r="F9" s="57" t="n">
        <v>5.5</v>
      </c>
      <c r="G9" s="57" t="n">
        <v>3.3</v>
      </c>
      <c r="H9" s="57" t="n">
        <v>3.3</v>
      </c>
      <c r="I9" s="57" t="n">
        <v>5.2</v>
      </c>
      <c r="J9" s="57" t="n">
        <v>5.4</v>
      </c>
      <c r="K9" s="57" t="n">
        <v>4.7</v>
      </c>
      <c r="L9" s="57" t="n">
        <v>4.8</v>
      </c>
      <c r="M9" s="57" t="n">
        <v>4.7</v>
      </c>
      <c r="N9" s="57" t="n">
        <v>1.3</v>
      </c>
      <c r="O9" s="57" t="n">
        <v>1.1</v>
      </c>
      <c r="P9" s="57" t="n">
        <v>1.4</v>
      </c>
      <c r="Q9" s="57" t="n">
        <v>1.7</v>
      </c>
      <c r="R9" s="57" t="n">
        <v>1.8</v>
      </c>
      <c r="S9" s="57" t="n">
        <v>1.9</v>
      </c>
      <c r="T9" s="57" t="n">
        <v>1.7</v>
      </c>
      <c r="U9" s="57" t="n">
        <v>2</v>
      </c>
      <c r="V9" s="57" t="n">
        <v>1.6</v>
      </c>
      <c r="W9" s="57" t="n">
        <v>1.4</v>
      </c>
      <c r="X9" s="57" t="n">
        <v>15.8</v>
      </c>
      <c r="Y9" s="57" t="n">
        <v>12.1</v>
      </c>
      <c r="Z9" s="57" t="n">
        <v>16.6</v>
      </c>
      <c r="AA9" s="57" t="n">
        <v>12.2</v>
      </c>
      <c r="AB9" s="57" t="n">
        <v>11.1</v>
      </c>
      <c r="AC9" s="58" t="n">
        <f aca="false">(SUM(D9:H9)+SUM(I9:M9))/2+SUM(N9:R9)+SUM(S9:W9)</f>
        <v>38.85</v>
      </c>
      <c r="AD9" s="59" t="n">
        <f aca="false">SUM(X9:AB9)/100*50</f>
        <v>33.9</v>
      </c>
      <c r="AE9" s="60" t="n">
        <f aca="false">AC9+AD9</f>
        <v>72.75</v>
      </c>
    </row>
    <row r="10" customFormat="false" ht="16.5" hidden="false" customHeight="true" outlineLevel="0" collapsed="false">
      <c r="A10" s="27" t="n">
        <v>4</v>
      </c>
      <c r="B10" s="27" t="s">
        <v>87</v>
      </c>
      <c r="C10" s="61" t="s">
        <v>88</v>
      </c>
      <c r="D10" s="62" t="n">
        <v>5.5</v>
      </c>
      <c r="E10" s="62" t="n">
        <v>4.1</v>
      </c>
      <c r="F10" s="62" t="n">
        <v>5.3</v>
      </c>
      <c r="G10" s="62" t="n">
        <v>4.7</v>
      </c>
      <c r="H10" s="62" t="n">
        <v>5.4</v>
      </c>
      <c r="I10" s="62" t="n">
        <v>5.5</v>
      </c>
      <c r="J10" s="62" t="n">
        <v>5.9</v>
      </c>
      <c r="K10" s="62" t="n">
        <v>5.5</v>
      </c>
      <c r="L10" s="62" t="n">
        <v>4.8</v>
      </c>
      <c r="M10" s="62" t="n">
        <v>4.9</v>
      </c>
      <c r="N10" s="62" t="n">
        <v>1</v>
      </c>
      <c r="O10" s="62" t="n">
        <v>1.9</v>
      </c>
      <c r="P10" s="62" t="n">
        <v>1.8</v>
      </c>
      <c r="Q10" s="62" t="n">
        <v>1.3</v>
      </c>
      <c r="R10" s="62" t="n">
        <v>1.2</v>
      </c>
      <c r="S10" s="62" t="n">
        <v>1.7</v>
      </c>
      <c r="T10" s="62" t="n">
        <v>1.3</v>
      </c>
      <c r="U10" s="62" t="n">
        <v>1.3</v>
      </c>
      <c r="V10" s="62" t="n">
        <v>1</v>
      </c>
      <c r="W10" s="62" t="n">
        <v>1.9</v>
      </c>
      <c r="X10" s="62" t="n">
        <v>15.7</v>
      </c>
      <c r="Y10" s="62" t="n">
        <v>14</v>
      </c>
      <c r="Z10" s="62" t="n">
        <v>11.4</v>
      </c>
      <c r="AA10" s="62" t="n">
        <v>16.3</v>
      </c>
      <c r="AB10" s="62" t="n">
        <v>10.3</v>
      </c>
      <c r="AC10" s="58" t="n">
        <f aca="false">(SUM(D10:H10)+SUM(I10:M10))/2+SUM(N10:R10)+SUM(S10:W10)</f>
        <v>40.2</v>
      </c>
      <c r="AD10" s="59" t="n">
        <f aca="false">SUM(X10:AB10)/100*50</f>
        <v>33.85</v>
      </c>
      <c r="AE10" s="60" t="n">
        <f aca="false">AC10+AD10</f>
        <v>74.05</v>
      </c>
    </row>
    <row r="11" customFormat="false" ht="16.5" hidden="false" customHeight="true" outlineLevel="0" collapsed="false">
      <c r="A11" s="12" t="n">
        <v>5</v>
      </c>
      <c r="B11" s="12" t="s">
        <v>89</v>
      </c>
      <c r="C11" s="56" t="s">
        <v>90</v>
      </c>
      <c r="D11" s="57" t="n">
        <v>5.2</v>
      </c>
      <c r="E11" s="57" t="n">
        <v>3.6</v>
      </c>
      <c r="F11" s="57" t="n">
        <v>4.3</v>
      </c>
      <c r="G11" s="57" t="n">
        <v>4</v>
      </c>
      <c r="H11" s="57" t="n">
        <v>4.1</v>
      </c>
      <c r="I11" s="57" t="n">
        <v>5.2</v>
      </c>
      <c r="J11" s="57" t="n">
        <v>5.3</v>
      </c>
      <c r="K11" s="57" t="n">
        <v>4.7</v>
      </c>
      <c r="L11" s="57" t="n">
        <v>3.3</v>
      </c>
      <c r="M11" s="57" t="n">
        <v>3.2</v>
      </c>
      <c r="N11" s="57" t="n">
        <v>1.2</v>
      </c>
      <c r="O11" s="57" t="n">
        <v>1.6</v>
      </c>
      <c r="P11" s="57" t="n">
        <v>1.7</v>
      </c>
      <c r="Q11" s="57" t="n">
        <v>1.3</v>
      </c>
      <c r="R11" s="57" t="n">
        <v>1.7</v>
      </c>
      <c r="S11" s="57" t="n">
        <v>1.5</v>
      </c>
      <c r="T11" s="57" t="n">
        <v>1.4</v>
      </c>
      <c r="U11" s="57" t="n">
        <v>1.3</v>
      </c>
      <c r="V11" s="57" t="n">
        <v>1.8</v>
      </c>
      <c r="W11" s="57" t="n">
        <v>1.1</v>
      </c>
      <c r="X11" s="57" t="n">
        <v>14.3</v>
      </c>
      <c r="Y11" s="57" t="n">
        <v>12.8</v>
      </c>
      <c r="Z11" s="57" t="n">
        <v>16.8</v>
      </c>
      <c r="AA11" s="57" t="n">
        <v>14.9</v>
      </c>
      <c r="AB11" s="57" t="n">
        <v>16.7</v>
      </c>
      <c r="AC11" s="58" t="n">
        <f aca="false">(SUM(D11:H11)+SUM(I11:M11))/2+SUM(N11:R11)+SUM(S11:W11)</f>
        <v>36.05</v>
      </c>
      <c r="AD11" s="59" t="n">
        <f aca="false">SUM(X11:AB11)/100*50</f>
        <v>37.75</v>
      </c>
      <c r="AE11" s="60" t="n">
        <f aca="false">AC11+AD11</f>
        <v>73.8</v>
      </c>
    </row>
    <row r="12" customFormat="false" ht="16.5" hidden="false" customHeight="true" outlineLevel="0" collapsed="false">
      <c r="A12" s="27" t="n">
        <v>6</v>
      </c>
      <c r="B12" s="27" t="s">
        <v>91</v>
      </c>
      <c r="C12" s="61" t="s">
        <v>92</v>
      </c>
      <c r="D12" s="62" t="n">
        <v>3.1</v>
      </c>
      <c r="E12" s="62" t="n">
        <v>4.2</v>
      </c>
      <c r="F12" s="62" t="n">
        <v>4.8</v>
      </c>
      <c r="G12" s="62" t="n">
        <v>3</v>
      </c>
      <c r="H12" s="62" t="n">
        <v>3.9</v>
      </c>
      <c r="I12" s="62" t="n">
        <v>3.6</v>
      </c>
      <c r="J12" s="62" t="n">
        <v>3.4</v>
      </c>
      <c r="K12" s="62" t="n">
        <v>3.8</v>
      </c>
      <c r="L12" s="62" t="n">
        <v>4</v>
      </c>
      <c r="M12" s="62" t="n">
        <v>3</v>
      </c>
      <c r="N12" s="62" t="n">
        <v>1.7</v>
      </c>
      <c r="O12" s="62" t="n">
        <v>1.2</v>
      </c>
      <c r="P12" s="62" t="n">
        <v>1.4</v>
      </c>
      <c r="Q12" s="62" t="n">
        <v>1.7</v>
      </c>
      <c r="R12" s="62" t="n">
        <v>1.5</v>
      </c>
      <c r="S12" s="62" t="n">
        <v>1.8</v>
      </c>
      <c r="T12" s="62" t="n">
        <v>1.8</v>
      </c>
      <c r="U12" s="62" t="n">
        <v>1.1</v>
      </c>
      <c r="V12" s="62" t="n">
        <v>1.9</v>
      </c>
      <c r="W12" s="62" t="n">
        <v>1</v>
      </c>
      <c r="X12" s="62" t="n">
        <v>10.2</v>
      </c>
      <c r="Y12" s="62" t="n">
        <v>19.2</v>
      </c>
      <c r="Z12" s="62" t="n">
        <v>18.6</v>
      </c>
      <c r="AA12" s="62" t="n">
        <v>15.8</v>
      </c>
      <c r="AB12" s="62" t="n">
        <v>15.7</v>
      </c>
      <c r="AC12" s="58" t="n">
        <f aca="false">(SUM(D12:H12)+SUM(I12:M12))/2+SUM(N12:R12)+SUM(S12:W12)</f>
        <v>33.5</v>
      </c>
      <c r="AD12" s="59" t="n">
        <f aca="false">SUM(X12:AB12)/100*50</f>
        <v>39.75</v>
      </c>
      <c r="AE12" s="60" t="n">
        <f aca="false">AC12+AD12</f>
        <v>73.25</v>
      </c>
    </row>
    <row r="13" customFormat="false" ht="16.5" hidden="false" customHeight="true" outlineLevel="0" collapsed="false">
      <c r="A13" s="12" t="n">
        <v>7</v>
      </c>
      <c r="B13" s="12" t="s">
        <v>93</v>
      </c>
      <c r="C13" s="56" t="s">
        <v>94</v>
      </c>
      <c r="D13" s="57" t="n">
        <v>5.1</v>
      </c>
      <c r="E13" s="57" t="n">
        <v>4.3</v>
      </c>
      <c r="F13" s="57" t="n">
        <v>3.3</v>
      </c>
      <c r="G13" s="57" t="n">
        <v>3.1</v>
      </c>
      <c r="H13" s="57" t="n">
        <v>4</v>
      </c>
      <c r="I13" s="57" t="n">
        <v>5.4</v>
      </c>
      <c r="J13" s="57" t="n">
        <v>4.9</v>
      </c>
      <c r="K13" s="57" t="n">
        <v>5.5</v>
      </c>
      <c r="L13" s="57" t="n">
        <v>5.8</v>
      </c>
      <c r="M13" s="57" t="n">
        <v>3.3</v>
      </c>
      <c r="N13" s="57" t="n">
        <v>1.8</v>
      </c>
      <c r="O13" s="57" t="n">
        <v>1.2</v>
      </c>
      <c r="P13" s="57" t="n">
        <v>1.6</v>
      </c>
      <c r="Q13" s="57" t="n">
        <v>1.5</v>
      </c>
      <c r="R13" s="57" t="n">
        <v>1.4</v>
      </c>
      <c r="S13" s="57" t="n">
        <v>1.3</v>
      </c>
      <c r="T13" s="57" t="n">
        <v>1.3</v>
      </c>
      <c r="U13" s="57" t="n">
        <v>1.3</v>
      </c>
      <c r="V13" s="57" t="n">
        <v>1.2</v>
      </c>
      <c r="W13" s="57" t="n">
        <v>1.5</v>
      </c>
      <c r="X13" s="57" t="n">
        <v>11.1</v>
      </c>
      <c r="Y13" s="57" t="n">
        <v>15.1</v>
      </c>
      <c r="Z13" s="57" t="n">
        <v>19.1</v>
      </c>
      <c r="AA13" s="57" t="n">
        <v>13.5</v>
      </c>
      <c r="AB13" s="57" t="n">
        <v>17.3</v>
      </c>
      <c r="AC13" s="58" t="n">
        <f aca="false">(SUM(D13:H13)+SUM(I13:M13))/2+SUM(N13:R13)+SUM(S13:W13)</f>
        <v>36.45</v>
      </c>
      <c r="AD13" s="59" t="n">
        <f aca="false">SUM(X13:AB13)/100*50</f>
        <v>38.05</v>
      </c>
      <c r="AE13" s="60" t="n">
        <f aca="false">AC13+AD13</f>
        <v>74.5</v>
      </c>
    </row>
    <row r="14" customFormat="false" ht="16.5" hidden="false" customHeight="true" outlineLevel="0" collapsed="false">
      <c r="A14" s="27" t="n">
        <v>8</v>
      </c>
      <c r="B14" s="27" t="s">
        <v>95</v>
      </c>
      <c r="C14" s="61" t="s">
        <v>96</v>
      </c>
      <c r="D14" s="62" t="n">
        <v>5.5</v>
      </c>
      <c r="E14" s="62" t="n">
        <v>5.4</v>
      </c>
      <c r="F14" s="62" t="n">
        <v>3.7</v>
      </c>
      <c r="G14" s="62" t="n">
        <v>3.4</v>
      </c>
      <c r="H14" s="62" t="n">
        <v>3.6</v>
      </c>
      <c r="I14" s="62" t="n">
        <v>4.8</v>
      </c>
      <c r="J14" s="62" t="n">
        <v>5.3</v>
      </c>
      <c r="K14" s="62" t="n">
        <v>5</v>
      </c>
      <c r="L14" s="62" t="n">
        <v>3.5</v>
      </c>
      <c r="M14" s="62" t="n">
        <v>5.3</v>
      </c>
      <c r="N14" s="62" t="n">
        <v>1.5</v>
      </c>
      <c r="O14" s="62" t="n">
        <v>1.8</v>
      </c>
      <c r="P14" s="62" t="n">
        <v>1.8</v>
      </c>
      <c r="Q14" s="62" t="n">
        <v>1.4</v>
      </c>
      <c r="R14" s="62" t="n">
        <v>1.9</v>
      </c>
      <c r="S14" s="62" t="n">
        <v>1.6</v>
      </c>
      <c r="T14" s="62" t="n">
        <v>1.6</v>
      </c>
      <c r="U14" s="62" t="n">
        <v>1.6</v>
      </c>
      <c r="V14" s="62" t="n">
        <v>1.9</v>
      </c>
      <c r="W14" s="62" t="n">
        <v>1.6</v>
      </c>
      <c r="X14" s="62" t="n">
        <v>11.5</v>
      </c>
      <c r="Y14" s="62" t="n">
        <v>10.7</v>
      </c>
      <c r="Z14" s="62" t="n">
        <v>14.4</v>
      </c>
      <c r="AA14" s="62" t="n">
        <v>13</v>
      </c>
      <c r="AB14" s="62" t="n">
        <v>12.7</v>
      </c>
      <c r="AC14" s="58" t="n">
        <f aca="false">(SUM(D14:H14)+SUM(I14:M14))/2+SUM(N14:R14)+SUM(S14:W14)</f>
        <v>39.45</v>
      </c>
      <c r="AD14" s="59" t="n">
        <f aca="false">SUM(X14:AB14)/100*50</f>
        <v>31.15</v>
      </c>
      <c r="AE14" s="60" t="n">
        <f aca="false">AC14+AD14</f>
        <v>70.6</v>
      </c>
    </row>
    <row r="15" customFormat="false" ht="16.5" hidden="false" customHeight="true" outlineLevel="0" collapsed="false">
      <c r="A15" s="12" t="n">
        <v>9</v>
      </c>
      <c r="B15" s="12" t="s">
        <v>97</v>
      </c>
      <c r="C15" s="56" t="s">
        <v>98</v>
      </c>
      <c r="D15" s="57" t="n">
        <v>3.2</v>
      </c>
      <c r="E15" s="57" t="n">
        <v>4.5</v>
      </c>
      <c r="F15" s="57" t="n">
        <v>3.9</v>
      </c>
      <c r="G15" s="57" t="n">
        <v>4.4</v>
      </c>
      <c r="H15" s="57" t="n">
        <v>3.2</v>
      </c>
      <c r="I15" s="57" t="n">
        <v>5.5</v>
      </c>
      <c r="J15" s="57" t="n">
        <v>3.2</v>
      </c>
      <c r="K15" s="57" t="n">
        <v>5.6</v>
      </c>
      <c r="L15" s="57" t="n">
        <v>5.6</v>
      </c>
      <c r="M15" s="57" t="n">
        <v>4.8</v>
      </c>
      <c r="N15" s="57" t="n">
        <v>1.5</v>
      </c>
      <c r="O15" s="57" t="n">
        <v>1.5</v>
      </c>
      <c r="P15" s="57" t="n">
        <v>1.6</v>
      </c>
      <c r="Q15" s="57" t="n">
        <v>1.8</v>
      </c>
      <c r="R15" s="57" t="n">
        <v>1.9</v>
      </c>
      <c r="S15" s="57" t="n">
        <v>1.4</v>
      </c>
      <c r="T15" s="57" t="n">
        <v>1.8</v>
      </c>
      <c r="U15" s="57" t="n">
        <v>1.7</v>
      </c>
      <c r="V15" s="57" t="n">
        <v>1.3</v>
      </c>
      <c r="W15" s="57" t="n">
        <v>1.5</v>
      </c>
      <c r="X15" s="57" t="n">
        <v>11.5</v>
      </c>
      <c r="Y15" s="57" t="n">
        <v>10.6</v>
      </c>
      <c r="Z15" s="57" t="n">
        <v>11</v>
      </c>
      <c r="AA15" s="57" t="n">
        <v>19</v>
      </c>
      <c r="AB15" s="57" t="n">
        <v>13.4</v>
      </c>
      <c r="AC15" s="58" t="n">
        <f aca="false">(SUM(D15:H15)+SUM(I15:M15))/2+SUM(N15:R15)+SUM(S15:W15)</f>
        <v>37.95</v>
      </c>
      <c r="AD15" s="59" t="n">
        <f aca="false">SUM(X15:AB15)/100*50</f>
        <v>32.75</v>
      </c>
      <c r="AE15" s="60" t="n">
        <f aca="false">AC15+AD15</f>
        <v>70.7</v>
      </c>
    </row>
    <row r="16" customFormat="false" ht="16.5" hidden="false" customHeight="true" outlineLevel="0" collapsed="false">
      <c r="A16" s="27" t="n">
        <v>10</v>
      </c>
      <c r="B16" s="27" t="s">
        <v>99</v>
      </c>
      <c r="C16" s="61" t="s">
        <v>100</v>
      </c>
      <c r="D16" s="62" t="n">
        <v>5.1</v>
      </c>
      <c r="E16" s="62" t="n">
        <v>4.5</v>
      </c>
      <c r="F16" s="62" t="n">
        <v>3.5</v>
      </c>
      <c r="G16" s="62" t="n">
        <v>3.7</v>
      </c>
      <c r="H16" s="62" t="n">
        <v>4.3</v>
      </c>
      <c r="I16" s="62" t="n">
        <v>4.3</v>
      </c>
      <c r="J16" s="62" t="n">
        <v>4.6</v>
      </c>
      <c r="K16" s="62" t="n">
        <v>3.5</v>
      </c>
      <c r="L16" s="62" t="n">
        <v>4.1</v>
      </c>
      <c r="M16" s="62" t="n">
        <v>3.8</v>
      </c>
      <c r="N16" s="62" t="n">
        <v>1.4</v>
      </c>
      <c r="O16" s="62" t="n">
        <v>1.3</v>
      </c>
      <c r="P16" s="62" t="n">
        <v>1.6</v>
      </c>
      <c r="Q16" s="62" t="n">
        <v>1.8</v>
      </c>
      <c r="R16" s="62" t="n">
        <v>1.6</v>
      </c>
      <c r="S16" s="62" t="n">
        <v>1.1</v>
      </c>
      <c r="T16" s="62" t="n">
        <v>1.1</v>
      </c>
      <c r="U16" s="62" t="n">
        <v>1.7</v>
      </c>
      <c r="V16" s="62" t="n">
        <v>1.3</v>
      </c>
      <c r="W16" s="62" t="n">
        <v>1.7</v>
      </c>
      <c r="X16" s="62" t="n">
        <v>16.6</v>
      </c>
      <c r="Y16" s="62" t="n">
        <v>19.1</v>
      </c>
      <c r="Z16" s="62" t="n">
        <v>18.7</v>
      </c>
      <c r="AA16" s="62" t="n">
        <v>13.3</v>
      </c>
      <c r="AB16" s="62" t="n">
        <v>15.8</v>
      </c>
      <c r="AC16" s="58" t="n">
        <f aca="false">(SUM(D16:H16)+SUM(I16:M16))/2+SUM(N16:R16)+SUM(S16:W16)</f>
        <v>35.3</v>
      </c>
      <c r="AD16" s="59" t="n">
        <f aca="false">SUM(X16:AB16)/100*50</f>
        <v>41.75</v>
      </c>
      <c r="AE16" s="60" t="n">
        <f aca="false">AC16+AD16</f>
        <v>77.05</v>
      </c>
    </row>
    <row r="17" customFormat="false" ht="16.5" hidden="false" customHeight="true" outlineLevel="0" collapsed="false">
      <c r="A17" s="12" t="n">
        <v>11</v>
      </c>
      <c r="B17" s="12" t="s">
        <v>101</v>
      </c>
      <c r="C17" s="56" t="s">
        <v>102</v>
      </c>
      <c r="D17" s="57" t="n">
        <v>3.4</v>
      </c>
      <c r="E17" s="57" t="n">
        <v>4</v>
      </c>
      <c r="F17" s="57" t="n">
        <v>5.9</v>
      </c>
      <c r="G17" s="57" t="n">
        <v>5.1</v>
      </c>
      <c r="H17" s="57" t="n">
        <v>4.2</v>
      </c>
      <c r="I17" s="57" t="n">
        <v>4.8</v>
      </c>
      <c r="J17" s="57" t="n">
        <v>5.8</v>
      </c>
      <c r="K17" s="57" t="n">
        <v>3.9</v>
      </c>
      <c r="L17" s="57" t="n">
        <v>4.1</v>
      </c>
      <c r="M17" s="57" t="n">
        <v>5.4</v>
      </c>
      <c r="N17" s="57" t="n">
        <v>1.8</v>
      </c>
      <c r="O17" s="57" t="n">
        <v>1.7</v>
      </c>
      <c r="P17" s="57" t="n">
        <v>1.8</v>
      </c>
      <c r="Q17" s="57" t="n">
        <v>1.7</v>
      </c>
      <c r="R17" s="57" t="n">
        <v>1.7</v>
      </c>
      <c r="S17" s="57" t="n">
        <v>1.5</v>
      </c>
      <c r="T17" s="57" t="n">
        <v>1.6</v>
      </c>
      <c r="U17" s="57" t="n">
        <v>1.4</v>
      </c>
      <c r="V17" s="57" t="n">
        <v>1.4</v>
      </c>
      <c r="W17" s="57" t="n">
        <v>1.4</v>
      </c>
      <c r="X17" s="57" t="n">
        <v>11.8</v>
      </c>
      <c r="Y17" s="57" t="n">
        <v>12.1</v>
      </c>
      <c r="Z17" s="57" t="n">
        <v>19.5</v>
      </c>
      <c r="AA17" s="57" t="n">
        <v>14.9</v>
      </c>
      <c r="AB17" s="57" t="n">
        <v>12.3</v>
      </c>
      <c r="AC17" s="58" t="n">
        <f aca="false">(SUM(D17:H17)+SUM(I17:M17))/2+SUM(N17:R17)+SUM(S17:W17)</f>
        <v>39.3</v>
      </c>
      <c r="AD17" s="59" t="n">
        <f aca="false">SUM(X17:AB17)/100*50</f>
        <v>35.3</v>
      </c>
      <c r="AE17" s="60" t="n">
        <f aca="false">AC17+AD17</f>
        <v>74.6</v>
      </c>
    </row>
    <row r="18" customFormat="false" ht="16.5" hidden="false" customHeight="true" outlineLevel="0" collapsed="false">
      <c r="A18" s="27" t="n">
        <v>12</v>
      </c>
      <c r="B18" s="27" t="s">
        <v>103</v>
      </c>
      <c r="C18" s="61" t="s">
        <v>104</v>
      </c>
      <c r="D18" s="62" t="n">
        <v>3.4</v>
      </c>
      <c r="E18" s="62" t="n">
        <v>3.2</v>
      </c>
      <c r="F18" s="62" t="n">
        <v>5.5</v>
      </c>
      <c r="G18" s="62" t="n">
        <v>3.3</v>
      </c>
      <c r="H18" s="62" t="n">
        <v>5.3</v>
      </c>
      <c r="I18" s="62" t="n">
        <v>5.5</v>
      </c>
      <c r="J18" s="62" t="n">
        <v>5.7</v>
      </c>
      <c r="K18" s="62" t="n">
        <v>3.1</v>
      </c>
      <c r="L18" s="62" t="n">
        <v>4</v>
      </c>
      <c r="M18" s="62" t="n">
        <v>5.3</v>
      </c>
      <c r="N18" s="62" t="n">
        <v>1.1</v>
      </c>
      <c r="O18" s="62" t="n">
        <v>1.4</v>
      </c>
      <c r="P18" s="62" t="n">
        <v>1.2</v>
      </c>
      <c r="Q18" s="62" t="n">
        <v>1.8</v>
      </c>
      <c r="R18" s="62" t="n">
        <v>1.8</v>
      </c>
      <c r="S18" s="62" t="n">
        <v>1.8</v>
      </c>
      <c r="T18" s="62" t="n">
        <v>1.2</v>
      </c>
      <c r="U18" s="62" t="n">
        <v>1.4</v>
      </c>
      <c r="V18" s="62" t="n">
        <v>1.4</v>
      </c>
      <c r="W18" s="62" t="n">
        <v>1.7</v>
      </c>
      <c r="X18" s="62" t="n">
        <v>12.4</v>
      </c>
      <c r="Y18" s="62" t="n">
        <v>14.4</v>
      </c>
      <c r="Z18" s="62" t="n">
        <v>12.8</v>
      </c>
      <c r="AA18" s="62" t="n">
        <v>17.5</v>
      </c>
      <c r="AB18" s="62" t="n">
        <v>14.5</v>
      </c>
      <c r="AC18" s="58" t="n">
        <f aca="false">(SUM(D18:H18)+SUM(I18:M18))/2+SUM(N18:R18)+SUM(S18:W18)</f>
        <v>36.95</v>
      </c>
      <c r="AD18" s="59" t="n">
        <f aca="false">SUM(X18:AB18)/100*50</f>
        <v>35.8</v>
      </c>
      <c r="AE18" s="60" t="n">
        <f aca="false">AC18+AD18</f>
        <v>72.75</v>
      </c>
    </row>
    <row r="19" customFormat="false" ht="16.5" hidden="false" customHeight="true" outlineLevel="0" collapsed="false">
      <c r="A19" s="12" t="n">
        <v>13</v>
      </c>
      <c r="B19" s="12" t="s">
        <v>105</v>
      </c>
      <c r="C19" s="56" t="s">
        <v>106</v>
      </c>
      <c r="D19" s="57" t="n">
        <v>4.6</v>
      </c>
      <c r="E19" s="57" t="n">
        <v>3.9</v>
      </c>
      <c r="F19" s="57" t="n">
        <v>5.4</v>
      </c>
      <c r="G19" s="57" t="n">
        <v>4.4</v>
      </c>
      <c r="H19" s="57" t="n">
        <v>5.5</v>
      </c>
      <c r="I19" s="57" t="n">
        <v>4.1</v>
      </c>
      <c r="J19" s="57" t="n">
        <v>5.8</v>
      </c>
      <c r="K19" s="57" t="n">
        <v>6</v>
      </c>
      <c r="L19" s="57" t="n">
        <v>4.4</v>
      </c>
      <c r="M19" s="57" t="n">
        <v>3.8</v>
      </c>
      <c r="N19" s="57" t="n">
        <v>1.4</v>
      </c>
      <c r="O19" s="57" t="n">
        <v>1.5</v>
      </c>
      <c r="P19" s="57" t="n">
        <v>2</v>
      </c>
      <c r="Q19" s="57" t="n">
        <v>1.8</v>
      </c>
      <c r="R19" s="57" t="n">
        <v>1.8</v>
      </c>
      <c r="S19" s="57" t="n">
        <v>1.1</v>
      </c>
      <c r="T19" s="57" t="n">
        <v>1.2</v>
      </c>
      <c r="U19" s="57" t="n">
        <v>1.6</v>
      </c>
      <c r="V19" s="57" t="n">
        <v>1.9</v>
      </c>
      <c r="W19" s="57" t="n">
        <v>1.6</v>
      </c>
      <c r="X19" s="57" t="n">
        <v>11</v>
      </c>
      <c r="Y19" s="57" t="n">
        <v>18.5</v>
      </c>
      <c r="Z19" s="57" t="n">
        <v>18.5</v>
      </c>
      <c r="AA19" s="57" t="n">
        <v>12.8</v>
      </c>
      <c r="AB19" s="57" t="n">
        <v>17.6</v>
      </c>
      <c r="AC19" s="58" t="n">
        <f aca="false">(SUM(D19:H19)+SUM(I19:M19))/2+SUM(N19:R19)+SUM(S19:W19)</f>
        <v>39.85</v>
      </c>
      <c r="AD19" s="59" t="n">
        <f aca="false">SUM(X19:AB19)/100*50</f>
        <v>39.2</v>
      </c>
      <c r="AE19" s="60" t="n">
        <f aca="false">AC19+AD19</f>
        <v>79.05</v>
      </c>
    </row>
    <row r="20" customFormat="false" ht="16.5" hidden="false" customHeight="true" outlineLevel="0" collapsed="false">
      <c r="A20" s="27" t="n">
        <v>14</v>
      </c>
      <c r="B20" s="27" t="s">
        <v>107</v>
      </c>
      <c r="C20" s="61" t="s">
        <v>108</v>
      </c>
      <c r="D20" s="62" t="n">
        <v>3.8</v>
      </c>
      <c r="E20" s="62" t="n">
        <v>5.7</v>
      </c>
      <c r="F20" s="62" t="n">
        <v>3.4</v>
      </c>
      <c r="G20" s="62" t="n">
        <v>4.3</v>
      </c>
      <c r="H20" s="62" t="n">
        <v>5.8</v>
      </c>
      <c r="I20" s="62" t="n">
        <v>3.7</v>
      </c>
      <c r="J20" s="62" t="n">
        <v>4.4</v>
      </c>
      <c r="K20" s="62" t="n">
        <v>4</v>
      </c>
      <c r="L20" s="62" t="n">
        <v>3.1</v>
      </c>
      <c r="M20" s="62" t="n">
        <v>3.2</v>
      </c>
      <c r="N20" s="62" t="n">
        <v>1.5</v>
      </c>
      <c r="O20" s="62" t="n">
        <v>1.2</v>
      </c>
      <c r="P20" s="62" t="n">
        <v>2</v>
      </c>
      <c r="Q20" s="62" t="n">
        <v>1.4</v>
      </c>
      <c r="R20" s="62" t="n">
        <v>1</v>
      </c>
      <c r="S20" s="62" t="n">
        <v>1.9</v>
      </c>
      <c r="T20" s="62" t="n">
        <v>1.8</v>
      </c>
      <c r="U20" s="62" t="n">
        <v>1.6</v>
      </c>
      <c r="V20" s="62" t="n">
        <v>1.8</v>
      </c>
      <c r="W20" s="62" t="n">
        <v>1.1</v>
      </c>
      <c r="X20" s="62" t="n">
        <v>12.9</v>
      </c>
      <c r="Y20" s="62" t="n">
        <v>18.3</v>
      </c>
      <c r="Z20" s="62" t="n">
        <v>17</v>
      </c>
      <c r="AA20" s="62" t="n">
        <v>11.4</v>
      </c>
      <c r="AB20" s="62" t="n">
        <v>17.1</v>
      </c>
      <c r="AC20" s="58" t="n">
        <f aca="false">(SUM(D20:H20)+SUM(I20:M20))/2+SUM(N20:R20)+SUM(S20:W20)</f>
        <v>36</v>
      </c>
      <c r="AD20" s="59" t="n">
        <f aca="false">SUM(X20:AB20)/100*50</f>
        <v>38.35</v>
      </c>
      <c r="AE20" s="60" t="n">
        <f aca="false">AC20+AD20</f>
        <v>74.35</v>
      </c>
    </row>
    <row r="21" customFormat="false" ht="16.5" hidden="false" customHeight="true" outlineLevel="0" collapsed="false">
      <c r="A21" s="12" t="n">
        <v>15</v>
      </c>
      <c r="B21" s="12" t="s">
        <v>109</v>
      </c>
      <c r="C21" s="56" t="s">
        <v>110</v>
      </c>
      <c r="D21" s="57" t="n">
        <v>4.3</v>
      </c>
      <c r="E21" s="57" t="n">
        <v>3</v>
      </c>
      <c r="F21" s="57" t="n">
        <v>3.2</v>
      </c>
      <c r="G21" s="57" t="n">
        <v>3.8</v>
      </c>
      <c r="H21" s="57" t="n">
        <v>5.5</v>
      </c>
      <c r="I21" s="57" t="n">
        <v>4.6</v>
      </c>
      <c r="J21" s="57" t="n">
        <v>5.2</v>
      </c>
      <c r="K21" s="57" t="n">
        <v>4.6</v>
      </c>
      <c r="L21" s="57" t="n">
        <v>3.3</v>
      </c>
      <c r="M21" s="57" t="n">
        <v>3.9</v>
      </c>
      <c r="N21" s="57" t="n">
        <v>1.3</v>
      </c>
      <c r="O21" s="57" t="n">
        <v>1</v>
      </c>
      <c r="P21" s="57" t="n">
        <v>1.4</v>
      </c>
      <c r="Q21" s="57" t="n">
        <v>1.8</v>
      </c>
      <c r="R21" s="57" t="n">
        <v>1.5</v>
      </c>
      <c r="S21" s="57" t="n">
        <v>1.1</v>
      </c>
      <c r="T21" s="57" t="n">
        <v>1.9</v>
      </c>
      <c r="U21" s="57" t="n">
        <v>1.6</v>
      </c>
      <c r="V21" s="57" t="n">
        <v>1</v>
      </c>
      <c r="W21" s="57" t="n">
        <v>1.5</v>
      </c>
      <c r="X21" s="57" t="n">
        <v>12.4</v>
      </c>
      <c r="Y21" s="57" t="n">
        <v>11.4</v>
      </c>
      <c r="Z21" s="57" t="n">
        <v>14.3</v>
      </c>
      <c r="AA21" s="57" t="n">
        <v>16.1</v>
      </c>
      <c r="AB21" s="57" t="n">
        <v>12.4</v>
      </c>
      <c r="AC21" s="58" t="n">
        <f aca="false">(SUM(D21:H21)+SUM(I21:M21))/2+SUM(N21:R21)+SUM(S21:W21)</f>
        <v>34.8</v>
      </c>
      <c r="AD21" s="59" t="n">
        <f aca="false">SUM(X21:AB21)/100*50</f>
        <v>33.3</v>
      </c>
      <c r="AE21" s="60" t="n">
        <f aca="false">AC21+AD21</f>
        <v>68.1</v>
      </c>
    </row>
    <row r="22" customFormat="false" ht="16.5" hidden="false" customHeight="true" outlineLevel="0" collapsed="false">
      <c r="A22" s="27" t="n">
        <v>16</v>
      </c>
      <c r="B22" s="27" t="s">
        <v>111</v>
      </c>
      <c r="C22" s="61" t="s">
        <v>112</v>
      </c>
      <c r="D22" s="62" t="n">
        <v>4.2</v>
      </c>
      <c r="E22" s="62" t="n">
        <v>5</v>
      </c>
      <c r="F22" s="62" t="n">
        <v>3.3</v>
      </c>
      <c r="G22" s="62" t="n">
        <v>5.9</v>
      </c>
      <c r="H22" s="62" t="n">
        <v>3.2</v>
      </c>
      <c r="I22" s="62" t="n">
        <v>4.6</v>
      </c>
      <c r="J22" s="62" t="n">
        <v>4.5</v>
      </c>
      <c r="K22" s="62" t="n">
        <v>6</v>
      </c>
      <c r="L22" s="62" t="n">
        <v>4.7</v>
      </c>
      <c r="M22" s="62" t="n">
        <v>4.2</v>
      </c>
      <c r="N22" s="62" t="n">
        <v>1.5</v>
      </c>
      <c r="O22" s="62" t="n">
        <v>1.6</v>
      </c>
      <c r="P22" s="62" t="n">
        <v>2</v>
      </c>
      <c r="Q22" s="62" t="n">
        <v>1.3</v>
      </c>
      <c r="R22" s="62" t="n">
        <v>1</v>
      </c>
      <c r="S22" s="62" t="n">
        <v>1.8</v>
      </c>
      <c r="T22" s="62" t="n">
        <v>1.3</v>
      </c>
      <c r="U22" s="62" t="n">
        <v>1.7</v>
      </c>
      <c r="V22" s="62" t="n">
        <v>1.6</v>
      </c>
      <c r="W22" s="62" t="n">
        <v>1.8</v>
      </c>
      <c r="X22" s="62" t="n">
        <v>17.4</v>
      </c>
      <c r="Y22" s="62" t="n">
        <v>13.3</v>
      </c>
      <c r="Z22" s="62" t="n">
        <v>10.4</v>
      </c>
      <c r="AA22" s="62" t="n">
        <v>15.5</v>
      </c>
      <c r="AB22" s="62" t="n">
        <v>18.1</v>
      </c>
      <c r="AC22" s="58" t="n">
        <f aca="false">(SUM(D22:H22)+SUM(I22:M22))/2+SUM(N22:R22)+SUM(S22:W22)</f>
        <v>38.4</v>
      </c>
      <c r="AD22" s="59" t="n">
        <f aca="false">SUM(X22:AB22)/100*50</f>
        <v>37.35</v>
      </c>
      <c r="AE22" s="60" t="n">
        <f aca="false">AC22+AD22</f>
        <v>75.75</v>
      </c>
    </row>
    <row r="23" customFormat="false" ht="16.5" hidden="false" customHeight="true" outlineLevel="0" collapsed="false">
      <c r="A23" s="12" t="n">
        <v>17</v>
      </c>
      <c r="B23" s="12" t="s">
        <v>113</v>
      </c>
      <c r="C23" s="56" t="s">
        <v>114</v>
      </c>
      <c r="D23" s="57" t="n">
        <v>3.5</v>
      </c>
      <c r="E23" s="57" t="n">
        <v>5.3</v>
      </c>
      <c r="F23" s="57" t="n">
        <v>4.4</v>
      </c>
      <c r="G23" s="57" t="n">
        <v>5.1</v>
      </c>
      <c r="H23" s="57" t="n">
        <v>4.9</v>
      </c>
      <c r="I23" s="57" t="n">
        <v>5.4</v>
      </c>
      <c r="J23" s="57" t="n">
        <v>3.2</v>
      </c>
      <c r="K23" s="57" t="n">
        <v>5.3</v>
      </c>
      <c r="L23" s="57" t="n">
        <v>4.4</v>
      </c>
      <c r="M23" s="57" t="n">
        <v>3.9</v>
      </c>
      <c r="N23" s="57" t="n">
        <v>1</v>
      </c>
      <c r="O23" s="57" t="n">
        <v>1.2</v>
      </c>
      <c r="P23" s="57" t="n">
        <v>1</v>
      </c>
      <c r="Q23" s="57" t="n">
        <v>1.9</v>
      </c>
      <c r="R23" s="57" t="n">
        <v>1.5</v>
      </c>
      <c r="S23" s="57" t="n">
        <v>2</v>
      </c>
      <c r="T23" s="57" t="n">
        <v>1.5</v>
      </c>
      <c r="U23" s="57" t="n">
        <v>1.3</v>
      </c>
      <c r="V23" s="57" t="n">
        <v>1.8</v>
      </c>
      <c r="W23" s="57" t="n">
        <v>1.2</v>
      </c>
      <c r="X23" s="57" t="n">
        <v>13.6</v>
      </c>
      <c r="Y23" s="57" t="n">
        <v>17.8</v>
      </c>
      <c r="Z23" s="57" t="n">
        <v>18.7</v>
      </c>
      <c r="AA23" s="57" t="n">
        <v>13.3</v>
      </c>
      <c r="AB23" s="57" t="n">
        <v>11.2</v>
      </c>
      <c r="AC23" s="58" t="n">
        <f aca="false">(SUM(D23:H23)+SUM(I23:M23))/2+SUM(N23:R23)+SUM(S23:W23)</f>
        <v>37.1</v>
      </c>
      <c r="AD23" s="59" t="n">
        <f aca="false">SUM(X23:AB23)/100*50</f>
        <v>37.3</v>
      </c>
      <c r="AE23" s="60" t="n">
        <f aca="false">AC23+AD23</f>
        <v>74.4</v>
      </c>
    </row>
    <row r="24" customFormat="false" ht="16.5" hidden="false" customHeight="true" outlineLevel="0" collapsed="false">
      <c r="A24" s="27" t="n">
        <v>18</v>
      </c>
      <c r="B24" s="27" t="s">
        <v>115</v>
      </c>
      <c r="C24" s="61" t="s">
        <v>116</v>
      </c>
      <c r="D24" s="62" t="n">
        <v>4.1</v>
      </c>
      <c r="E24" s="62" t="n">
        <v>5.7</v>
      </c>
      <c r="F24" s="62" t="n">
        <v>5.2</v>
      </c>
      <c r="G24" s="62" t="n">
        <v>5.7</v>
      </c>
      <c r="H24" s="62" t="n">
        <v>4.2</v>
      </c>
      <c r="I24" s="62" t="n">
        <v>5.9</v>
      </c>
      <c r="J24" s="62" t="n">
        <v>4.5</v>
      </c>
      <c r="K24" s="62" t="n">
        <v>4.5</v>
      </c>
      <c r="L24" s="62" t="n">
        <v>5.8</v>
      </c>
      <c r="M24" s="62" t="n">
        <v>4.6</v>
      </c>
      <c r="N24" s="62" t="n">
        <v>1.8</v>
      </c>
      <c r="O24" s="62" t="n">
        <v>1.7</v>
      </c>
      <c r="P24" s="62" t="n">
        <v>1.1</v>
      </c>
      <c r="Q24" s="62" t="n">
        <v>1.6</v>
      </c>
      <c r="R24" s="62" t="n">
        <v>1.8</v>
      </c>
      <c r="S24" s="62" t="n">
        <v>1.5</v>
      </c>
      <c r="T24" s="62" t="n">
        <v>1.3</v>
      </c>
      <c r="U24" s="62" t="n">
        <v>1.1</v>
      </c>
      <c r="V24" s="62" t="n">
        <v>1.7</v>
      </c>
      <c r="W24" s="62" t="n">
        <v>1.3</v>
      </c>
      <c r="X24" s="62" t="n">
        <v>16</v>
      </c>
      <c r="Y24" s="62" t="n">
        <v>14.3</v>
      </c>
      <c r="Z24" s="62" t="n">
        <v>16.9</v>
      </c>
      <c r="AA24" s="62" t="n">
        <v>13.5</v>
      </c>
      <c r="AB24" s="62" t="n">
        <v>10.4</v>
      </c>
      <c r="AC24" s="58" t="n">
        <f aca="false">(SUM(D24:H24)+SUM(I24:M24))/2+SUM(N24:R24)+SUM(S24:W24)</f>
        <v>40</v>
      </c>
      <c r="AD24" s="59" t="n">
        <f aca="false">SUM(X24:AB24)/100*50</f>
        <v>35.55</v>
      </c>
      <c r="AE24" s="60" t="n">
        <f aca="false">AC24+AD24</f>
        <v>75.55</v>
      </c>
    </row>
    <row r="25" customFormat="false" ht="16.5" hidden="false" customHeight="true" outlineLevel="0" collapsed="false">
      <c r="A25" s="12" t="n">
        <v>19</v>
      </c>
      <c r="B25" s="12" t="s">
        <v>117</v>
      </c>
      <c r="C25" s="56" t="s">
        <v>118</v>
      </c>
      <c r="D25" s="57" t="n">
        <v>5.6</v>
      </c>
      <c r="E25" s="57" t="n">
        <v>4.1</v>
      </c>
      <c r="F25" s="57" t="n">
        <v>6</v>
      </c>
      <c r="G25" s="57" t="n">
        <v>3.8</v>
      </c>
      <c r="H25" s="57" t="n">
        <v>5.9</v>
      </c>
      <c r="I25" s="57" t="n">
        <v>5.8</v>
      </c>
      <c r="J25" s="57" t="n">
        <v>3.2</v>
      </c>
      <c r="K25" s="57" t="n">
        <v>4.9</v>
      </c>
      <c r="L25" s="57" t="n">
        <v>4.1</v>
      </c>
      <c r="M25" s="57" t="n">
        <v>5.4</v>
      </c>
      <c r="N25" s="57" t="n">
        <v>1.7</v>
      </c>
      <c r="O25" s="57" t="n">
        <v>2</v>
      </c>
      <c r="P25" s="57" t="n">
        <v>1.1</v>
      </c>
      <c r="Q25" s="57" t="n">
        <v>1.6</v>
      </c>
      <c r="R25" s="57" t="n">
        <v>1.8</v>
      </c>
      <c r="S25" s="57" t="n">
        <v>1</v>
      </c>
      <c r="T25" s="57" t="n">
        <v>1.1</v>
      </c>
      <c r="U25" s="57" t="n">
        <v>1.8</v>
      </c>
      <c r="V25" s="57" t="n">
        <v>1.4</v>
      </c>
      <c r="W25" s="57" t="n">
        <v>1.4</v>
      </c>
      <c r="X25" s="57" t="n">
        <v>15.7</v>
      </c>
      <c r="Y25" s="57" t="n">
        <v>16.1</v>
      </c>
      <c r="Z25" s="57" t="n">
        <v>16.8</v>
      </c>
      <c r="AA25" s="57" t="n">
        <v>19.5</v>
      </c>
      <c r="AB25" s="57" t="n">
        <v>13.7</v>
      </c>
      <c r="AC25" s="58" t="n">
        <f aca="false">(SUM(D25:H25)+SUM(I25:M25))/2+SUM(N25:R25)+SUM(S25:W25)</f>
        <v>39.3</v>
      </c>
      <c r="AD25" s="59" t="n">
        <f aca="false">SUM(X25:AB25)/100*50</f>
        <v>40.9</v>
      </c>
      <c r="AE25" s="60" t="n">
        <f aca="false">AC25+AD25</f>
        <v>80.2</v>
      </c>
    </row>
    <row r="26" customFormat="false" ht="16.5" hidden="false" customHeight="true" outlineLevel="0" collapsed="false">
      <c r="A26" s="27" t="n">
        <v>20</v>
      </c>
      <c r="B26" s="27" t="s">
        <v>119</v>
      </c>
      <c r="C26" s="61" t="s">
        <v>120</v>
      </c>
      <c r="D26" s="62" t="n">
        <v>5.3</v>
      </c>
      <c r="E26" s="62" t="n">
        <v>4.7</v>
      </c>
      <c r="F26" s="62" t="n">
        <v>4.6</v>
      </c>
      <c r="G26" s="62" t="n">
        <v>4.2</v>
      </c>
      <c r="H26" s="62" t="n">
        <v>4.9</v>
      </c>
      <c r="I26" s="62" t="n">
        <v>3.7</v>
      </c>
      <c r="J26" s="62" t="n">
        <v>3.3</v>
      </c>
      <c r="K26" s="62" t="n">
        <v>5.2</v>
      </c>
      <c r="L26" s="62" t="n">
        <v>4.5</v>
      </c>
      <c r="M26" s="62" t="n">
        <v>4.2</v>
      </c>
      <c r="N26" s="62" t="n">
        <v>1.6</v>
      </c>
      <c r="O26" s="62" t="n">
        <v>1.3</v>
      </c>
      <c r="P26" s="62" t="n">
        <v>1.3</v>
      </c>
      <c r="Q26" s="62" t="n">
        <v>1.4</v>
      </c>
      <c r="R26" s="62" t="n">
        <v>2</v>
      </c>
      <c r="S26" s="62" t="n">
        <v>1.3</v>
      </c>
      <c r="T26" s="62" t="n">
        <v>1.9</v>
      </c>
      <c r="U26" s="62" t="n">
        <v>1.5</v>
      </c>
      <c r="V26" s="62" t="n">
        <v>1.1</v>
      </c>
      <c r="W26" s="62" t="n">
        <v>1.9</v>
      </c>
      <c r="X26" s="62" t="n">
        <v>14.5</v>
      </c>
      <c r="Y26" s="62" t="n">
        <v>19</v>
      </c>
      <c r="Z26" s="62" t="n">
        <v>14.5</v>
      </c>
      <c r="AA26" s="62" t="n">
        <v>10.9</v>
      </c>
      <c r="AB26" s="62" t="n">
        <v>16.8</v>
      </c>
      <c r="AC26" s="58" t="n">
        <f aca="false">(SUM(D26:H26)+SUM(I26:M26))/2+SUM(N26:R26)+SUM(S26:W26)</f>
        <v>37.6</v>
      </c>
      <c r="AD26" s="59" t="n">
        <f aca="false">SUM(X26:AB26)/100*50</f>
        <v>37.85</v>
      </c>
      <c r="AE26" s="60" t="n">
        <f aca="false">AC26+AD26</f>
        <v>75.45</v>
      </c>
    </row>
    <row r="28" customFormat="false" ht="19.5" hidden="false" customHeight="true" outlineLevel="0" collapsed="false">
      <c r="A28" s="41" t="s">
        <v>121</v>
      </c>
      <c r="B28" s="41"/>
      <c r="C28" s="41"/>
      <c r="D28" s="63" t="n">
        <f aca="false">AVERAGE(D7:D26)</f>
        <v>4.485</v>
      </c>
      <c r="E28" s="63" t="n">
        <f aca="false">AVERAGE(E7:E26)</f>
        <v>4.395</v>
      </c>
      <c r="F28" s="63" t="n">
        <f aca="false">AVERAGE(F7:F26)</f>
        <v>4.55</v>
      </c>
      <c r="G28" s="63" t="n">
        <f aca="false">AVERAGE(G7:G26)</f>
        <v>4.18</v>
      </c>
      <c r="H28" s="63" t="n">
        <f aca="false">AVERAGE(H7:H26)</f>
        <v>4.625</v>
      </c>
      <c r="I28" s="63" t="n">
        <f aca="false">AVERAGE(I7:I26)</f>
        <v>4.835</v>
      </c>
      <c r="J28" s="63" t="n">
        <f aca="false">AVERAGE(J7:J26)</f>
        <v>4.565</v>
      </c>
      <c r="K28" s="63" t="n">
        <f aca="false">AVERAGE(K7:K26)</f>
        <v>4.755</v>
      </c>
      <c r="L28" s="63" t="n">
        <f aca="false">AVERAGE(L7:L26)</f>
        <v>4.37</v>
      </c>
      <c r="M28" s="63" t="n">
        <f aca="false">AVERAGE(M7:M26)</f>
        <v>4.255</v>
      </c>
      <c r="N28" s="63" t="n">
        <f aca="false">AVERAGE(N7:N26)</f>
        <v>1.49</v>
      </c>
      <c r="O28" s="63" t="n">
        <f aca="false">AVERAGE(O7:O26)</f>
        <v>1.49</v>
      </c>
      <c r="P28" s="63" t="n">
        <f aca="false">AVERAGE(P7:P26)</f>
        <v>1.555</v>
      </c>
      <c r="Q28" s="63" t="n">
        <f aca="false">AVERAGE(Q7:Q26)</f>
        <v>1.6</v>
      </c>
      <c r="R28" s="63" t="n">
        <f aca="false">AVERAGE(R7:R26)</f>
        <v>1.605</v>
      </c>
      <c r="S28" s="63" t="n">
        <f aca="false">AVERAGE(S7:S26)</f>
        <v>1.495</v>
      </c>
      <c r="T28" s="63" t="n">
        <f aca="false">AVERAGE(T7:T26)</f>
        <v>1.475</v>
      </c>
      <c r="U28" s="63" t="n">
        <f aca="false">AVERAGE(U7:U26)</f>
        <v>1.485</v>
      </c>
      <c r="V28" s="63" t="n">
        <f aca="false">AVERAGE(V7:V26)</f>
        <v>1.515</v>
      </c>
      <c r="W28" s="63" t="n">
        <f aca="false">AVERAGE(W7:W26)</f>
        <v>1.475</v>
      </c>
      <c r="X28" s="63" t="n">
        <f aca="false">AVERAGE(X7:X26)</f>
        <v>13.72</v>
      </c>
      <c r="Y28" s="63" t="n">
        <f aca="false">AVERAGE(Y7:Y26)</f>
        <v>14.69</v>
      </c>
      <c r="Z28" s="63" t="n">
        <f aca="false">AVERAGE(Z7:Z26)</f>
        <v>15.675</v>
      </c>
      <c r="AA28" s="63" t="n">
        <f aca="false">AVERAGE(AA7:AA26)</f>
        <v>14.66</v>
      </c>
      <c r="AB28" s="63" t="n">
        <f aca="false">AVERAGE(AB7:AB26)</f>
        <v>13.965</v>
      </c>
      <c r="AC28" s="64" t="n">
        <f aca="false">AVERAGE(AC7:AC26)</f>
        <v>37.6925</v>
      </c>
      <c r="AD28" s="63" t="n">
        <f aca="false">AVERAGE(AD7:AD26)</f>
        <v>36.355</v>
      </c>
      <c r="AE28" s="52" t="n">
        <f aca="false">AVERAGE(AE7:AE26)</f>
        <v>74.0475</v>
      </c>
    </row>
    <row r="30" customFormat="false" ht="21.75" hidden="false" customHeight="true" outlineLevel="0" collapsed="false">
      <c r="A30" s="41" t="s">
        <v>122</v>
      </c>
      <c r="B30" s="41"/>
      <c r="C30" s="41"/>
      <c r="D30" s="65" t="n">
        <f aca="false">IFERROR((D28/D6+I28/I6+N28/N6+S28/S6+X28/X6)/5,0)</f>
        <v>0.746366666666667</v>
      </c>
      <c r="E30" s="65" t="n">
        <f aca="false">IFERROR((E28/E6+J28/J6+O28/O6+T28/T6+Y28/Y6)/5,0)</f>
        <v>0.742066666666667</v>
      </c>
      <c r="F30" s="65" t="n">
        <f aca="false">IFERROR((F28/F6+K28/K6+P28/P6+U28/U6+Z28/Z6)/5,0)</f>
        <v>0.770916666666667</v>
      </c>
      <c r="G30" s="65" t="n">
        <f aca="false">IFERROR((G28/G6+L28/L6+Q28/Q6+V28/V6+AA28/AA6)/5,0)</f>
        <v>0.7431</v>
      </c>
      <c r="H30" s="65" t="n">
        <f aca="false">IFERROR((H28/H6+M28/M6+R28/R6+W28/W6+AB28/AB6)/5,0)</f>
        <v>0.74365</v>
      </c>
    </row>
    <row r="31" customFormat="false" ht="19.5" hidden="false" customHeight="true" outlineLevel="0" collapsed="false">
      <c r="A31" s="38" t="s">
        <v>123</v>
      </c>
      <c r="B31" s="38"/>
      <c r="C31" s="38"/>
      <c r="D31" s="66" t="n">
        <f aca="false">IF(D30&gt;=0.6,3,IF(D30&gt;=0.4,2,1))</f>
        <v>3</v>
      </c>
      <c r="E31" s="66" t="n">
        <f aca="false">IF(E30&gt;=0.6,3,IF(E30&gt;=0.4,2,1))</f>
        <v>3</v>
      </c>
      <c r="F31" s="66" t="n">
        <f aca="false">IF(F30&gt;=0.6,3,IF(F30&gt;=0.4,2,1))</f>
        <v>3</v>
      </c>
      <c r="G31" s="66" t="n">
        <f aca="false">IF(G30&gt;=0.6,3,IF(G30&gt;=0.4,2,1))</f>
        <v>3</v>
      </c>
      <c r="H31" s="66" t="n">
        <f aca="false">IF(H30&gt;=0.6,3,IF(H30&gt;=0.4,2,1))</f>
        <v>3</v>
      </c>
    </row>
  </sheetData>
  <mergeCells count="12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28:C28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1.5" hidden="false" customHeight="true" outlineLevel="0" collapsed="false">
      <c r="A1" s="34" t="s">
        <v>126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customFormat="false" ht="13.5" hidden="false" customHeight="true" outlineLevel="0" collapsed="false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customFormat="false" ht="6" hidden="false" customHeight="true" outlineLevel="0" collapsed="false"/>
    <row r="4" customFormat="false" ht="21.75" hidden="false" customHeight="true" outlineLevel="0" collapsed="false">
      <c r="A4" s="36" t="s">
        <v>62</v>
      </c>
      <c r="B4" s="36"/>
      <c r="C4" s="36"/>
      <c r="D4" s="37" t="s">
        <v>63</v>
      </c>
      <c r="E4" s="37"/>
      <c r="F4" s="37"/>
      <c r="G4" s="37"/>
      <c r="H4" s="37"/>
      <c r="I4" s="38" t="s">
        <v>64</v>
      </c>
      <c r="J4" s="38"/>
      <c r="K4" s="38"/>
      <c r="L4" s="38"/>
      <c r="M4" s="38"/>
      <c r="N4" s="39" t="s">
        <v>65</v>
      </c>
      <c r="O4" s="39"/>
      <c r="P4" s="39"/>
      <c r="Q4" s="39"/>
      <c r="R4" s="39"/>
      <c r="S4" s="40" t="s">
        <v>66</v>
      </c>
      <c r="T4" s="40"/>
      <c r="U4" s="40"/>
      <c r="V4" s="40"/>
      <c r="W4" s="40"/>
      <c r="X4" s="41" t="s">
        <v>67</v>
      </c>
      <c r="Y4" s="41"/>
      <c r="Z4" s="41"/>
      <c r="AA4" s="41"/>
      <c r="AB4" s="41"/>
      <c r="AC4" s="8" t="s">
        <v>68</v>
      </c>
      <c r="AD4" s="6" t="s">
        <v>69</v>
      </c>
      <c r="AE4" s="42" t="s">
        <v>70</v>
      </c>
    </row>
    <row r="5" customFormat="false" ht="18" hidden="false" customHeight="true" outlineLevel="0" collapsed="false">
      <c r="A5" s="43" t="s">
        <v>71</v>
      </c>
      <c r="B5" s="43" t="s">
        <v>72</v>
      </c>
      <c r="C5" s="43" t="s">
        <v>73</v>
      </c>
      <c r="D5" s="44" t="s">
        <v>74</v>
      </c>
      <c r="E5" s="44" t="s">
        <v>75</v>
      </c>
      <c r="F5" s="44" t="s">
        <v>76</v>
      </c>
      <c r="G5" s="44" t="s">
        <v>77</v>
      </c>
      <c r="H5" s="44" t="s">
        <v>78</v>
      </c>
      <c r="I5" s="45" t="s">
        <v>74</v>
      </c>
      <c r="J5" s="45" t="s">
        <v>75</v>
      </c>
      <c r="K5" s="45" t="s">
        <v>76</v>
      </c>
      <c r="L5" s="45" t="s">
        <v>77</v>
      </c>
      <c r="M5" s="45" t="s">
        <v>78</v>
      </c>
      <c r="N5" s="26" t="s">
        <v>74</v>
      </c>
      <c r="O5" s="26" t="s">
        <v>75</v>
      </c>
      <c r="P5" s="26" t="s">
        <v>76</v>
      </c>
      <c r="Q5" s="26" t="s">
        <v>77</v>
      </c>
      <c r="R5" s="26" t="s">
        <v>78</v>
      </c>
      <c r="S5" s="46" t="s">
        <v>74</v>
      </c>
      <c r="T5" s="46" t="s">
        <v>75</v>
      </c>
      <c r="U5" s="46" t="s">
        <v>76</v>
      </c>
      <c r="V5" s="46" t="s">
        <v>77</v>
      </c>
      <c r="W5" s="46" t="s">
        <v>78</v>
      </c>
      <c r="X5" s="47" t="s">
        <v>74</v>
      </c>
      <c r="Y5" s="47" t="s">
        <v>75</v>
      </c>
      <c r="Z5" s="47" t="s">
        <v>76</v>
      </c>
      <c r="AA5" s="47" t="s">
        <v>77</v>
      </c>
      <c r="AB5" s="47" t="s">
        <v>78</v>
      </c>
      <c r="AC5" s="48" t="s">
        <v>79</v>
      </c>
      <c r="AD5" s="49" t="s">
        <v>79</v>
      </c>
      <c r="AE5" s="50" t="s">
        <v>79</v>
      </c>
    </row>
    <row r="6" customFormat="false" ht="18" hidden="false" customHeight="true" outlineLevel="0" collapsed="false">
      <c r="A6" s="51" t="s">
        <v>80</v>
      </c>
      <c r="B6" s="51"/>
      <c r="C6" s="51"/>
      <c r="D6" s="52" t="n">
        <v>6</v>
      </c>
      <c r="E6" s="52" t="n">
        <v>6</v>
      </c>
      <c r="F6" s="52" t="n">
        <v>6</v>
      </c>
      <c r="G6" s="52" t="n">
        <v>6</v>
      </c>
      <c r="H6" s="52" t="n">
        <v>6</v>
      </c>
      <c r="I6" s="52" t="n">
        <v>6</v>
      </c>
      <c r="J6" s="52" t="n">
        <v>6</v>
      </c>
      <c r="K6" s="52" t="n">
        <v>6</v>
      </c>
      <c r="L6" s="52" t="n">
        <v>6</v>
      </c>
      <c r="M6" s="52" t="n">
        <v>6</v>
      </c>
      <c r="N6" s="52" t="n">
        <v>2</v>
      </c>
      <c r="O6" s="52" t="n">
        <v>2</v>
      </c>
      <c r="P6" s="52" t="n">
        <v>2</v>
      </c>
      <c r="Q6" s="52" t="n">
        <v>2</v>
      </c>
      <c r="R6" s="52" t="n">
        <v>2</v>
      </c>
      <c r="S6" s="52" t="n">
        <v>2</v>
      </c>
      <c r="T6" s="52" t="n">
        <v>2</v>
      </c>
      <c r="U6" s="52" t="n">
        <v>2</v>
      </c>
      <c r="V6" s="52" t="n">
        <v>2</v>
      </c>
      <c r="W6" s="52" t="n">
        <v>2</v>
      </c>
      <c r="X6" s="52" t="n">
        <v>20</v>
      </c>
      <c r="Y6" s="52" t="n">
        <v>20</v>
      </c>
      <c r="Z6" s="52" t="n">
        <v>20</v>
      </c>
      <c r="AA6" s="52" t="n">
        <v>20</v>
      </c>
      <c r="AB6" s="52" t="n">
        <v>20</v>
      </c>
      <c r="AC6" s="53" t="n">
        <v>50</v>
      </c>
      <c r="AD6" s="54" t="n">
        <v>50</v>
      </c>
      <c r="AE6" s="55" t="n">
        <v>100</v>
      </c>
    </row>
    <row r="7" customFormat="false" ht="16.5" hidden="false" customHeight="true" outlineLevel="0" collapsed="false">
      <c r="A7" s="12" t="n">
        <v>1</v>
      </c>
      <c r="B7" s="12" t="s">
        <v>81</v>
      </c>
      <c r="C7" s="56" t="s">
        <v>82</v>
      </c>
      <c r="D7" s="57" t="n">
        <v>5.5</v>
      </c>
      <c r="E7" s="57" t="n">
        <v>4</v>
      </c>
      <c r="F7" s="57" t="n">
        <v>4</v>
      </c>
      <c r="G7" s="57" t="n">
        <v>3.2</v>
      </c>
      <c r="H7" s="57" t="n">
        <v>4.6</v>
      </c>
      <c r="I7" s="57" t="n">
        <v>5.7</v>
      </c>
      <c r="J7" s="57" t="n">
        <v>5.6</v>
      </c>
      <c r="K7" s="57" t="n">
        <v>5.1</v>
      </c>
      <c r="L7" s="57" t="n">
        <v>5.8</v>
      </c>
      <c r="M7" s="57" t="n">
        <v>4.9</v>
      </c>
      <c r="N7" s="57" t="n">
        <v>1.8</v>
      </c>
      <c r="O7" s="57" t="n">
        <v>1.5</v>
      </c>
      <c r="P7" s="57" t="n">
        <v>1.1</v>
      </c>
      <c r="Q7" s="57" t="n">
        <v>1.2</v>
      </c>
      <c r="R7" s="57" t="n">
        <v>1.1</v>
      </c>
      <c r="S7" s="57" t="n">
        <v>1.8</v>
      </c>
      <c r="T7" s="57" t="n">
        <v>1</v>
      </c>
      <c r="U7" s="57" t="n">
        <v>1.6</v>
      </c>
      <c r="V7" s="57" t="n">
        <v>1.4</v>
      </c>
      <c r="W7" s="57" t="n">
        <v>1.8</v>
      </c>
      <c r="X7" s="57" t="n">
        <v>15.5</v>
      </c>
      <c r="Y7" s="57" t="n">
        <v>16.1</v>
      </c>
      <c r="Z7" s="57" t="n">
        <v>10.9</v>
      </c>
      <c r="AA7" s="57" t="n">
        <v>13.1</v>
      </c>
      <c r="AB7" s="57" t="n">
        <v>20</v>
      </c>
      <c r="AC7" s="58" t="n">
        <f aca="false">(SUM(D7:H7)+SUM(I7:M7))/2+SUM(N7:R7)+SUM(S7:W7)</f>
        <v>38.5</v>
      </c>
      <c r="AD7" s="59" t="n">
        <f aca="false">SUM(X7:AB7)/100*50</f>
        <v>37.8</v>
      </c>
      <c r="AE7" s="60" t="n">
        <f aca="false">AC7+AD7</f>
        <v>76.3</v>
      </c>
    </row>
    <row r="8" customFormat="false" ht="16.5" hidden="false" customHeight="true" outlineLevel="0" collapsed="false">
      <c r="A8" s="27" t="n">
        <v>2</v>
      </c>
      <c r="B8" s="27" t="s">
        <v>83</v>
      </c>
      <c r="C8" s="61" t="s">
        <v>84</v>
      </c>
      <c r="D8" s="62" t="n">
        <v>5.2</v>
      </c>
      <c r="E8" s="62" t="n">
        <v>4.6</v>
      </c>
      <c r="F8" s="62" t="n">
        <v>5.3</v>
      </c>
      <c r="G8" s="62" t="n">
        <v>5.5</v>
      </c>
      <c r="H8" s="62" t="n">
        <v>3.2</v>
      </c>
      <c r="I8" s="62" t="n">
        <v>5.9</v>
      </c>
      <c r="J8" s="62" t="n">
        <v>4.9</v>
      </c>
      <c r="K8" s="62" t="n">
        <v>4.3</v>
      </c>
      <c r="L8" s="62" t="n">
        <v>5</v>
      </c>
      <c r="M8" s="62" t="n">
        <v>4</v>
      </c>
      <c r="N8" s="62" t="n">
        <v>1.9</v>
      </c>
      <c r="O8" s="62" t="n">
        <v>1.8</v>
      </c>
      <c r="P8" s="62" t="n">
        <v>1.6</v>
      </c>
      <c r="Q8" s="62" t="n">
        <v>1.2</v>
      </c>
      <c r="R8" s="62" t="n">
        <v>2</v>
      </c>
      <c r="S8" s="62" t="n">
        <v>1.4</v>
      </c>
      <c r="T8" s="62" t="n">
        <v>1.9</v>
      </c>
      <c r="U8" s="62" t="n">
        <v>1.1</v>
      </c>
      <c r="V8" s="62" t="n">
        <v>1.1</v>
      </c>
      <c r="W8" s="62" t="n">
        <v>1.2</v>
      </c>
      <c r="X8" s="62" t="n">
        <v>11.6</v>
      </c>
      <c r="Y8" s="62" t="n">
        <v>13.2</v>
      </c>
      <c r="Z8" s="62" t="n">
        <v>17.1</v>
      </c>
      <c r="AA8" s="62" t="n">
        <v>13.5</v>
      </c>
      <c r="AB8" s="62" t="n">
        <v>19.4</v>
      </c>
      <c r="AC8" s="58" t="n">
        <f aca="false">(SUM(D8:H8)+SUM(I8:M8))/2+SUM(N8:R8)+SUM(S8:W8)</f>
        <v>39.15</v>
      </c>
      <c r="AD8" s="59" t="n">
        <f aca="false">SUM(X8:AB8)/100*50</f>
        <v>37.4</v>
      </c>
      <c r="AE8" s="60" t="n">
        <f aca="false">AC8+AD8</f>
        <v>76.55</v>
      </c>
    </row>
    <row r="9" customFormat="false" ht="16.5" hidden="false" customHeight="true" outlineLevel="0" collapsed="false">
      <c r="A9" s="12" t="n">
        <v>3</v>
      </c>
      <c r="B9" s="12" t="s">
        <v>85</v>
      </c>
      <c r="C9" s="56" t="s">
        <v>86</v>
      </c>
      <c r="D9" s="57" t="n">
        <v>5.7</v>
      </c>
      <c r="E9" s="57" t="n">
        <v>5.5</v>
      </c>
      <c r="F9" s="57" t="n">
        <v>3.8</v>
      </c>
      <c r="G9" s="57" t="n">
        <v>4.9</v>
      </c>
      <c r="H9" s="57" t="n">
        <v>4.7</v>
      </c>
      <c r="I9" s="57" t="n">
        <v>3.4</v>
      </c>
      <c r="J9" s="57" t="n">
        <v>3.9</v>
      </c>
      <c r="K9" s="57" t="n">
        <v>4.6</v>
      </c>
      <c r="L9" s="57" t="n">
        <v>4.5</v>
      </c>
      <c r="M9" s="57" t="n">
        <v>3.5</v>
      </c>
      <c r="N9" s="57" t="n">
        <v>1.9</v>
      </c>
      <c r="O9" s="57" t="n">
        <v>1.2</v>
      </c>
      <c r="P9" s="57" t="n">
        <v>1.7</v>
      </c>
      <c r="Q9" s="57" t="n">
        <v>1.7</v>
      </c>
      <c r="R9" s="57" t="n">
        <v>1.6</v>
      </c>
      <c r="S9" s="57" t="n">
        <v>1.8</v>
      </c>
      <c r="T9" s="57" t="n">
        <v>1.6</v>
      </c>
      <c r="U9" s="57" t="n">
        <v>1.8</v>
      </c>
      <c r="V9" s="57" t="n">
        <v>1</v>
      </c>
      <c r="W9" s="57" t="n">
        <v>1</v>
      </c>
      <c r="X9" s="57" t="n">
        <v>16.4</v>
      </c>
      <c r="Y9" s="57" t="n">
        <v>15.8</v>
      </c>
      <c r="Z9" s="57" t="n">
        <v>16.5</v>
      </c>
      <c r="AA9" s="57" t="n">
        <v>17.7</v>
      </c>
      <c r="AB9" s="57" t="n">
        <v>14.2</v>
      </c>
      <c r="AC9" s="58" t="n">
        <f aca="false">(SUM(D9:H9)+SUM(I9:M9))/2+SUM(N9:R9)+SUM(S9:W9)</f>
        <v>37.55</v>
      </c>
      <c r="AD9" s="59" t="n">
        <f aca="false">SUM(X9:AB9)/100*50</f>
        <v>40.3</v>
      </c>
      <c r="AE9" s="60" t="n">
        <f aca="false">AC9+AD9</f>
        <v>77.85</v>
      </c>
    </row>
    <row r="10" customFormat="false" ht="16.5" hidden="false" customHeight="true" outlineLevel="0" collapsed="false">
      <c r="A10" s="27" t="n">
        <v>4</v>
      </c>
      <c r="B10" s="27" t="s">
        <v>87</v>
      </c>
      <c r="C10" s="61" t="s">
        <v>88</v>
      </c>
      <c r="D10" s="62" t="n">
        <v>4.9</v>
      </c>
      <c r="E10" s="62" t="n">
        <v>4.5</v>
      </c>
      <c r="F10" s="62" t="n">
        <v>4.9</v>
      </c>
      <c r="G10" s="62" t="n">
        <v>3.9</v>
      </c>
      <c r="H10" s="62" t="n">
        <v>5.9</v>
      </c>
      <c r="I10" s="62" t="n">
        <v>4.4</v>
      </c>
      <c r="J10" s="62" t="n">
        <v>5.4</v>
      </c>
      <c r="K10" s="62" t="n">
        <v>5.1</v>
      </c>
      <c r="L10" s="62" t="n">
        <v>3.9</v>
      </c>
      <c r="M10" s="62" t="n">
        <v>3.2</v>
      </c>
      <c r="N10" s="62" t="n">
        <v>1.1</v>
      </c>
      <c r="O10" s="62" t="n">
        <v>1.4</v>
      </c>
      <c r="P10" s="62" t="n">
        <v>1.5</v>
      </c>
      <c r="Q10" s="62" t="n">
        <v>1.2</v>
      </c>
      <c r="R10" s="62" t="n">
        <v>1.6</v>
      </c>
      <c r="S10" s="62" t="n">
        <v>1.3</v>
      </c>
      <c r="T10" s="62" t="n">
        <v>1.7</v>
      </c>
      <c r="U10" s="62" t="n">
        <v>1.7</v>
      </c>
      <c r="V10" s="62" t="n">
        <v>1.9</v>
      </c>
      <c r="W10" s="62" t="n">
        <v>2</v>
      </c>
      <c r="X10" s="62" t="n">
        <v>11.3</v>
      </c>
      <c r="Y10" s="62" t="n">
        <v>13.7</v>
      </c>
      <c r="Z10" s="62" t="n">
        <v>15.6</v>
      </c>
      <c r="AA10" s="62" t="n">
        <v>13.2</v>
      </c>
      <c r="AB10" s="62" t="n">
        <v>14.7</v>
      </c>
      <c r="AC10" s="58" t="n">
        <f aca="false">(SUM(D10:H10)+SUM(I10:M10))/2+SUM(N10:R10)+SUM(S10:W10)</f>
        <v>38.45</v>
      </c>
      <c r="AD10" s="59" t="n">
        <f aca="false">SUM(X10:AB10)/100*50</f>
        <v>34.25</v>
      </c>
      <c r="AE10" s="60" t="n">
        <f aca="false">AC10+AD10</f>
        <v>72.7</v>
      </c>
    </row>
    <row r="11" customFormat="false" ht="16.5" hidden="false" customHeight="true" outlineLevel="0" collapsed="false">
      <c r="A11" s="12" t="n">
        <v>5</v>
      </c>
      <c r="B11" s="12" t="s">
        <v>89</v>
      </c>
      <c r="C11" s="56" t="s">
        <v>90</v>
      </c>
      <c r="D11" s="57" t="n">
        <v>3.8</v>
      </c>
      <c r="E11" s="57" t="n">
        <v>3.7</v>
      </c>
      <c r="F11" s="57" t="n">
        <v>3.3</v>
      </c>
      <c r="G11" s="57" t="n">
        <v>3.9</v>
      </c>
      <c r="H11" s="57" t="n">
        <v>4.2</v>
      </c>
      <c r="I11" s="57" t="n">
        <v>4.8</v>
      </c>
      <c r="J11" s="57" t="n">
        <v>3.7</v>
      </c>
      <c r="K11" s="57" t="n">
        <v>5.6</v>
      </c>
      <c r="L11" s="57" t="n">
        <v>3.5</v>
      </c>
      <c r="M11" s="57" t="n">
        <v>4</v>
      </c>
      <c r="N11" s="57" t="n">
        <v>1.6</v>
      </c>
      <c r="O11" s="57" t="n">
        <v>1.3</v>
      </c>
      <c r="P11" s="57" t="n">
        <v>1.8</v>
      </c>
      <c r="Q11" s="57" t="n">
        <v>1.5</v>
      </c>
      <c r="R11" s="57" t="n">
        <v>1.5</v>
      </c>
      <c r="S11" s="57" t="n">
        <v>1.5</v>
      </c>
      <c r="T11" s="57" t="n">
        <v>1.3</v>
      </c>
      <c r="U11" s="57" t="n">
        <v>1</v>
      </c>
      <c r="V11" s="57" t="n">
        <v>1.9</v>
      </c>
      <c r="W11" s="57" t="n">
        <v>1.5</v>
      </c>
      <c r="X11" s="57" t="n">
        <v>19.7</v>
      </c>
      <c r="Y11" s="57" t="n">
        <v>12.2</v>
      </c>
      <c r="Z11" s="57" t="n">
        <v>13.5</v>
      </c>
      <c r="AA11" s="57" t="n">
        <v>10.5</v>
      </c>
      <c r="AB11" s="57" t="n">
        <v>14.9</v>
      </c>
      <c r="AC11" s="58" t="n">
        <f aca="false">(SUM(D11:H11)+SUM(I11:M11))/2+SUM(N11:R11)+SUM(S11:W11)</f>
        <v>35.15</v>
      </c>
      <c r="AD11" s="59" t="n">
        <f aca="false">SUM(X11:AB11)/100*50</f>
        <v>35.4</v>
      </c>
      <c r="AE11" s="60" t="n">
        <f aca="false">AC11+AD11</f>
        <v>70.55</v>
      </c>
    </row>
    <row r="12" customFormat="false" ht="16.5" hidden="false" customHeight="true" outlineLevel="0" collapsed="false">
      <c r="A12" s="27" t="n">
        <v>6</v>
      </c>
      <c r="B12" s="27" t="s">
        <v>91</v>
      </c>
      <c r="C12" s="61" t="s">
        <v>92</v>
      </c>
      <c r="D12" s="62" t="n">
        <v>5.6</v>
      </c>
      <c r="E12" s="62" t="n">
        <v>5</v>
      </c>
      <c r="F12" s="62" t="n">
        <v>4.4</v>
      </c>
      <c r="G12" s="62" t="n">
        <v>4.6</v>
      </c>
      <c r="H12" s="62" t="n">
        <v>5.5</v>
      </c>
      <c r="I12" s="62" t="n">
        <v>4.3</v>
      </c>
      <c r="J12" s="62" t="n">
        <v>5.6</v>
      </c>
      <c r="K12" s="62" t="n">
        <v>5.2</v>
      </c>
      <c r="L12" s="62" t="n">
        <v>5.3</v>
      </c>
      <c r="M12" s="62" t="n">
        <v>4.1</v>
      </c>
      <c r="N12" s="62" t="n">
        <v>1.4</v>
      </c>
      <c r="O12" s="62" t="n">
        <v>1.6</v>
      </c>
      <c r="P12" s="62" t="n">
        <v>1.2</v>
      </c>
      <c r="Q12" s="62" t="n">
        <v>1.6</v>
      </c>
      <c r="R12" s="62" t="n">
        <v>1.1</v>
      </c>
      <c r="S12" s="62" t="n">
        <v>1.5</v>
      </c>
      <c r="T12" s="62" t="n">
        <v>1.8</v>
      </c>
      <c r="U12" s="62" t="n">
        <v>1.3</v>
      </c>
      <c r="V12" s="62" t="n">
        <v>2</v>
      </c>
      <c r="W12" s="62" t="n">
        <v>1.7</v>
      </c>
      <c r="X12" s="62" t="n">
        <v>11.2</v>
      </c>
      <c r="Y12" s="62" t="n">
        <v>19.8</v>
      </c>
      <c r="Z12" s="62" t="n">
        <v>13.9</v>
      </c>
      <c r="AA12" s="62" t="n">
        <v>17.9</v>
      </c>
      <c r="AB12" s="62" t="n">
        <v>13.4</v>
      </c>
      <c r="AC12" s="58" t="n">
        <f aca="false">(SUM(D12:H12)+SUM(I12:M12))/2+SUM(N12:R12)+SUM(S12:W12)</f>
        <v>40</v>
      </c>
      <c r="AD12" s="59" t="n">
        <f aca="false">SUM(X12:AB12)/100*50</f>
        <v>38.1</v>
      </c>
      <c r="AE12" s="60" t="n">
        <f aca="false">AC12+AD12</f>
        <v>78.1</v>
      </c>
    </row>
    <row r="13" customFormat="false" ht="16.5" hidden="false" customHeight="true" outlineLevel="0" collapsed="false">
      <c r="A13" s="12" t="n">
        <v>7</v>
      </c>
      <c r="B13" s="12" t="s">
        <v>93</v>
      </c>
      <c r="C13" s="56" t="s">
        <v>94</v>
      </c>
      <c r="D13" s="57" t="n">
        <v>5.8</v>
      </c>
      <c r="E13" s="57" t="n">
        <v>5.3</v>
      </c>
      <c r="F13" s="57" t="n">
        <v>3.6</v>
      </c>
      <c r="G13" s="57" t="n">
        <v>4.5</v>
      </c>
      <c r="H13" s="57" t="n">
        <v>4.5</v>
      </c>
      <c r="I13" s="57" t="n">
        <v>3.1</v>
      </c>
      <c r="J13" s="57" t="n">
        <v>3.4</v>
      </c>
      <c r="K13" s="57" t="n">
        <v>4</v>
      </c>
      <c r="L13" s="57" t="n">
        <v>4.4</v>
      </c>
      <c r="M13" s="57" t="n">
        <v>4.4</v>
      </c>
      <c r="N13" s="57" t="n">
        <v>1.6</v>
      </c>
      <c r="O13" s="57" t="n">
        <v>1.5</v>
      </c>
      <c r="P13" s="57" t="n">
        <v>1.3</v>
      </c>
      <c r="Q13" s="57" t="n">
        <v>1.6</v>
      </c>
      <c r="R13" s="57" t="n">
        <v>1.2</v>
      </c>
      <c r="S13" s="57" t="n">
        <v>2</v>
      </c>
      <c r="T13" s="57" t="n">
        <v>1.7</v>
      </c>
      <c r="U13" s="57" t="n">
        <v>1.3</v>
      </c>
      <c r="V13" s="57" t="n">
        <v>1.3</v>
      </c>
      <c r="W13" s="57" t="n">
        <v>1.8</v>
      </c>
      <c r="X13" s="57" t="n">
        <v>15.3</v>
      </c>
      <c r="Y13" s="57" t="n">
        <v>17.1</v>
      </c>
      <c r="Z13" s="57" t="n">
        <v>13</v>
      </c>
      <c r="AA13" s="57" t="n">
        <v>18.2</v>
      </c>
      <c r="AB13" s="57" t="n">
        <v>13.7</v>
      </c>
      <c r="AC13" s="58" t="n">
        <f aca="false">(SUM(D13:H13)+SUM(I13:M13))/2+SUM(N13:R13)+SUM(S13:W13)</f>
        <v>36.8</v>
      </c>
      <c r="AD13" s="59" t="n">
        <f aca="false">SUM(X13:AB13)/100*50</f>
        <v>38.65</v>
      </c>
      <c r="AE13" s="60" t="n">
        <f aca="false">AC13+AD13</f>
        <v>75.45</v>
      </c>
    </row>
    <row r="14" customFormat="false" ht="16.5" hidden="false" customHeight="true" outlineLevel="0" collapsed="false">
      <c r="A14" s="27" t="n">
        <v>8</v>
      </c>
      <c r="B14" s="27" t="s">
        <v>95</v>
      </c>
      <c r="C14" s="61" t="s">
        <v>96</v>
      </c>
      <c r="D14" s="62" t="n">
        <v>5</v>
      </c>
      <c r="E14" s="62" t="n">
        <v>5.9</v>
      </c>
      <c r="F14" s="62" t="n">
        <v>4.8</v>
      </c>
      <c r="G14" s="62" t="n">
        <v>5.4</v>
      </c>
      <c r="H14" s="62" t="n">
        <v>5.2</v>
      </c>
      <c r="I14" s="62" t="n">
        <v>5.1</v>
      </c>
      <c r="J14" s="62" t="n">
        <v>3.1</v>
      </c>
      <c r="K14" s="62" t="n">
        <v>4.4</v>
      </c>
      <c r="L14" s="62" t="n">
        <v>5.9</v>
      </c>
      <c r="M14" s="62" t="n">
        <v>5.3</v>
      </c>
      <c r="N14" s="62" t="n">
        <v>1.8</v>
      </c>
      <c r="O14" s="62" t="n">
        <v>1.6</v>
      </c>
      <c r="P14" s="62" t="n">
        <v>1.7</v>
      </c>
      <c r="Q14" s="62" t="n">
        <v>1.6</v>
      </c>
      <c r="R14" s="62" t="n">
        <v>1.2</v>
      </c>
      <c r="S14" s="62" t="n">
        <v>1.6</v>
      </c>
      <c r="T14" s="62" t="n">
        <v>1.6</v>
      </c>
      <c r="U14" s="62" t="n">
        <v>1.8</v>
      </c>
      <c r="V14" s="62" t="n">
        <v>1.1</v>
      </c>
      <c r="W14" s="62" t="n">
        <v>1.7</v>
      </c>
      <c r="X14" s="62" t="n">
        <v>10.3</v>
      </c>
      <c r="Y14" s="62" t="n">
        <v>19.5</v>
      </c>
      <c r="Z14" s="62" t="n">
        <v>11.1</v>
      </c>
      <c r="AA14" s="62" t="n">
        <v>10.2</v>
      </c>
      <c r="AB14" s="62" t="n">
        <v>13.1</v>
      </c>
      <c r="AC14" s="58" t="n">
        <f aca="false">(SUM(D14:H14)+SUM(I14:M14))/2+SUM(N14:R14)+SUM(S14:W14)</f>
        <v>40.75</v>
      </c>
      <c r="AD14" s="59" t="n">
        <f aca="false">SUM(X14:AB14)/100*50</f>
        <v>32.1</v>
      </c>
      <c r="AE14" s="60" t="n">
        <f aca="false">AC14+AD14</f>
        <v>72.85</v>
      </c>
    </row>
    <row r="15" customFormat="false" ht="16.5" hidden="false" customHeight="true" outlineLevel="0" collapsed="false">
      <c r="A15" s="12" t="n">
        <v>9</v>
      </c>
      <c r="B15" s="12" t="s">
        <v>97</v>
      </c>
      <c r="C15" s="56" t="s">
        <v>98</v>
      </c>
      <c r="D15" s="57" t="n">
        <v>3.5</v>
      </c>
      <c r="E15" s="57" t="n">
        <v>5.1</v>
      </c>
      <c r="F15" s="57" t="n">
        <v>4.2</v>
      </c>
      <c r="G15" s="57" t="n">
        <v>5.3</v>
      </c>
      <c r="H15" s="57" t="n">
        <v>5.8</v>
      </c>
      <c r="I15" s="57" t="n">
        <v>5.6</v>
      </c>
      <c r="J15" s="57" t="n">
        <v>5.2</v>
      </c>
      <c r="K15" s="57" t="n">
        <v>3.2</v>
      </c>
      <c r="L15" s="57" t="n">
        <v>3.4</v>
      </c>
      <c r="M15" s="57" t="n">
        <v>3.6</v>
      </c>
      <c r="N15" s="57" t="n">
        <v>1.3</v>
      </c>
      <c r="O15" s="57" t="n">
        <v>1.7</v>
      </c>
      <c r="P15" s="57" t="n">
        <v>1.5</v>
      </c>
      <c r="Q15" s="57" t="n">
        <v>1.3</v>
      </c>
      <c r="R15" s="57" t="n">
        <v>1.2</v>
      </c>
      <c r="S15" s="57" t="n">
        <v>1.9</v>
      </c>
      <c r="T15" s="57" t="n">
        <v>1.3</v>
      </c>
      <c r="U15" s="57" t="n">
        <v>1.4</v>
      </c>
      <c r="V15" s="57" t="n">
        <v>1.8</v>
      </c>
      <c r="W15" s="57" t="n">
        <v>1.7</v>
      </c>
      <c r="X15" s="57" t="n">
        <v>16.4</v>
      </c>
      <c r="Y15" s="57" t="n">
        <v>16.9</v>
      </c>
      <c r="Z15" s="57" t="n">
        <v>16.1</v>
      </c>
      <c r="AA15" s="57" t="n">
        <v>11.9</v>
      </c>
      <c r="AB15" s="57" t="n">
        <v>12.5</v>
      </c>
      <c r="AC15" s="58" t="n">
        <f aca="false">(SUM(D15:H15)+SUM(I15:M15))/2+SUM(N15:R15)+SUM(S15:W15)</f>
        <v>37.55</v>
      </c>
      <c r="AD15" s="59" t="n">
        <f aca="false">SUM(X15:AB15)/100*50</f>
        <v>36.9</v>
      </c>
      <c r="AE15" s="60" t="n">
        <f aca="false">AC15+AD15</f>
        <v>74.45</v>
      </c>
    </row>
    <row r="16" customFormat="false" ht="16.5" hidden="false" customHeight="true" outlineLevel="0" collapsed="false">
      <c r="A16" s="27" t="n">
        <v>10</v>
      </c>
      <c r="B16" s="27" t="s">
        <v>99</v>
      </c>
      <c r="C16" s="61" t="s">
        <v>100</v>
      </c>
      <c r="D16" s="62" t="n">
        <v>4.7</v>
      </c>
      <c r="E16" s="62" t="n">
        <v>3.7</v>
      </c>
      <c r="F16" s="62" t="n">
        <v>5.9</v>
      </c>
      <c r="G16" s="62" t="n">
        <v>3.9</v>
      </c>
      <c r="H16" s="62" t="n">
        <v>3.9</v>
      </c>
      <c r="I16" s="62" t="n">
        <v>3.6</v>
      </c>
      <c r="J16" s="62" t="n">
        <v>5.1</v>
      </c>
      <c r="K16" s="62" t="n">
        <v>4</v>
      </c>
      <c r="L16" s="62" t="n">
        <v>4</v>
      </c>
      <c r="M16" s="62" t="n">
        <v>5.8</v>
      </c>
      <c r="N16" s="62" t="n">
        <v>1.8</v>
      </c>
      <c r="O16" s="62" t="n">
        <v>1.3</v>
      </c>
      <c r="P16" s="62" t="n">
        <v>1.1</v>
      </c>
      <c r="Q16" s="62" t="n">
        <v>1.7</v>
      </c>
      <c r="R16" s="62" t="n">
        <v>1.4</v>
      </c>
      <c r="S16" s="62" t="n">
        <v>2</v>
      </c>
      <c r="T16" s="62" t="n">
        <v>1.8</v>
      </c>
      <c r="U16" s="62" t="n">
        <v>2</v>
      </c>
      <c r="V16" s="62" t="n">
        <v>1.8</v>
      </c>
      <c r="W16" s="62" t="n">
        <v>1.3</v>
      </c>
      <c r="X16" s="62" t="n">
        <v>12.9</v>
      </c>
      <c r="Y16" s="62" t="n">
        <v>17.1</v>
      </c>
      <c r="Z16" s="62" t="n">
        <v>13.5</v>
      </c>
      <c r="AA16" s="62" t="n">
        <v>14.4</v>
      </c>
      <c r="AB16" s="62" t="n">
        <v>12.6</v>
      </c>
      <c r="AC16" s="58" t="n">
        <f aca="false">(SUM(D16:H16)+SUM(I16:M16))/2+SUM(N16:R16)+SUM(S16:W16)</f>
        <v>38.5</v>
      </c>
      <c r="AD16" s="59" t="n">
        <f aca="false">SUM(X16:AB16)/100*50</f>
        <v>35.25</v>
      </c>
      <c r="AE16" s="60" t="n">
        <f aca="false">AC16+AD16</f>
        <v>73.75</v>
      </c>
    </row>
    <row r="17" customFormat="false" ht="16.5" hidden="false" customHeight="true" outlineLevel="0" collapsed="false">
      <c r="A17" s="12" t="n">
        <v>11</v>
      </c>
      <c r="B17" s="12" t="s">
        <v>101</v>
      </c>
      <c r="C17" s="56" t="s">
        <v>102</v>
      </c>
      <c r="D17" s="57" t="n">
        <v>4.4</v>
      </c>
      <c r="E17" s="57" t="n">
        <v>3.6</v>
      </c>
      <c r="F17" s="57" t="n">
        <v>4.6</v>
      </c>
      <c r="G17" s="57" t="n">
        <v>5.8</v>
      </c>
      <c r="H17" s="57" t="n">
        <v>5.1</v>
      </c>
      <c r="I17" s="57" t="n">
        <v>3.4</v>
      </c>
      <c r="J17" s="57" t="n">
        <v>4.8</v>
      </c>
      <c r="K17" s="57" t="n">
        <v>4.8</v>
      </c>
      <c r="L17" s="57" t="n">
        <v>3.7</v>
      </c>
      <c r="M17" s="57" t="n">
        <v>5</v>
      </c>
      <c r="N17" s="57" t="n">
        <v>1.5</v>
      </c>
      <c r="O17" s="57" t="n">
        <v>1.6</v>
      </c>
      <c r="P17" s="57" t="n">
        <v>1.1</v>
      </c>
      <c r="Q17" s="57" t="n">
        <v>1.4</v>
      </c>
      <c r="R17" s="57" t="n">
        <v>1.7</v>
      </c>
      <c r="S17" s="57" t="n">
        <v>1.1</v>
      </c>
      <c r="T17" s="57" t="n">
        <v>1.8</v>
      </c>
      <c r="U17" s="57" t="n">
        <v>1</v>
      </c>
      <c r="V17" s="57" t="n">
        <v>1.6</v>
      </c>
      <c r="W17" s="57" t="n">
        <v>1.9</v>
      </c>
      <c r="X17" s="57" t="n">
        <v>14.1</v>
      </c>
      <c r="Y17" s="57" t="n">
        <v>19.4</v>
      </c>
      <c r="Z17" s="57" t="n">
        <v>18.8</v>
      </c>
      <c r="AA17" s="57" t="n">
        <v>14.8</v>
      </c>
      <c r="AB17" s="57" t="n">
        <v>12</v>
      </c>
      <c r="AC17" s="58" t="n">
        <f aca="false">(SUM(D17:H17)+SUM(I17:M17))/2+SUM(N17:R17)+SUM(S17:W17)</f>
        <v>37.3</v>
      </c>
      <c r="AD17" s="59" t="n">
        <f aca="false">SUM(X17:AB17)/100*50</f>
        <v>39.55</v>
      </c>
      <c r="AE17" s="60" t="n">
        <f aca="false">AC17+AD17</f>
        <v>76.85</v>
      </c>
    </row>
    <row r="18" customFormat="false" ht="16.5" hidden="false" customHeight="true" outlineLevel="0" collapsed="false">
      <c r="A18" s="27" t="n">
        <v>12</v>
      </c>
      <c r="B18" s="27" t="s">
        <v>103</v>
      </c>
      <c r="C18" s="61" t="s">
        <v>104</v>
      </c>
      <c r="D18" s="62" t="n">
        <v>5.9</v>
      </c>
      <c r="E18" s="62" t="n">
        <v>4</v>
      </c>
      <c r="F18" s="62" t="n">
        <v>4.9</v>
      </c>
      <c r="G18" s="62" t="n">
        <v>5.7</v>
      </c>
      <c r="H18" s="62" t="n">
        <v>3.3</v>
      </c>
      <c r="I18" s="62" t="n">
        <v>4.7</v>
      </c>
      <c r="J18" s="62" t="n">
        <v>4.6</v>
      </c>
      <c r="K18" s="62" t="n">
        <v>5.2</v>
      </c>
      <c r="L18" s="62" t="n">
        <v>5.8</v>
      </c>
      <c r="M18" s="62" t="n">
        <v>5.7</v>
      </c>
      <c r="N18" s="62" t="n">
        <v>1.2</v>
      </c>
      <c r="O18" s="62" t="n">
        <v>1.9</v>
      </c>
      <c r="P18" s="62" t="n">
        <v>1.2</v>
      </c>
      <c r="Q18" s="62" t="n">
        <v>1.9</v>
      </c>
      <c r="R18" s="62" t="n">
        <v>2</v>
      </c>
      <c r="S18" s="62" t="n">
        <v>1.4</v>
      </c>
      <c r="T18" s="62" t="n">
        <v>1.5</v>
      </c>
      <c r="U18" s="62" t="n">
        <v>1.9</v>
      </c>
      <c r="V18" s="62" t="n">
        <v>2</v>
      </c>
      <c r="W18" s="62" t="n">
        <v>1.9</v>
      </c>
      <c r="X18" s="62" t="n">
        <v>18.8</v>
      </c>
      <c r="Y18" s="62" t="n">
        <v>10.1</v>
      </c>
      <c r="Z18" s="62" t="n">
        <v>15.7</v>
      </c>
      <c r="AA18" s="62" t="n">
        <v>11.1</v>
      </c>
      <c r="AB18" s="62" t="n">
        <v>19.8</v>
      </c>
      <c r="AC18" s="58" t="n">
        <f aca="false">(SUM(D18:H18)+SUM(I18:M18))/2+SUM(N18:R18)+SUM(S18:W18)</f>
        <v>41.8</v>
      </c>
      <c r="AD18" s="59" t="n">
        <f aca="false">SUM(X18:AB18)/100*50</f>
        <v>37.75</v>
      </c>
      <c r="AE18" s="60" t="n">
        <f aca="false">AC18+AD18</f>
        <v>79.55</v>
      </c>
    </row>
    <row r="19" customFormat="false" ht="16.5" hidden="false" customHeight="true" outlineLevel="0" collapsed="false">
      <c r="A19" s="12" t="n">
        <v>13</v>
      </c>
      <c r="B19" s="12" t="s">
        <v>105</v>
      </c>
      <c r="C19" s="56" t="s">
        <v>106</v>
      </c>
      <c r="D19" s="57" t="n">
        <v>3.9</v>
      </c>
      <c r="E19" s="57" t="n">
        <v>6</v>
      </c>
      <c r="F19" s="57" t="n">
        <v>4.6</v>
      </c>
      <c r="G19" s="57" t="n">
        <v>4.5</v>
      </c>
      <c r="H19" s="57" t="n">
        <v>5.8</v>
      </c>
      <c r="I19" s="57" t="n">
        <v>5.6</v>
      </c>
      <c r="J19" s="57" t="n">
        <v>4.4</v>
      </c>
      <c r="K19" s="57" t="n">
        <v>3.6</v>
      </c>
      <c r="L19" s="57" t="n">
        <v>3.3</v>
      </c>
      <c r="M19" s="57" t="n">
        <v>3.5</v>
      </c>
      <c r="N19" s="57" t="n">
        <v>1.5</v>
      </c>
      <c r="O19" s="57" t="n">
        <v>1.3</v>
      </c>
      <c r="P19" s="57" t="n">
        <v>1.2</v>
      </c>
      <c r="Q19" s="57" t="n">
        <v>1.7</v>
      </c>
      <c r="R19" s="57" t="n">
        <v>1.8</v>
      </c>
      <c r="S19" s="57" t="n">
        <v>1.6</v>
      </c>
      <c r="T19" s="57" t="n">
        <v>1.8</v>
      </c>
      <c r="U19" s="57" t="n">
        <v>1.2</v>
      </c>
      <c r="V19" s="57" t="n">
        <v>1.9</v>
      </c>
      <c r="W19" s="57" t="n">
        <v>1.9</v>
      </c>
      <c r="X19" s="57" t="n">
        <v>18.3</v>
      </c>
      <c r="Y19" s="57" t="n">
        <v>15.2</v>
      </c>
      <c r="Z19" s="57" t="n">
        <v>10.9</v>
      </c>
      <c r="AA19" s="57" t="n">
        <v>16.7</v>
      </c>
      <c r="AB19" s="57" t="n">
        <v>11.8</v>
      </c>
      <c r="AC19" s="58" t="n">
        <f aca="false">(SUM(D19:H19)+SUM(I19:M19))/2+SUM(N19:R19)+SUM(S19:W19)</f>
        <v>38.5</v>
      </c>
      <c r="AD19" s="59" t="n">
        <f aca="false">SUM(X19:AB19)/100*50</f>
        <v>36.45</v>
      </c>
      <c r="AE19" s="60" t="n">
        <f aca="false">AC19+AD19</f>
        <v>74.95</v>
      </c>
    </row>
    <row r="20" customFormat="false" ht="16.5" hidden="false" customHeight="true" outlineLevel="0" collapsed="false">
      <c r="A20" s="27" t="n">
        <v>14</v>
      </c>
      <c r="B20" s="27" t="s">
        <v>107</v>
      </c>
      <c r="C20" s="61" t="s">
        <v>108</v>
      </c>
      <c r="D20" s="62" t="n">
        <v>3.4</v>
      </c>
      <c r="E20" s="62" t="n">
        <v>4</v>
      </c>
      <c r="F20" s="62" t="n">
        <v>3.7</v>
      </c>
      <c r="G20" s="62" t="n">
        <v>3.8</v>
      </c>
      <c r="H20" s="62" t="n">
        <v>3.7</v>
      </c>
      <c r="I20" s="62" t="n">
        <v>5.3</v>
      </c>
      <c r="J20" s="62" t="n">
        <v>5.9</v>
      </c>
      <c r="K20" s="62" t="n">
        <v>3.9</v>
      </c>
      <c r="L20" s="62" t="n">
        <v>5.2</v>
      </c>
      <c r="M20" s="62" t="n">
        <v>3</v>
      </c>
      <c r="N20" s="62" t="n">
        <v>1.7</v>
      </c>
      <c r="O20" s="62" t="n">
        <v>1.7</v>
      </c>
      <c r="P20" s="62" t="n">
        <v>1.1</v>
      </c>
      <c r="Q20" s="62" t="n">
        <v>1.1</v>
      </c>
      <c r="R20" s="62" t="n">
        <v>1.3</v>
      </c>
      <c r="S20" s="62" t="n">
        <v>1.4</v>
      </c>
      <c r="T20" s="62" t="n">
        <v>1.5</v>
      </c>
      <c r="U20" s="62" t="n">
        <v>1.9</v>
      </c>
      <c r="V20" s="62" t="n">
        <v>1.7</v>
      </c>
      <c r="W20" s="62" t="n">
        <v>1.3</v>
      </c>
      <c r="X20" s="62" t="n">
        <v>11.2</v>
      </c>
      <c r="Y20" s="62" t="n">
        <v>19.2</v>
      </c>
      <c r="Z20" s="62" t="n">
        <v>12.9</v>
      </c>
      <c r="AA20" s="62" t="n">
        <v>16.1</v>
      </c>
      <c r="AB20" s="62" t="n">
        <v>12.2</v>
      </c>
      <c r="AC20" s="58" t="n">
        <f aca="false">(SUM(D20:H20)+SUM(I20:M20))/2+SUM(N20:R20)+SUM(S20:W20)</f>
        <v>35.65</v>
      </c>
      <c r="AD20" s="59" t="n">
        <f aca="false">SUM(X20:AB20)/100*50</f>
        <v>35.8</v>
      </c>
      <c r="AE20" s="60" t="n">
        <f aca="false">AC20+AD20</f>
        <v>71.45</v>
      </c>
    </row>
    <row r="21" customFormat="false" ht="16.5" hidden="false" customHeight="true" outlineLevel="0" collapsed="false">
      <c r="A21" s="12" t="n">
        <v>15</v>
      </c>
      <c r="B21" s="12" t="s">
        <v>109</v>
      </c>
      <c r="C21" s="56" t="s">
        <v>110</v>
      </c>
      <c r="D21" s="57" t="n">
        <v>3.4</v>
      </c>
      <c r="E21" s="57" t="n">
        <v>3.5</v>
      </c>
      <c r="F21" s="57" t="n">
        <v>5.2</v>
      </c>
      <c r="G21" s="57" t="n">
        <v>4.8</v>
      </c>
      <c r="H21" s="57" t="n">
        <v>4.2</v>
      </c>
      <c r="I21" s="57" t="n">
        <v>4.6</v>
      </c>
      <c r="J21" s="57" t="n">
        <v>4.4</v>
      </c>
      <c r="K21" s="57" t="n">
        <v>4.6</v>
      </c>
      <c r="L21" s="57" t="n">
        <v>5</v>
      </c>
      <c r="M21" s="57" t="n">
        <v>3.7</v>
      </c>
      <c r="N21" s="57" t="n">
        <v>1.2</v>
      </c>
      <c r="O21" s="57" t="n">
        <v>1.8</v>
      </c>
      <c r="P21" s="57" t="n">
        <v>1.9</v>
      </c>
      <c r="Q21" s="57" t="n">
        <v>1.1</v>
      </c>
      <c r="R21" s="57" t="n">
        <v>1.4</v>
      </c>
      <c r="S21" s="57" t="n">
        <v>1.7</v>
      </c>
      <c r="T21" s="57" t="n">
        <v>1.1</v>
      </c>
      <c r="U21" s="57" t="n">
        <v>1.6</v>
      </c>
      <c r="V21" s="57" t="n">
        <v>1.1</v>
      </c>
      <c r="W21" s="57" t="n">
        <v>1.5</v>
      </c>
      <c r="X21" s="57" t="n">
        <v>15.1</v>
      </c>
      <c r="Y21" s="57" t="n">
        <v>15.7</v>
      </c>
      <c r="Z21" s="57" t="n">
        <v>11.5</v>
      </c>
      <c r="AA21" s="57" t="n">
        <v>13.3</v>
      </c>
      <c r="AB21" s="57" t="n">
        <v>15.2</v>
      </c>
      <c r="AC21" s="58" t="n">
        <f aca="false">(SUM(D21:H21)+SUM(I21:M21))/2+SUM(N21:R21)+SUM(S21:W21)</f>
        <v>36.1</v>
      </c>
      <c r="AD21" s="59" t="n">
        <f aca="false">SUM(X21:AB21)/100*50</f>
        <v>35.4</v>
      </c>
      <c r="AE21" s="60" t="n">
        <f aca="false">AC21+AD21</f>
        <v>71.5</v>
      </c>
    </row>
    <row r="22" customFormat="false" ht="16.5" hidden="false" customHeight="true" outlineLevel="0" collapsed="false">
      <c r="A22" s="27" t="n">
        <v>16</v>
      </c>
      <c r="B22" s="27" t="s">
        <v>111</v>
      </c>
      <c r="C22" s="61" t="s">
        <v>112</v>
      </c>
      <c r="D22" s="62" t="n">
        <v>3.3</v>
      </c>
      <c r="E22" s="62" t="n">
        <v>3.6</v>
      </c>
      <c r="F22" s="62" t="n">
        <v>4.7</v>
      </c>
      <c r="G22" s="62" t="n">
        <v>3.3</v>
      </c>
      <c r="H22" s="62" t="n">
        <v>4.5</v>
      </c>
      <c r="I22" s="62" t="n">
        <v>5.4</v>
      </c>
      <c r="J22" s="62" t="n">
        <v>4.4</v>
      </c>
      <c r="K22" s="62" t="n">
        <v>4.5</v>
      </c>
      <c r="L22" s="62" t="n">
        <v>4.4</v>
      </c>
      <c r="M22" s="62" t="n">
        <v>3.2</v>
      </c>
      <c r="N22" s="62" t="n">
        <v>1.5</v>
      </c>
      <c r="O22" s="62" t="n">
        <v>1.8</v>
      </c>
      <c r="P22" s="62" t="n">
        <v>1.7</v>
      </c>
      <c r="Q22" s="62" t="n">
        <v>1.4</v>
      </c>
      <c r="R22" s="62" t="n">
        <v>1.8</v>
      </c>
      <c r="S22" s="62" t="n">
        <v>1.7</v>
      </c>
      <c r="T22" s="62" t="n">
        <v>1.6</v>
      </c>
      <c r="U22" s="62" t="n">
        <v>1</v>
      </c>
      <c r="V22" s="62" t="n">
        <v>1.3</v>
      </c>
      <c r="W22" s="62" t="n">
        <v>1.1</v>
      </c>
      <c r="X22" s="62" t="n">
        <v>19.9</v>
      </c>
      <c r="Y22" s="62" t="n">
        <v>19.3</v>
      </c>
      <c r="Z22" s="62" t="n">
        <v>10.7</v>
      </c>
      <c r="AA22" s="62" t="n">
        <v>19.3</v>
      </c>
      <c r="AB22" s="62" t="n">
        <v>10.3</v>
      </c>
      <c r="AC22" s="58" t="n">
        <f aca="false">(SUM(D22:H22)+SUM(I22:M22))/2+SUM(N22:R22)+SUM(S22:W22)</f>
        <v>35.55</v>
      </c>
      <c r="AD22" s="59" t="n">
        <f aca="false">SUM(X22:AB22)/100*50</f>
        <v>39.75</v>
      </c>
      <c r="AE22" s="60" t="n">
        <f aca="false">AC22+AD22</f>
        <v>75.3</v>
      </c>
    </row>
    <row r="23" customFormat="false" ht="16.5" hidden="false" customHeight="true" outlineLevel="0" collapsed="false">
      <c r="A23" s="12" t="n">
        <v>17</v>
      </c>
      <c r="B23" s="12" t="s">
        <v>113</v>
      </c>
      <c r="C23" s="56" t="s">
        <v>114</v>
      </c>
      <c r="D23" s="57" t="n">
        <v>4.2</v>
      </c>
      <c r="E23" s="57" t="n">
        <v>5.3</v>
      </c>
      <c r="F23" s="57" t="n">
        <v>5.3</v>
      </c>
      <c r="G23" s="57" t="n">
        <v>5.9</v>
      </c>
      <c r="H23" s="57" t="n">
        <v>4.9</v>
      </c>
      <c r="I23" s="57" t="n">
        <v>4.3</v>
      </c>
      <c r="J23" s="57" t="n">
        <v>6</v>
      </c>
      <c r="K23" s="57" t="n">
        <v>4.1</v>
      </c>
      <c r="L23" s="57" t="n">
        <v>5.6</v>
      </c>
      <c r="M23" s="57" t="n">
        <v>5.7</v>
      </c>
      <c r="N23" s="57" t="n">
        <v>1.4</v>
      </c>
      <c r="O23" s="57" t="n">
        <v>1.7</v>
      </c>
      <c r="P23" s="57" t="n">
        <v>1.7</v>
      </c>
      <c r="Q23" s="57" t="n">
        <v>1.5</v>
      </c>
      <c r="R23" s="57" t="n">
        <v>1.7</v>
      </c>
      <c r="S23" s="57" t="n">
        <v>1.3</v>
      </c>
      <c r="T23" s="57" t="n">
        <v>1.2</v>
      </c>
      <c r="U23" s="57" t="n">
        <v>1.5</v>
      </c>
      <c r="V23" s="57" t="n">
        <v>1.5</v>
      </c>
      <c r="W23" s="57" t="n">
        <v>1.7</v>
      </c>
      <c r="X23" s="57" t="n">
        <v>12.2</v>
      </c>
      <c r="Y23" s="57" t="n">
        <v>10</v>
      </c>
      <c r="Z23" s="57" t="n">
        <v>10.2</v>
      </c>
      <c r="AA23" s="57" t="n">
        <v>13</v>
      </c>
      <c r="AB23" s="57" t="n">
        <v>16.7</v>
      </c>
      <c r="AC23" s="58" t="n">
        <f aca="false">(SUM(D23:H23)+SUM(I23:M23))/2+SUM(N23:R23)+SUM(S23:W23)</f>
        <v>40.85</v>
      </c>
      <c r="AD23" s="59" t="n">
        <f aca="false">SUM(X23:AB23)/100*50</f>
        <v>31.05</v>
      </c>
      <c r="AE23" s="60" t="n">
        <f aca="false">AC23+AD23</f>
        <v>71.9</v>
      </c>
    </row>
    <row r="24" customFormat="false" ht="16.5" hidden="false" customHeight="true" outlineLevel="0" collapsed="false">
      <c r="A24" s="27" t="n">
        <v>18</v>
      </c>
      <c r="B24" s="27" t="s">
        <v>115</v>
      </c>
      <c r="C24" s="61" t="s">
        <v>116</v>
      </c>
      <c r="D24" s="62" t="n">
        <v>4.6</v>
      </c>
      <c r="E24" s="62" t="n">
        <v>4.6</v>
      </c>
      <c r="F24" s="62" t="n">
        <v>5.5</v>
      </c>
      <c r="G24" s="62" t="n">
        <v>3.7</v>
      </c>
      <c r="H24" s="62" t="n">
        <v>4</v>
      </c>
      <c r="I24" s="62" t="n">
        <v>3.8</v>
      </c>
      <c r="J24" s="62" t="n">
        <v>5.8</v>
      </c>
      <c r="K24" s="62" t="n">
        <v>5.2</v>
      </c>
      <c r="L24" s="62" t="n">
        <v>3.3</v>
      </c>
      <c r="M24" s="62" t="n">
        <v>5.4</v>
      </c>
      <c r="N24" s="62" t="n">
        <v>1.4</v>
      </c>
      <c r="O24" s="62" t="n">
        <v>1.8</v>
      </c>
      <c r="P24" s="62" t="n">
        <v>1.9</v>
      </c>
      <c r="Q24" s="62" t="n">
        <v>1</v>
      </c>
      <c r="R24" s="62" t="n">
        <v>1.2</v>
      </c>
      <c r="S24" s="62" t="n">
        <v>1.1</v>
      </c>
      <c r="T24" s="62" t="n">
        <v>1</v>
      </c>
      <c r="U24" s="62" t="n">
        <v>1.6</v>
      </c>
      <c r="V24" s="62" t="n">
        <v>1.7</v>
      </c>
      <c r="W24" s="62" t="n">
        <v>1</v>
      </c>
      <c r="X24" s="62" t="n">
        <v>17.4</v>
      </c>
      <c r="Y24" s="62" t="n">
        <v>14</v>
      </c>
      <c r="Z24" s="62" t="n">
        <v>12.3</v>
      </c>
      <c r="AA24" s="62" t="n">
        <v>12.2</v>
      </c>
      <c r="AB24" s="62" t="n">
        <v>18.6</v>
      </c>
      <c r="AC24" s="58" t="n">
        <f aca="false">(SUM(D24:H24)+SUM(I24:M24))/2+SUM(N24:R24)+SUM(S24:W24)</f>
        <v>36.65</v>
      </c>
      <c r="AD24" s="59" t="n">
        <f aca="false">SUM(X24:AB24)/100*50</f>
        <v>37.25</v>
      </c>
      <c r="AE24" s="60" t="n">
        <f aca="false">AC24+AD24</f>
        <v>73.9</v>
      </c>
    </row>
    <row r="25" customFormat="false" ht="16.5" hidden="false" customHeight="true" outlineLevel="0" collapsed="false">
      <c r="A25" s="12" t="n">
        <v>19</v>
      </c>
      <c r="B25" s="12" t="s">
        <v>117</v>
      </c>
      <c r="C25" s="56" t="s">
        <v>118</v>
      </c>
      <c r="D25" s="57" t="n">
        <v>3.2</v>
      </c>
      <c r="E25" s="57" t="n">
        <v>4.5</v>
      </c>
      <c r="F25" s="57" t="n">
        <v>3.9</v>
      </c>
      <c r="G25" s="57" t="n">
        <v>5.4</v>
      </c>
      <c r="H25" s="57" t="n">
        <v>5.2</v>
      </c>
      <c r="I25" s="57" t="n">
        <v>4</v>
      </c>
      <c r="J25" s="57" t="n">
        <v>4.8</v>
      </c>
      <c r="K25" s="57" t="n">
        <v>5</v>
      </c>
      <c r="L25" s="57" t="n">
        <v>4</v>
      </c>
      <c r="M25" s="57" t="n">
        <v>3.9</v>
      </c>
      <c r="N25" s="57" t="n">
        <v>1.1</v>
      </c>
      <c r="O25" s="57" t="n">
        <v>1.7</v>
      </c>
      <c r="P25" s="57" t="n">
        <v>1.2</v>
      </c>
      <c r="Q25" s="57" t="n">
        <v>1.3</v>
      </c>
      <c r="R25" s="57" t="n">
        <v>1.1</v>
      </c>
      <c r="S25" s="57" t="n">
        <v>1.9</v>
      </c>
      <c r="T25" s="57" t="n">
        <v>1.9</v>
      </c>
      <c r="U25" s="57" t="n">
        <v>1.9</v>
      </c>
      <c r="V25" s="57" t="n">
        <v>1.6</v>
      </c>
      <c r="W25" s="57" t="n">
        <v>1.4</v>
      </c>
      <c r="X25" s="57" t="n">
        <v>15</v>
      </c>
      <c r="Y25" s="57" t="n">
        <v>19.7</v>
      </c>
      <c r="Z25" s="57" t="n">
        <v>19.4</v>
      </c>
      <c r="AA25" s="57" t="n">
        <v>16.7</v>
      </c>
      <c r="AB25" s="57" t="n">
        <v>17.9</v>
      </c>
      <c r="AC25" s="58" t="n">
        <f aca="false">(SUM(D25:H25)+SUM(I25:M25))/2+SUM(N25:R25)+SUM(S25:W25)</f>
        <v>37.05</v>
      </c>
      <c r="AD25" s="59" t="n">
        <f aca="false">SUM(X25:AB25)/100*50</f>
        <v>44.35</v>
      </c>
      <c r="AE25" s="60" t="n">
        <f aca="false">AC25+AD25</f>
        <v>81.4</v>
      </c>
    </row>
    <row r="26" customFormat="false" ht="16.5" hidden="false" customHeight="true" outlineLevel="0" collapsed="false">
      <c r="A26" s="27" t="n">
        <v>20</v>
      </c>
      <c r="B26" s="27" t="s">
        <v>119</v>
      </c>
      <c r="C26" s="61" t="s">
        <v>120</v>
      </c>
      <c r="D26" s="62" t="n">
        <v>4</v>
      </c>
      <c r="E26" s="62" t="n">
        <v>4.2</v>
      </c>
      <c r="F26" s="62" t="n">
        <v>3.4</v>
      </c>
      <c r="G26" s="62" t="n">
        <v>4.1</v>
      </c>
      <c r="H26" s="62" t="n">
        <v>5.3</v>
      </c>
      <c r="I26" s="62" t="n">
        <v>4.4</v>
      </c>
      <c r="J26" s="62" t="n">
        <v>5.5</v>
      </c>
      <c r="K26" s="62" t="n">
        <v>3.9</v>
      </c>
      <c r="L26" s="62" t="n">
        <v>5.1</v>
      </c>
      <c r="M26" s="62" t="n">
        <v>5.4</v>
      </c>
      <c r="N26" s="62" t="n">
        <v>1.9</v>
      </c>
      <c r="O26" s="62" t="n">
        <v>1.6</v>
      </c>
      <c r="P26" s="62" t="n">
        <v>2</v>
      </c>
      <c r="Q26" s="62" t="n">
        <v>1.6</v>
      </c>
      <c r="R26" s="62" t="n">
        <v>1.1</v>
      </c>
      <c r="S26" s="62" t="n">
        <v>1.2</v>
      </c>
      <c r="T26" s="62" t="n">
        <v>1.2</v>
      </c>
      <c r="U26" s="62" t="n">
        <v>1.6</v>
      </c>
      <c r="V26" s="62" t="n">
        <v>1.9</v>
      </c>
      <c r="W26" s="62" t="n">
        <v>1.8</v>
      </c>
      <c r="X26" s="62" t="n">
        <v>10.9</v>
      </c>
      <c r="Y26" s="62" t="n">
        <v>17.2</v>
      </c>
      <c r="Z26" s="62" t="n">
        <v>11.9</v>
      </c>
      <c r="AA26" s="62" t="n">
        <v>12.7</v>
      </c>
      <c r="AB26" s="62" t="n">
        <v>16.7</v>
      </c>
      <c r="AC26" s="58" t="n">
        <f aca="false">(SUM(D26:H26)+SUM(I26:M26))/2+SUM(N26:R26)+SUM(S26:W26)</f>
        <v>38.55</v>
      </c>
      <c r="AD26" s="59" t="n">
        <f aca="false">SUM(X26:AB26)/100*50</f>
        <v>34.7</v>
      </c>
      <c r="AE26" s="60" t="n">
        <f aca="false">AC26+AD26</f>
        <v>73.25</v>
      </c>
    </row>
    <row r="28" customFormat="false" ht="19.5" hidden="false" customHeight="true" outlineLevel="0" collapsed="false">
      <c r="A28" s="41" t="s">
        <v>121</v>
      </c>
      <c r="B28" s="41"/>
      <c r="C28" s="41"/>
      <c r="D28" s="63" t="n">
        <f aca="false">AVERAGE(D7:D26)</f>
        <v>4.5</v>
      </c>
      <c r="E28" s="63" t="n">
        <f aca="false">AVERAGE(E7:E26)</f>
        <v>4.53</v>
      </c>
      <c r="F28" s="63" t="n">
        <f aca="false">AVERAGE(F7:F26)</f>
        <v>4.5</v>
      </c>
      <c r="G28" s="63" t="n">
        <f aca="false">AVERAGE(G7:G26)</f>
        <v>4.605</v>
      </c>
      <c r="H28" s="63" t="n">
        <f aca="false">AVERAGE(H7:H26)</f>
        <v>4.675</v>
      </c>
      <c r="I28" s="63" t="n">
        <f aca="false">AVERAGE(I7:I26)</f>
        <v>4.57</v>
      </c>
      <c r="J28" s="63" t="n">
        <f aca="false">AVERAGE(J7:J26)</f>
        <v>4.825</v>
      </c>
      <c r="K28" s="63" t="n">
        <f aca="false">AVERAGE(K7:K26)</f>
        <v>4.515</v>
      </c>
      <c r="L28" s="63" t="n">
        <f aca="false">AVERAGE(L7:L26)</f>
        <v>4.555</v>
      </c>
      <c r="M28" s="63" t="n">
        <f aca="false">AVERAGE(M7:M26)</f>
        <v>4.365</v>
      </c>
      <c r="N28" s="63" t="n">
        <f aca="false">AVERAGE(N7:N26)</f>
        <v>1.53</v>
      </c>
      <c r="O28" s="63" t="n">
        <f aca="false">AVERAGE(O7:O26)</f>
        <v>1.59</v>
      </c>
      <c r="P28" s="63" t="n">
        <f aca="false">AVERAGE(P7:P26)</f>
        <v>1.475</v>
      </c>
      <c r="Q28" s="63" t="n">
        <f aca="false">AVERAGE(Q7:Q26)</f>
        <v>1.43</v>
      </c>
      <c r="R28" s="63" t="n">
        <f aca="false">AVERAGE(R7:R26)</f>
        <v>1.45</v>
      </c>
      <c r="S28" s="63" t="n">
        <f aca="false">AVERAGE(S7:S26)</f>
        <v>1.56</v>
      </c>
      <c r="T28" s="63" t="n">
        <f aca="false">AVERAGE(T7:T26)</f>
        <v>1.515</v>
      </c>
      <c r="U28" s="63" t="n">
        <f aca="false">AVERAGE(U7:U26)</f>
        <v>1.51</v>
      </c>
      <c r="V28" s="63" t="n">
        <f aca="false">AVERAGE(V7:V26)</f>
        <v>1.58</v>
      </c>
      <c r="W28" s="63" t="n">
        <f aca="false">AVERAGE(W7:W26)</f>
        <v>1.56</v>
      </c>
      <c r="X28" s="63" t="n">
        <f aca="false">AVERAGE(X7:X26)</f>
        <v>14.675</v>
      </c>
      <c r="Y28" s="63" t="n">
        <f aca="false">AVERAGE(Y7:Y26)</f>
        <v>16.06</v>
      </c>
      <c r="Z28" s="63" t="n">
        <f aca="false">AVERAGE(Z7:Z26)</f>
        <v>13.775</v>
      </c>
      <c r="AA28" s="63" t="n">
        <f aca="false">AVERAGE(AA7:AA26)</f>
        <v>14.325</v>
      </c>
      <c r="AB28" s="63" t="n">
        <f aca="false">AVERAGE(AB7:AB26)</f>
        <v>14.985</v>
      </c>
      <c r="AC28" s="64" t="n">
        <f aca="false">AVERAGE(AC7:AC26)</f>
        <v>38.02</v>
      </c>
      <c r="AD28" s="63" t="n">
        <f aca="false">AVERAGE(AD7:AD26)</f>
        <v>36.91</v>
      </c>
      <c r="AE28" s="52" t="n">
        <f aca="false">AVERAGE(AE7:AE26)</f>
        <v>74.93</v>
      </c>
    </row>
    <row r="30" customFormat="false" ht="21.75" hidden="false" customHeight="true" outlineLevel="0" collapsed="false">
      <c r="A30" s="41" t="s">
        <v>122</v>
      </c>
      <c r="B30" s="41"/>
      <c r="C30" s="41"/>
      <c r="D30" s="65" t="n">
        <f aca="false">IFERROR((D28/D6+I28/I6+N28/N6+S28/S6+X28/X6)/5,0)</f>
        <v>0.758083333333333</v>
      </c>
      <c r="E30" s="65" t="n">
        <f aca="false">IFERROR((E28/E6+J28/J6+O28/O6+T28/T6+Y28/Y6)/5,0)</f>
        <v>0.782933333333333</v>
      </c>
      <c r="F30" s="65" t="n">
        <f aca="false">IFERROR((F28/F6+K28/K6+P28/P6+U28/U6+Z28/Z6)/5,0)</f>
        <v>0.73675</v>
      </c>
      <c r="G30" s="65" t="n">
        <f aca="false">IFERROR((G28/G6+L28/L6+Q28/Q6+V28/V6+AA28/AA6)/5,0)</f>
        <v>0.749583333333333</v>
      </c>
      <c r="H30" s="65" t="n">
        <f aca="false">IFERROR((H28/H6+M28/M6+R28/R6+W28/W6+AB28/AB6)/5,0)</f>
        <v>0.752183333333333</v>
      </c>
    </row>
    <row r="31" customFormat="false" ht="19.5" hidden="false" customHeight="true" outlineLevel="0" collapsed="false">
      <c r="A31" s="38" t="s">
        <v>123</v>
      </c>
      <c r="B31" s="38"/>
      <c r="C31" s="38"/>
      <c r="D31" s="66" t="n">
        <f aca="false">IF(D30&gt;=0.6,3,IF(D30&gt;=0.4,2,1))</f>
        <v>3</v>
      </c>
      <c r="E31" s="66" t="n">
        <f aca="false">IF(E30&gt;=0.6,3,IF(E30&gt;=0.4,2,1))</f>
        <v>3</v>
      </c>
      <c r="F31" s="66" t="n">
        <f aca="false">IF(F30&gt;=0.6,3,IF(F30&gt;=0.4,2,1))</f>
        <v>3</v>
      </c>
      <c r="G31" s="66" t="n">
        <f aca="false">IF(G30&gt;=0.6,3,IF(G30&gt;=0.4,2,1))</f>
        <v>3</v>
      </c>
      <c r="H31" s="66" t="n">
        <f aca="false">IF(H30&gt;=0.6,3,IF(H30&gt;=0.4,2,1))</f>
        <v>3</v>
      </c>
    </row>
  </sheetData>
  <mergeCells count="12">
    <mergeCell ref="A1:AE1"/>
    <mergeCell ref="A2:AE2"/>
    <mergeCell ref="A4:C4"/>
    <mergeCell ref="D4:H4"/>
    <mergeCell ref="I4:M4"/>
    <mergeCell ref="N4:R4"/>
    <mergeCell ref="S4:W4"/>
    <mergeCell ref="X4:AB4"/>
    <mergeCell ref="A6:C6"/>
    <mergeCell ref="A28:C28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6" min="4" style="0" width="9"/>
  </cols>
  <sheetData>
    <row r="1" customFormat="false" ht="31.5" hidden="false" customHeight="true" outlineLevel="0" collapsed="false">
      <c r="A1" s="34" t="s">
        <v>127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customFormat="false" ht="13.5" hidden="false" customHeight="true" outlineLevel="0" collapsed="false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customFormat="false" ht="6" hidden="false" customHeight="true" outlineLevel="0" collapsed="false"/>
    <row r="4" customFormat="false" ht="21.75" hidden="false" customHeight="true" outlineLevel="0" collapsed="false">
      <c r="A4" s="36" t="s">
        <v>62</v>
      </c>
      <c r="B4" s="36"/>
      <c r="C4" s="36"/>
      <c r="D4" s="37" t="s">
        <v>63</v>
      </c>
      <c r="E4" s="37"/>
      <c r="F4" s="37"/>
      <c r="G4" s="37"/>
      <c r="H4" s="37"/>
      <c r="I4" s="37"/>
      <c r="J4" s="38" t="s">
        <v>64</v>
      </c>
      <c r="K4" s="38"/>
      <c r="L4" s="38"/>
      <c r="M4" s="38"/>
      <c r="N4" s="38"/>
      <c r="O4" s="38"/>
      <c r="P4" s="39" t="s">
        <v>65</v>
      </c>
      <c r="Q4" s="39"/>
      <c r="R4" s="39"/>
      <c r="S4" s="39"/>
      <c r="T4" s="39"/>
      <c r="U4" s="39"/>
      <c r="V4" s="40" t="s">
        <v>66</v>
      </c>
      <c r="W4" s="40"/>
      <c r="X4" s="40"/>
      <c r="Y4" s="40"/>
      <c r="Z4" s="40"/>
      <c r="AA4" s="40"/>
      <c r="AB4" s="41" t="s">
        <v>67</v>
      </c>
      <c r="AC4" s="41"/>
      <c r="AD4" s="41"/>
      <c r="AE4" s="41"/>
      <c r="AF4" s="41"/>
      <c r="AG4" s="41"/>
      <c r="AH4" s="8" t="s">
        <v>68</v>
      </c>
      <c r="AI4" s="6" t="s">
        <v>69</v>
      </c>
      <c r="AJ4" s="42" t="s">
        <v>70</v>
      </c>
    </row>
    <row r="5" customFormat="false" ht="18" hidden="false" customHeight="true" outlineLevel="0" collapsed="false">
      <c r="A5" s="43" t="s">
        <v>71</v>
      </c>
      <c r="B5" s="43" t="s">
        <v>72</v>
      </c>
      <c r="C5" s="43" t="s">
        <v>73</v>
      </c>
      <c r="D5" s="44" t="s">
        <v>74</v>
      </c>
      <c r="E5" s="44" t="s">
        <v>75</v>
      </c>
      <c r="F5" s="44" t="s">
        <v>76</v>
      </c>
      <c r="G5" s="44" t="s">
        <v>77</v>
      </c>
      <c r="H5" s="44" t="s">
        <v>78</v>
      </c>
      <c r="I5" s="44" t="s">
        <v>128</v>
      </c>
      <c r="J5" s="45" t="s">
        <v>74</v>
      </c>
      <c r="K5" s="45" t="s">
        <v>75</v>
      </c>
      <c r="L5" s="45" t="s">
        <v>76</v>
      </c>
      <c r="M5" s="45" t="s">
        <v>77</v>
      </c>
      <c r="N5" s="45" t="s">
        <v>78</v>
      </c>
      <c r="O5" s="45" t="s">
        <v>128</v>
      </c>
      <c r="P5" s="26" t="s">
        <v>74</v>
      </c>
      <c r="Q5" s="26" t="s">
        <v>75</v>
      </c>
      <c r="R5" s="26" t="s">
        <v>76</v>
      </c>
      <c r="S5" s="26" t="s">
        <v>77</v>
      </c>
      <c r="T5" s="26" t="s">
        <v>78</v>
      </c>
      <c r="U5" s="26" t="s">
        <v>128</v>
      </c>
      <c r="V5" s="46" t="s">
        <v>74</v>
      </c>
      <c r="W5" s="46" t="s">
        <v>75</v>
      </c>
      <c r="X5" s="46" t="s">
        <v>76</v>
      </c>
      <c r="Y5" s="46" t="s">
        <v>77</v>
      </c>
      <c r="Z5" s="46" t="s">
        <v>78</v>
      </c>
      <c r="AA5" s="46" t="s">
        <v>128</v>
      </c>
      <c r="AB5" s="47" t="s">
        <v>74</v>
      </c>
      <c r="AC5" s="47" t="s">
        <v>75</v>
      </c>
      <c r="AD5" s="47" t="s">
        <v>76</v>
      </c>
      <c r="AE5" s="47" t="s">
        <v>77</v>
      </c>
      <c r="AF5" s="47" t="s">
        <v>78</v>
      </c>
      <c r="AG5" s="47" t="s">
        <v>128</v>
      </c>
      <c r="AH5" s="48" t="s">
        <v>79</v>
      </c>
      <c r="AI5" s="49" t="s">
        <v>79</v>
      </c>
      <c r="AJ5" s="50" t="s">
        <v>79</v>
      </c>
    </row>
    <row r="6" customFormat="false" ht="18" hidden="false" customHeight="true" outlineLevel="0" collapsed="false">
      <c r="A6" s="51" t="s">
        <v>80</v>
      </c>
      <c r="B6" s="51"/>
      <c r="C6" s="51"/>
      <c r="D6" s="52" t="n">
        <v>5</v>
      </c>
      <c r="E6" s="52" t="n">
        <v>5</v>
      </c>
      <c r="F6" s="52" t="n">
        <v>5</v>
      </c>
      <c r="G6" s="52" t="n">
        <v>5</v>
      </c>
      <c r="H6" s="52" t="n">
        <v>5</v>
      </c>
      <c r="I6" s="52" t="n">
        <v>5</v>
      </c>
      <c r="J6" s="52" t="n">
        <v>5</v>
      </c>
      <c r="K6" s="52" t="n">
        <v>5</v>
      </c>
      <c r="L6" s="52" t="n">
        <v>5</v>
      </c>
      <c r="M6" s="52" t="n">
        <v>5</v>
      </c>
      <c r="N6" s="52" t="n">
        <v>5</v>
      </c>
      <c r="O6" s="52" t="n">
        <v>5</v>
      </c>
      <c r="P6" s="52" t="n">
        <v>1.67</v>
      </c>
      <c r="Q6" s="52" t="n">
        <v>1.67</v>
      </c>
      <c r="R6" s="52" t="n">
        <v>1.67</v>
      </c>
      <c r="S6" s="52" t="n">
        <v>1.67</v>
      </c>
      <c r="T6" s="52" t="n">
        <v>1.67</v>
      </c>
      <c r="U6" s="52" t="n">
        <v>1.67</v>
      </c>
      <c r="V6" s="52" t="n">
        <v>1.67</v>
      </c>
      <c r="W6" s="52" t="n">
        <v>1.67</v>
      </c>
      <c r="X6" s="52" t="n">
        <v>1.67</v>
      </c>
      <c r="Y6" s="52" t="n">
        <v>1.67</v>
      </c>
      <c r="Z6" s="52" t="n">
        <v>1.67</v>
      </c>
      <c r="AA6" s="52" t="n">
        <v>1.67</v>
      </c>
      <c r="AB6" s="52" t="n">
        <v>16.67</v>
      </c>
      <c r="AC6" s="52" t="n">
        <v>16.67</v>
      </c>
      <c r="AD6" s="52" t="n">
        <v>16.67</v>
      </c>
      <c r="AE6" s="52" t="n">
        <v>16.67</v>
      </c>
      <c r="AF6" s="52" t="n">
        <v>16.67</v>
      </c>
      <c r="AG6" s="52" t="n">
        <v>16.67</v>
      </c>
      <c r="AH6" s="53" t="n">
        <v>50</v>
      </c>
      <c r="AI6" s="54" t="n">
        <v>50</v>
      </c>
      <c r="AJ6" s="55" t="n">
        <v>100</v>
      </c>
    </row>
    <row r="7" customFormat="false" ht="16.5" hidden="false" customHeight="true" outlineLevel="0" collapsed="false">
      <c r="A7" s="12" t="n">
        <v>1</v>
      </c>
      <c r="B7" s="12" t="s">
        <v>81</v>
      </c>
      <c r="C7" s="56" t="s">
        <v>82</v>
      </c>
      <c r="D7" s="57" t="n">
        <v>4</v>
      </c>
      <c r="E7" s="57" t="n">
        <v>4.7</v>
      </c>
      <c r="F7" s="57" t="n">
        <v>3</v>
      </c>
      <c r="G7" s="57" t="n">
        <v>4.4</v>
      </c>
      <c r="H7" s="57" t="n">
        <v>4.3</v>
      </c>
      <c r="I7" s="57" t="n">
        <v>3.9</v>
      </c>
      <c r="J7" s="57" t="n">
        <v>3.7</v>
      </c>
      <c r="K7" s="57" t="n">
        <v>4.7</v>
      </c>
      <c r="L7" s="57" t="n">
        <v>3.3</v>
      </c>
      <c r="M7" s="57" t="n">
        <v>4.9</v>
      </c>
      <c r="N7" s="57" t="n">
        <v>2.5</v>
      </c>
      <c r="O7" s="57" t="n">
        <v>4.8</v>
      </c>
      <c r="P7" s="57" t="n">
        <v>1.6</v>
      </c>
      <c r="Q7" s="57" t="n">
        <v>0.9</v>
      </c>
      <c r="R7" s="57" t="n">
        <v>1.7</v>
      </c>
      <c r="S7" s="57" t="n">
        <v>1.2</v>
      </c>
      <c r="T7" s="57" t="n">
        <v>1</v>
      </c>
      <c r="U7" s="57" t="n">
        <v>1.3</v>
      </c>
      <c r="V7" s="57" t="n">
        <v>1</v>
      </c>
      <c r="W7" s="57" t="n">
        <v>1.6</v>
      </c>
      <c r="X7" s="57" t="n">
        <v>1.3</v>
      </c>
      <c r="Y7" s="57" t="n">
        <v>1.5</v>
      </c>
      <c r="Z7" s="57" t="n">
        <v>1.2</v>
      </c>
      <c r="AA7" s="57" t="n">
        <v>1.3</v>
      </c>
      <c r="AB7" s="57" t="n">
        <v>11.3</v>
      </c>
      <c r="AC7" s="57" t="n">
        <v>10.5</v>
      </c>
      <c r="AD7" s="57" t="n">
        <v>12.6</v>
      </c>
      <c r="AE7" s="57" t="n">
        <v>12.5</v>
      </c>
      <c r="AF7" s="57" t="n">
        <v>9.2</v>
      </c>
      <c r="AG7" s="57" t="n">
        <v>16.5</v>
      </c>
      <c r="AH7" s="58" t="n">
        <f aca="false">(SUM(D7:I7)+SUM(J7:O7))/2+SUM(P7:U7)+SUM(V7:AA7)</f>
        <v>39.7</v>
      </c>
      <c r="AI7" s="59" t="n">
        <f aca="false">SUM(AB7:AG7)/100*50</f>
        <v>36.3</v>
      </c>
      <c r="AJ7" s="60" t="n">
        <f aca="false">AH7+AI7</f>
        <v>76</v>
      </c>
    </row>
    <row r="8" customFormat="false" ht="16.5" hidden="false" customHeight="true" outlineLevel="0" collapsed="false">
      <c r="A8" s="27" t="n">
        <v>2</v>
      </c>
      <c r="B8" s="27" t="s">
        <v>83</v>
      </c>
      <c r="C8" s="61" t="s">
        <v>84</v>
      </c>
      <c r="D8" s="62" t="n">
        <v>3.7</v>
      </c>
      <c r="E8" s="62" t="n">
        <v>4.6</v>
      </c>
      <c r="F8" s="62" t="n">
        <v>4.8</v>
      </c>
      <c r="G8" s="62" t="n">
        <v>3.4</v>
      </c>
      <c r="H8" s="62" t="n">
        <v>3.5</v>
      </c>
      <c r="I8" s="62" t="n">
        <v>3.9</v>
      </c>
      <c r="J8" s="62" t="n">
        <v>3.1</v>
      </c>
      <c r="K8" s="62" t="n">
        <v>2.9</v>
      </c>
      <c r="L8" s="62" t="n">
        <v>3.2</v>
      </c>
      <c r="M8" s="62" t="n">
        <v>4.8</v>
      </c>
      <c r="N8" s="62" t="n">
        <v>3.9</v>
      </c>
      <c r="O8" s="62" t="n">
        <v>3.5</v>
      </c>
      <c r="P8" s="62" t="n">
        <v>1</v>
      </c>
      <c r="Q8" s="62" t="n">
        <v>1.1</v>
      </c>
      <c r="R8" s="62" t="n">
        <v>1.1</v>
      </c>
      <c r="S8" s="62" t="n">
        <v>1.5</v>
      </c>
      <c r="T8" s="62" t="n">
        <v>1.2</v>
      </c>
      <c r="U8" s="62" t="n">
        <v>1.4</v>
      </c>
      <c r="V8" s="62" t="n">
        <v>1.4</v>
      </c>
      <c r="W8" s="62" t="n">
        <v>1</v>
      </c>
      <c r="X8" s="62" t="n">
        <v>1.5</v>
      </c>
      <c r="Y8" s="62" t="n">
        <v>1.6</v>
      </c>
      <c r="Z8" s="62" t="n">
        <v>1.4</v>
      </c>
      <c r="AA8" s="62" t="n">
        <v>1.2</v>
      </c>
      <c r="AB8" s="62" t="n">
        <v>9.7</v>
      </c>
      <c r="AC8" s="62" t="n">
        <v>15</v>
      </c>
      <c r="AD8" s="62" t="n">
        <v>9.7</v>
      </c>
      <c r="AE8" s="62" t="n">
        <v>14.3</v>
      </c>
      <c r="AF8" s="62" t="n">
        <v>12.4</v>
      </c>
      <c r="AG8" s="62" t="n">
        <v>16</v>
      </c>
      <c r="AH8" s="58" t="n">
        <f aca="false">(SUM(D8:I8)+SUM(J8:O8))/2+SUM(P8:U8)+SUM(V8:AA8)</f>
        <v>38.05</v>
      </c>
      <c r="AI8" s="59" t="n">
        <f aca="false">SUM(AB8:AG8)/100*50</f>
        <v>38.55</v>
      </c>
      <c r="AJ8" s="60" t="n">
        <f aca="false">AH8+AI8</f>
        <v>76.6</v>
      </c>
    </row>
    <row r="9" customFormat="false" ht="16.5" hidden="false" customHeight="true" outlineLevel="0" collapsed="false">
      <c r="A9" s="12" t="n">
        <v>3</v>
      </c>
      <c r="B9" s="12" t="s">
        <v>85</v>
      </c>
      <c r="C9" s="56" t="s">
        <v>86</v>
      </c>
      <c r="D9" s="57" t="n">
        <v>3.9</v>
      </c>
      <c r="E9" s="57" t="n">
        <v>4.1</v>
      </c>
      <c r="F9" s="57" t="n">
        <v>2.6</v>
      </c>
      <c r="G9" s="57" t="n">
        <v>2.6</v>
      </c>
      <c r="H9" s="57" t="n">
        <v>4.6</v>
      </c>
      <c r="I9" s="57" t="n">
        <v>4.9</v>
      </c>
      <c r="J9" s="57" t="n">
        <v>4.2</v>
      </c>
      <c r="K9" s="57" t="n">
        <v>4.4</v>
      </c>
      <c r="L9" s="57" t="n">
        <v>3.5</v>
      </c>
      <c r="M9" s="57" t="n">
        <v>4.6</v>
      </c>
      <c r="N9" s="57" t="n">
        <v>3.1</v>
      </c>
      <c r="O9" s="57" t="n">
        <v>4.3</v>
      </c>
      <c r="P9" s="57" t="n">
        <v>0.8</v>
      </c>
      <c r="Q9" s="57" t="n">
        <v>1.3</v>
      </c>
      <c r="R9" s="57" t="n">
        <v>1.1</v>
      </c>
      <c r="S9" s="57" t="n">
        <v>1.3</v>
      </c>
      <c r="T9" s="57" t="n">
        <v>1.4</v>
      </c>
      <c r="U9" s="57" t="n">
        <v>1.3</v>
      </c>
      <c r="V9" s="57" t="n">
        <v>1.2</v>
      </c>
      <c r="W9" s="57" t="n">
        <v>1.2</v>
      </c>
      <c r="X9" s="57" t="n">
        <v>0.8</v>
      </c>
      <c r="Y9" s="57" t="n">
        <v>1.3</v>
      </c>
      <c r="Z9" s="57" t="n">
        <v>0.8</v>
      </c>
      <c r="AA9" s="57" t="n">
        <v>1.3</v>
      </c>
      <c r="AB9" s="57" t="n">
        <v>10.6</v>
      </c>
      <c r="AC9" s="57" t="n">
        <v>16.5</v>
      </c>
      <c r="AD9" s="57" t="n">
        <v>8.5</v>
      </c>
      <c r="AE9" s="57" t="n">
        <v>15.1</v>
      </c>
      <c r="AF9" s="57" t="n">
        <v>14</v>
      </c>
      <c r="AG9" s="57" t="n">
        <v>15.1</v>
      </c>
      <c r="AH9" s="58" t="n">
        <f aca="false">(SUM(D9:I9)+SUM(J9:O9))/2+SUM(P9:U9)+SUM(V9:AA9)</f>
        <v>37.2</v>
      </c>
      <c r="AI9" s="59" t="n">
        <f aca="false">SUM(AB9:AG9)/100*50</f>
        <v>39.9</v>
      </c>
      <c r="AJ9" s="60" t="n">
        <f aca="false">AH9+AI9</f>
        <v>77.1</v>
      </c>
    </row>
    <row r="10" customFormat="false" ht="16.5" hidden="false" customHeight="true" outlineLevel="0" collapsed="false">
      <c r="A10" s="27" t="n">
        <v>4</v>
      </c>
      <c r="B10" s="27" t="s">
        <v>87</v>
      </c>
      <c r="C10" s="61" t="s">
        <v>88</v>
      </c>
      <c r="D10" s="62" t="n">
        <v>4.8</v>
      </c>
      <c r="E10" s="62" t="n">
        <v>2.8</v>
      </c>
      <c r="F10" s="62" t="n">
        <v>2.7</v>
      </c>
      <c r="G10" s="62" t="n">
        <v>2.9</v>
      </c>
      <c r="H10" s="62" t="n">
        <v>3</v>
      </c>
      <c r="I10" s="62" t="n">
        <v>3.8</v>
      </c>
      <c r="J10" s="62" t="n">
        <v>4.5</v>
      </c>
      <c r="K10" s="62" t="n">
        <v>3.2</v>
      </c>
      <c r="L10" s="62" t="n">
        <v>3.5</v>
      </c>
      <c r="M10" s="62" t="n">
        <v>3.4</v>
      </c>
      <c r="N10" s="62" t="n">
        <v>3.5</v>
      </c>
      <c r="O10" s="62" t="n">
        <v>3.9</v>
      </c>
      <c r="P10" s="62" t="n">
        <v>1.7</v>
      </c>
      <c r="Q10" s="62" t="n">
        <v>1</v>
      </c>
      <c r="R10" s="62" t="n">
        <v>1.4</v>
      </c>
      <c r="S10" s="62" t="n">
        <v>1.5</v>
      </c>
      <c r="T10" s="62" t="n">
        <v>1.4</v>
      </c>
      <c r="U10" s="62" t="n">
        <v>1.5</v>
      </c>
      <c r="V10" s="62" t="n">
        <v>1.5</v>
      </c>
      <c r="W10" s="62" t="n">
        <v>0.9</v>
      </c>
      <c r="X10" s="62" t="n">
        <v>1.1</v>
      </c>
      <c r="Y10" s="62" t="n">
        <v>1.3</v>
      </c>
      <c r="Z10" s="62" t="n">
        <v>0.9</v>
      </c>
      <c r="AA10" s="62" t="n">
        <v>0.8</v>
      </c>
      <c r="AB10" s="62" t="n">
        <v>9.8</v>
      </c>
      <c r="AC10" s="62" t="n">
        <v>12.5</v>
      </c>
      <c r="AD10" s="62" t="n">
        <v>12</v>
      </c>
      <c r="AE10" s="62" t="n">
        <v>14.9</v>
      </c>
      <c r="AF10" s="62" t="n">
        <v>13</v>
      </c>
      <c r="AG10" s="62" t="n">
        <v>15.5</v>
      </c>
      <c r="AH10" s="58" t="n">
        <f aca="false">(SUM(D10:I10)+SUM(J10:O10))/2+SUM(P10:U10)+SUM(V10:AA10)</f>
        <v>36</v>
      </c>
      <c r="AI10" s="59" t="n">
        <f aca="false">SUM(AB10:AG10)/100*50</f>
        <v>38.85</v>
      </c>
      <c r="AJ10" s="60" t="n">
        <f aca="false">AH10+AI10</f>
        <v>74.85</v>
      </c>
    </row>
    <row r="11" customFormat="false" ht="16.5" hidden="false" customHeight="true" outlineLevel="0" collapsed="false">
      <c r="A11" s="12" t="n">
        <v>5</v>
      </c>
      <c r="B11" s="12" t="s">
        <v>89</v>
      </c>
      <c r="C11" s="56" t="s">
        <v>90</v>
      </c>
      <c r="D11" s="57" t="n">
        <v>2.7</v>
      </c>
      <c r="E11" s="57" t="n">
        <v>3.8</v>
      </c>
      <c r="F11" s="57" t="n">
        <v>2.6</v>
      </c>
      <c r="G11" s="57" t="n">
        <v>3</v>
      </c>
      <c r="H11" s="57" t="n">
        <v>4.7</v>
      </c>
      <c r="I11" s="57" t="n">
        <v>4.7</v>
      </c>
      <c r="J11" s="57" t="n">
        <v>3.7</v>
      </c>
      <c r="K11" s="57" t="n">
        <v>2.6</v>
      </c>
      <c r="L11" s="57" t="n">
        <v>2.7</v>
      </c>
      <c r="M11" s="57" t="n">
        <v>4.8</v>
      </c>
      <c r="N11" s="57" t="n">
        <v>4.7</v>
      </c>
      <c r="O11" s="57" t="n">
        <v>3.9</v>
      </c>
      <c r="P11" s="57" t="n">
        <v>0.9</v>
      </c>
      <c r="Q11" s="57" t="n">
        <v>1.6</v>
      </c>
      <c r="R11" s="57" t="n">
        <v>1.1</v>
      </c>
      <c r="S11" s="57" t="n">
        <v>1.6</v>
      </c>
      <c r="T11" s="57" t="n">
        <v>1.3</v>
      </c>
      <c r="U11" s="57" t="n">
        <v>1.5</v>
      </c>
      <c r="V11" s="57" t="n">
        <v>1.4</v>
      </c>
      <c r="W11" s="57" t="n">
        <v>1.2</v>
      </c>
      <c r="X11" s="57" t="n">
        <v>0.9</v>
      </c>
      <c r="Y11" s="57" t="n">
        <v>1</v>
      </c>
      <c r="Z11" s="57" t="n">
        <v>1</v>
      </c>
      <c r="AA11" s="57" t="n">
        <v>1.5</v>
      </c>
      <c r="AB11" s="57" t="n">
        <v>11.6</v>
      </c>
      <c r="AC11" s="57" t="n">
        <v>15.8</v>
      </c>
      <c r="AD11" s="57" t="n">
        <v>11.1</v>
      </c>
      <c r="AE11" s="57" t="n">
        <v>14.6</v>
      </c>
      <c r="AF11" s="57" t="n">
        <v>9.5</v>
      </c>
      <c r="AG11" s="57" t="n">
        <v>16.6</v>
      </c>
      <c r="AH11" s="58" t="n">
        <f aca="false">(SUM(D11:I11)+SUM(J11:O11))/2+SUM(P11:U11)+SUM(V11:AA11)</f>
        <v>36.95</v>
      </c>
      <c r="AI11" s="59" t="n">
        <f aca="false">SUM(AB11:AG11)/100*50</f>
        <v>39.6</v>
      </c>
      <c r="AJ11" s="60" t="n">
        <f aca="false">AH11+AI11</f>
        <v>76.55</v>
      </c>
    </row>
    <row r="12" customFormat="false" ht="16.5" hidden="false" customHeight="true" outlineLevel="0" collapsed="false">
      <c r="A12" s="27" t="n">
        <v>6</v>
      </c>
      <c r="B12" s="27" t="s">
        <v>91</v>
      </c>
      <c r="C12" s="61" t="s">
        <v>92</v>
      </c>
      <c r="D12" s="62" t="n">
        <v>4.3</v>
      </c>
      <c r="E12" s="62" t="n">
        <v>3.8</v>
      </c>
      <c r="F12" s="62" t="n">
        <v>4.9</v>
      </c>
      <c r="G12" s="62" t="n">
        <v>2.6</v>
      </c>
      <c r="H12" s="62" t="n">
        <v>3.6</v>
      </c>
      <c r="I12" s="62" t="n">
        <v>4.6</v>
      </c>
      <c r="J12" s="62" t="n">
        <v>3.4</v>
      </c>
      <c r="K12" s="62" t="n">
        <v>4.4</v>
      </c>
      <c r="L12" s="62" t="n">
        <v>4.9</v>
      </c>
      <c r="M12" s="62" t="n">
        <v>3.5</v>
      </c>
      <c r="N12" s="62" t="n">
        <v>4.4</v>
      </c>
      <c r="O12" s="62" t="n">
        <v>2.6</v>
      </c>
      <c r="P12" s="62" t="n">
        <v>1.1</v>
      </c>
      <c r="Q12" s="62" t="n">
        <v>1.7</v>
      </c>
      <c r="R12" s="62" t="n">
        <v>1.2</v>
      </c>
      <c r="S12" s="62" t="n">
        <v>1.1</v>
      </c>
      <c r="T12" s="62" t="n">
        <v>1.6</v>
      </c>
      <c r="U12" s="62" t="n">
        <v>1.2</v>
      </c>
      <c r="V12" s="62" t="n">
        <v>1.4</v>
      </c>
      <c r="W12" s="62" t="n">
        <v>1.4</v>
      </c>
      <c r="X12" s="62" t="n">
        <v>0.9</v>
      </c>
      <c r="Y12" s="62" t="n">
        <v>1.3</v>
      </c>
      <c r="Z12" s="62" t="n">
        <v>1.5</v>
      </c>
      <c r="AA12" s="62" t="n">
        <v>1.4</v>
      </c>
      <c r="AB12" s="62" t="n">
        <v>9</v>
      </c>
      <c r="AC12" s="62" t="n">
        <v>9.6</v>
      </c>
      <c r="AD12" s="62" t="n">
        <v>14.3</v>
      </c>
      <c r="AE12" s="62" t="n">
        <v>13.6</v>
      </c>
      <c r="AF12" s="62" t="n">
        <v>14.5</v>
      </c>
      <c r="AG12" s="62" t="n">
        <v>11</v>
      </c>
      <c r="AH12" s="58" t="n">
        <f aca="false">(SUM(D12:I12)+SUM(J12:O12))/2+SUM(P12:U12)+SUM(V12:AA12)</f>
        <v>39.3</v>
      </c>
      <c r="AI12" s="59" t="n">
        <f aca="false">SUM(AB12:AG12)/100*50</f>
        <v>36</v>
      </c>
      <c r="AJ12" s="60" t="n">
        <f aca="false">AH12+AI12</f>
        <v>75.3</v>
      </c>
    </row>
    <row r="13" customFormat="false" ht="16.5" hidden="false" customHeight="true" outlineLevel="0" collapsed="false">
      <c r="A13" s="12" t="n">
        <v>7</v>
      </c>
      <c r="B13" s="12" t="s">
        <v>93</v>
      </c>
      <c r="C13" s="56" t="s">
        <v>94</v>
      </c>
      <c r="D13" s="57" t="n">
        <v>2.8</v>
      </c>
      <c r="E13" s="57" t="n">
        <v>2.5</v>
      </c>
      <c r="F13" s="57" t="n">
        <v>3.3</v>
      </c>
      <c r="G13" s="57" t="n">
        <v>3.4</v>
      </c>
      <c r="H13" s="57" t="n">
        <v>3.2</v>
      </c>
      <c r="I13" s="57" t="n">
        <v>2.8</v>
      </c>
      <c r="J13" s="57" t="n">
        <v>3</v>
      </c>
      <c r="K13" s="57" t="n">
        <v>3.6</v>
      </c>
      <c r="L13" s="57" t="n">
        <v>3.9</v>
      </c>
      <c r="M13" s="57" t="n">
        <v>3.5</v>
      </c>
      <c r="N13" s="57" t="n">
        <v>2.6</v>
      </c>
      <c r="O13" s="57" t="n">
        <v>3.4</v>
      </c>
      <c r="P13" s="57" t="n">
        <v>0.9</v>
      </c>
      <c r="Q13" s="57" t="n">
        <v>1.3</v>
      </c>
      <c r="R13" s="57" t="n">
        <v>1.1</v>
      </c>
      <c r="S13" s="57" t="n">
        <v>1.2</v>
      </c>
      <c r="T13" s="57" t="n">
        <v>1.1</v>
      </c>
      <c r="U13" s="57" t="n">
        <v>1.2</v>
      </c>
      <c r="V13" s="57" t="n">
        <v>0.9</v>
      </c>
      <c r="W13" s="57" t="n">
        <v>1.6</v>
      </c>
      <c r="X13" s="57" t="n">
        <v>1.6</v>
      </c>
      <c r="Y13" s="57" t="n">
        <v>1.6</v>
      </c>
      <c r="Z13" s="57" t="n">
        <v>1.3</v>
      </c>
      <c r="AA13" s="57" t="n">
        <v>1</v>
      </c>
      <c r="AB13" s="57" t="n">
        <v>11.5</v>
      </c>
      <c r="AC13" s="57" t="n">
        <v>9.5</v>
      </c>
      <c r="AD13" s="57" t="n">
        <v>10.8</v>
      </c>
      <c r="AE13" s="57" t="n">
        <v>12.4</v>
      </c>
      <c r="AF13" s="57" t="n">
        <v>8.9</v>
      </c>
      <c r="AG13" s="57" t="n">
        <v>12</v>
      </c>
      <c r="AH13" s="58" t="n">
        <f aca="false">(SUM(D13:I13)+SUM(J13:O13))/2+SUM(P13:U13)+SUM(V13:AA13)</f>
        <v>33.8</v>
      </c>
      <c r="AI13" s="59" t="n">
        <f aca="false">SUM(AB13:AG13)/100*50</f>
        <v>32.55</v>
      </c>
      <c r="AJ13" s="60" t="n">
        <f aca="false">AH13+AI13</f>
        <v>66.35</v>
      </c>
    </row>
    <row r="14" customFormat="false" ht="16.5" hidden="false" customHeight="true" outlineLevel="0" collapsed="false">
      <c r="A14" s="27" t="n">
        <v>8</v>
      </c>
      <c r="B14" s="27" t="s">
        <v>95</v>
      </c>
      <c r="C14" s="61" t="s">
        <v>96</v>
      </c>
      <c r="D14" s="62" t="n">
        <v>3.6</v>
      </c>
      <c r="E14" s="62" t="n">
        <v>3.7</v>
      </c>
      <c r="F14" s="62" t="n">
        <v>2.7</v>
      </c>
      <c r="G14" s="62" t="n">
        <v>3.1</v>
      </c>
      <c r="H14" s="62" t="n">
        <v>3.1</v>
      </c>
      <c r="I14" s="62" t="n">
        <v>4.1</v>
      </c>
      <c r="J14" s="62" t="n">
        <v>4</v>
      </c>
      <c r="K14" s="62" t="n">
        <v>3</v>
      </c>
      <c r="L14" s="62" t="n">
        <v>2.8</v>
      </c>
      <c r="M14" s="62" t="n">
        <v>3.3</v>
      </c>
      <c r="N14" s="62" t="n">
        <v>4.9</v>
      </c>
      <c r="O14" s="62" t="n">
        <v>3.3</v>
      </c>
      <c r="P14" s="62" t="n">
        <v>1.4</v>
      </c>
      <c r="Q14" s="62" t="n">
        <v>1.5</v>
      </c>
      <c r="R14" s="62" t="n">
        <v>1.1</v>
      </c>
      <c r="S14" s="62" t="n">
        <v>1.1</v>
      </c>
      <c r="T14" s="62" t="n">
        <v>1.5</v>
      </c>
      <c r="U14" s="62" t="n">
        <v>1.5</v>
      </c>
      <c r="V14" s="62" t="n">
        <v>1.6</v>
      </c>
      <c r="W14" s="62" t="n">
        <v>0.9</v>
      </c>
      <c r="X14" s="62" t="n">
        <v>1.1</v>
      </c>
      <c r="Y14" s="62" t="n">
        <v>1.6</v>
      </c>
      <c r="Z14" s="62" t="n">
        <v>1</v>
      </c>
      <c r="AA14" s="62" t="n">
        <v>1.1</v>
      </c>
      <c r="AB14" s="62" t="n">
        <v>16.4</v>
      </c>
      <c r="AC14" s="62" t="n">
        <v>16.4</v>
      </c>
      <c r="AD14" s="62" t="n">
        <v>10.8</v>
      </c>
      <c r="AE14" s="62" t="n">
        <v>14.1</v>
      </c>
      <c r="AF14" s="62" t="n">
        <v>12.4</v>
      </c>
      <c r="AG14" s="62" t="n">
        <v>13.1</v>
      </c>
      <c r="AH14" s="58" t="n">
        <f aca="false">(SUM(D14:I14)+SUM(J14:O14))/2+SUM(P14:U14)+SUM(V14:AA14)</f>
        <v>36.2</v>
      </c>
      <c r="AI14" s="59" t="n">
        <f aca="false">SUM(AB14:AG14)/100*50</f>
        <v>41.6</v>
      </c>
      <c r="AJ14" s="60" t="n">
        <f aca="false">AH14+AI14</f>
        <v>77.8</v>
      </c>
    </row>
    <row r="15" customFormat="false" ht="16.5" hidden="false" customHeight="true" outlineLevel="0" collapsed="false">
      <c r="A15" s="12" t="n">
        <v>9</v>
      </c>
      <c r="B15" s="12" t="s">
        <v>97</v>
      </c>
      <c r="C15" s="56" t="s">
        <v>98</v>
      </c>
      <c r="D15" s="57" t="n">
        <v>3.1</v>
      </c>
      <c r="E15" s="57" t="n">
        <v>3.4</v>
      </c>
      <c r="F15" s="57" t="n">
        <v>4.5</v>
      </c>
      <c r="G15" s="57" t="n">
        <v>3.5</v>
      </c>
      <c r="H15" s="57" t="n">
        <v>2.8</v>
      </c>
      <c r="I15" s="57" t="n">
        <v>3.9</v>
      </c>
      <c r="J15" s="57" t="n">
        <v>4</v>
      </c>
      <c r="K15" s="57" t="n">
        <v>3.9</v>
      </c>
      <c r="L15" s="57" t="n">
        <v>4.2</v>
      </c>
      <c r="M15" s="57" t="n">
        <v>3.9</v>
      </c>
      <c r="N15" s="57" t="n">
        <v>4.9</v>
      </c>
      <c r="O15" s="57" t="n">
        <v>3.7</v>
      </c>
      <c r="P15" s="57" t="n">
        <v>1.4</v>
      </c>
      <c r="Q15" s="57" t="n">
        <v>1.2</v>
      </c>
      <c r="R15" s="57" t="n">
        <v>1.1</v>
      </c>
      <c r="S15" s="57" t="n">
        <v>1.4</v>
      </c>
      <c r="T15" s="57" t="n">
        <v>1.5</v>
      </c>
      <c r="U15" s="57" t="n">
        <v>1.5</v>
      </c>
      <c r="V15" s="57" t="n">
        <v>1.2</v>
      </c>
      <c r="W15" s="57" t="n">
        <v>1.2</v>
      </c>
      <c r="X15" s="57" t="n">
        <v>1.4</v>
      </c>
      <c r="Y15" s="57" t="n">
        <v>1</v>
      </c>
      <c r="Z15" s="57" t="n">
        <v>1.4</v>
      </c>
      <c r="AA15" s="57" t="n">
        <v>1.4</v>
      </c>
      <c r="AB15" s="57" t="n">
        <v>14.9</v>
      </c>
      <c r="AC15" s="57" t="n">
        <v>9</v>
      </c>
      <c r="AD15" s="57" t="n">
        <v>16.6</v>
      </c>
      <c r="AE15" s="57" t="n">
        <v>12.3</v>
      </c>
      <c r="AF15" s="57" t="n">
        <v>11.7</v>
      </c>
      <c r="AG15" s="57" t="n">
        <v>12.6</v>
      </c>
      <c r="AH15" s="58" t="n">
        <f aca="false">(SUM(D15:I15)+SUM(J15:O15))/2+SUM(P15:U15)+SUM(V15:AA15)</f>
        <v>38.6</v>
      </c>
      <c r="AI15" s="59" t="n">
        <f aca="false">SUM(AB15:AG15)/100*50</f>
        <v>38.55</v>
      </c>
      <c r="AJ15" s="60" t="n">
        <f aca="false">AH15+AI15</f>
        <v>77.15</v>
      </c>
    </row>
    <row r="16" customFormat="false" ht="16.5" hidden="false" customHeight="true" outlineLevel="0" collapsed="false">
      <c r="A16" s="27" t="n">
        <v>10</v>
      </c>
      <c r="B16" s="27" t="s">
        <v>99</v>
      </c>
      <c r="C16" s="61" t="s">
        <v>100</v>
      </c>
      <c r="D16" s="62" t="n">
        <v>4.8</v>
      </c>
      <c r="E16" s="62" t="n">
        <v>4.2</v>
      </c>
      <c r="F16" s="62" t="n">
        <v>3.9</v>
      </c>
      <c r="G16" s="62" t="n">
        <v>4.5</v>
      </c>
      <c r="H16" s="62" t="n">
        <v>3.4</v>
      </c>
      <c r="I16" s="62" t="n">
        <v>4.7</v>
      </c>
      <c r="J16" s="62" t="n">
        <v>3.8</v>
      </c>
      <c r="K16" s="62" t="n">
        <v>4.1</v>
      </c>
      <c r="L16" s="62" t="n">
        <v>2.7</v>
      </c>
      <c r="M16" s="62" t="n">
        <v>4.4</v>
      </c>
      <c r="N16" s="62" t="n">
        <v>4.1</v>
      </c>
      <c r="O16" s="62" t="n">
        <v>3.4</v>
      </c>
      <c r="P16" s="62" t="n">
        <v>1.4</v>
      </c>
      <c r="Q16" s="62" t="n">
        <v>0.9</v>
      </c>
      <c r="R16" s="62" t="n">
        <v>1.7</v>
      </c>
      <c r="S16" s="62" t="n">
        <v>1.4</v>
      </c>
      <c r="T16" s="62" t="n">
        <v>1.2</v>
      </c>
      <c r="U16" s="62" t="n">
        <v>1.5</v>
      </c>
      <c r="V16" s="62" t="n">
        <v>1.6</v>
      </c>
      <c r="W16" s="62" t="n">
        <v>1.2</v>
      </c>
      <c r="X16" s="62" t="n">
        <v>0.8</v>
      </c>
      <c r="Y16" s="62" t="n">
        <v>1</v>
      </c>
      <c r="Z16" s="62" t="n">
        <v>1.3</v>
      </c>
      <c r="AA16" s="62" t="n">
        <v>1.3</v>
      </c>
      <c r="AB16" s="62" t="n">
        <v>13.2</v>
      </c>
      <c r="AC16" s="62" t="n">
        <v>13.1</v>
      </c>
      <c r="AD16" s="62" t="n">
        <v>12</v>
      </c>
      <c r="AE16" s="62" t="n">
        <v>11.6</v>
      </c>
      <c r="AF16" s="62" t="n">
        <v>14.8</v>
      </c>
      <c r="AG16" s="62" t="n">
        <v>13.2</v>
      </c>
      <c r="AH16" s="58" t="n">
        <f aca="false">(SUM(D16:I16)+SUM(J16:O16))/2+SUM(P16:U16)+SUM(V16:AA16)</f>
        <v>39.3</v>
      </c>
      <c r="AI16" s="59" t="n">
        <f aca="false">SUM(AB16:AG16)/100*50</f>
        <v>38.95</v>
      </c>
      <c r="AJ16" s="60" t="n">
        <f aca="false">AH16+AI16</f>
        <v>78.25</v>
      </c>
    </row>
    <row r="17" customFormat="false" ht="16.5" hidden="false" customHeight="true" outlineLevel="0" collapsed="false">
      <c r="A17" s="12" t="n">
        <v>11</v>
      </c>
      <c r="B17" s="12" t="s">
        <v>101</v>
      </c>
      <c r="C17" s="56" t="s">
        <v>102</v>
      </c>
      <c r="D17" s="57" t="n">
        <v>3.8</v>
      </c>
      <c r="E17" s="57" t="n">
        <v>3.4</v>
      </c>
      <c r="F17" s="57" t="n">
        <v>2.6</v>
      </c>
      <c r="G17" s="57" t="n">
        <v>2.8</v>
      </c>
      <c r="H17" s="57" t="n">
        <v>3.5</v>
      </c>
      <c r="I17" s="57" t="n">
        <v>4.9</v>
      </c>
      <c r="J17" s="57" t="n">
        <v>2.8</v>
      </c>
      <c r="K17" s="57" t="n">
        <v>4.9</v>
      </c>
      <c r="L17" s="57" t="n">
        <v>2.9</v>
      </c>
      <c r="M17" s="57" t="n">
        <v>3.3</v>
      </c>
      <c r="N17" s="57" t="n">
        <v>3.6</v>
      </c>
      <c r="O17" s="57" t="n">
        <v>3</v>
      </c>
      <c r="P17" s="57" t="n">
        <v>1.2</v>
      </c>
      <c r="Q17" s="57" t="n">
        <v>1.2</v>
      </c>
      <c r="R17" s="57" t="n">
        <v>1.2</v>
      </c>
      <c r="S17" s="57" t="n">
        <v>1.4</v>
      </c>
      <c r="T17" s="57" t="n">
        <v>1.1</v>
      </c>
      <c r="U17" s="57" t="n">
        <v>1.1</v>
      </c>
      <c r="V17" s="57" t="n">
        <v>1.5</v>
      </c>
      <c r="W17" s="57" t="n">
        <v>0.9</v>
      </c>
      <c r="X17" s="57" t="n">
        <v>1.5</v>
      </c>
      <c r="Y17" s="57" t="n">
        <v>1.4</v>
      </c>
      <c r="Z17" s="57" t="n">
        <v>1.4</v>
      </c>
      <c r="AA17" s="57" t="n">
        <v>1</v>
      </c>
      <c r="AB17" s="57" t="n">
        <v>16.5</v>
      </c>
      <c r="AC17" s="57" t="n">
        <v>10.4</v>
      </c>
      <c r="AD17" s="57" t="n">
        <v>9.8</v>
      </c>
      <c r="AE17" s="57" t="n">
        <v>9.7</v>
      </c>
      <c r="AF17" s="57" t="n">
        <v>13</v>
      </c>
      <c r="AG17" s="57" t="n">
        <v>16.3</v>
      </c>
      <c r="AH17" s="58" t="n">
        <f aca="false">(SUM(D17:I17)+SUM(J17:O17))/2+SUM(P17:U17)+SUM(V17:AA17)</f>
        <v>35.65</v>
      </c>
      <c r="AI17" s="59" t="n">
        <f aca="false">SUM(AB17:AG17)/100*50</f>
        <v>37.85</v>
      </c>
      <c r="AJ17" s="60" t="n">
        <f aca="false">AH17+AI17</f>
        <v>73.5</v>
      </c>
    </row>
    <row r="18" customFormat="false" ht="16.5" hidden="false" customHeight="true" outlineLevel="0" collapsed="false">
      <c r="A18" s="27" t="n">
        <v>12</v>
      </c>
      <c r="B18" s="27" t="s">
        <v>103</v>
      </c>
      <c r="C18" s="61" t="s">
        <v>104</v>
      </c>
      <c r="D18" s="62" t="n">
        <v>3.1</v>
      </c>
      <c r="E18" s="62" t="n">
        <v>3.5</v>
      </c>
      <c r="F18" s="62" t="n">
        <v>3</v>
      </c>
      <c r="G18" s="62" t="n">
        <v>4.1</v>
      </c>
      <c r="H18" s="62" t="n">
        <v>3.6</v>
      </c>
      <c r="I18" s="62" t="n">
        <v>2.6</v>
      </c>
      <c r="J18" s="62" t="n">
        <v>4</v>
      </c>
      <c r="K18" s="62" t="n">
        <v>3</v>
      </c>
      <c r="L18" s="62" t="n">
        <v>4</v>
      </c>
      <c r="M18" s="62" t="n">
        <v>3.5</v>
      </c>
      <c r="N18" s="62" t="n">
        <v>4.3</v>
      </c>
      <c r="O18" s="62" t="n">
        <v>3</v>
      </c>
      <c r="P18" s="62" t="n">
        <v>1.5</v>
      </c>
      <c r="Q18" s="62" t="n">
        <v>1.5</v>
      </c>
      <c r="R18" s="62" t="n">
        <v>0.9</v>
      </c>
      <c r="S18" s="62" t="n">
        <v>0.9</v>
      </c>
      <c r="T18" s="62" t="n">
        <v>1.6</v>
      </c>
      <c r="U18" s="62" t="n">
        <v>1</v>
      </c>
      <c r="V18" s="62" t="n">
        <v>1.1</v>
      </c>
      <c r="W18" s="62" t="n">
        <v>1.2</v>
      </c>
      <c r="X18" s="62" t="n">
        <v>1.1</v>
      </c>
      <c r="Y18" s="62" t="n">
        <v>1.6</v>
      </c>
      <c r="Z18" s="62" t="n">
        <v>1.3</v>
      </c>
      <c r="AA18" s="62" t="n">
        <v>1.4</v>
      </c>
      <c r="AB18" s="62" t="n">
        <v>13.3</v>
      </c>
      <c r="AC18" s="62" t="n">
        <v>13.4</v>
      </c>
      <c r="AD18" s="62" t="n">
        <v>13.2</v>
      </c>
      <c r="AE18" s="62" t="n">
        <v>11.2</v>
      </c>
      <c r="AF18" s="62" t="n">
        <v>15.4</v>
      </c>
      <c r="AG18" s="62" t="n">
        <v>13.5</v>
      </c>
      <c r="AH18" s="58" t="n">
        <f aca="false">(SUM(D18:I18)+SUM(J18:O18))/2+SUM(P18:U18)+SUM(V18:AA18)</f>
        <v>35.95</v>
      </c>
      <c r="AI18" s="59" t="n">
        <f aca="false">SUM(AB18:AG18)/100*50</f>
        <v>40</v>
      </c>
      <c r="AJ18" s="60" t="n">
        <f aca="false">AH18+AI18</f>
        <v>75.95</v>
      </c>
    </row>
    <row r="19" customFormat="false" ht="16.5" hidden="false" customHeight="true" outlineLevel="0" collapsed="false">
      <c r="A19" s="12" t="n">
        <v>13</v>
      </c>
      <c r="B19" s="12" t="s">
        <v>105</v>
      </c>
      <c r="C19" s="56" t="s">
        <v>106</v>
      </c>
      <c r="D19" s="57" t="n">
        <v>4.5</v>
      </c>
      <c r="E19" s="57" t="n">
        <v>4.3</v>
      </c>
      <c r="F19" s="57" t="n">
        <v>3.2</v>
      </c>
      <c r="G19" s="57" t="n">
        <v>4</v>
      </c>
      <c r="H19" s="57" t="n">
        <v>2.7</v>
      </c>
      <c r="I19" s="57" t="n">
        <v>2.8</v>
      </c>
      <c r="J19" s="57" t="n">
        <v>2.8</v>
      </c>
      <c r="K19" s="57" t="n">
        <v>3.3</v>
      </c>
      <c r="L19" s="57" t="n">
        <v>3</v>
      </c>
      <c r="M19" s="57" t="n">
        <v>4.2</v>
      </c>
      <c r="N19" s="57" t="n">
        <v>3.8</v>
      </c>
      <c r="O19" s="57" t="n">
        <v>3.5</v>
      </c>
      <c r="P19" s="57" t="n">
        <v>0.9</v>
      </c>
      <c r="Q19" s="57" t="n">
        <v>1.2</v>
      </c>
      <c r="R19" s="57" t="n">
        <v>1</v>
      </c>
      <c r="S19" s="57" t="n">
        <v>1.4</v>
      </c>
      <c r="T19" s="57" t="n">
        <v>1.4</v>
      </c>
      <c r="U19" s="57" t="n">
        <v>1.4</v>
      </c>
      <c r="V19" s="57" t="n">
        <v>1.7</v>
      </c>
      <c r="W19" s="57" t="n">
        <v>1.3</v>
      </c>
      <c r="X19" s="57" t="n">
        <v>1.2</v>
      </c>
      <c r="Y19" s="57" t="n">
        <v>1</v>
      </c>
      <c r="Z19" s="57" t="n">
        <v>1.1</v>
      </c>
      <c r="AA19" s="57" t="n">
        <v>1.2</v>
      </c>
      <c r="AB19" s="57" t="n">
        <v>8.8</v>
      </c>
      <c r="AC19" s="57" t="n">
        <v>11.3</v>
      </c>
      <c r="AD19" s="57" t="n">
        <v>8.4</v>
      </c>
      <c r="AE19" s="57" t="n">
        <v>9.5</v>
      </c>
      <c r="AF19" s="57" t="n">
        <v>15.1</v>
      </c>
      <c r="AG19" s="57" t="n">
        <v>16.4</v>
      </c>
      <c r="AH19" s="58" t="n">
        <f aca="false">(SUM(D19:I19)+SUM(J19:O19))/2+SUM(P19:U19)+SUM(V19:AA19)</f>
        <v>35.85</v>
      </c>
      <c r="AI19" s="59" t="n">
        <f aca="false">SUM(AB19:AG19)/100*50</f>
        <v>34.75</v>
      </c>
      <c r="AJ19" s="60" t="n">
        <f aca="false">AH19+AI19</f>
        <v>70.6</v>
      </c>
    </row>
    <row r="20" customFormat="false" ht="16.5" hidden="false" customHeight="true" outlineLevel="0" collapsed="false">
      <c r="A20" s="27" t="n">
        <v>14</v>
      </c>
      <c r="B20" s="27" t="s">
        <v>107</v>
      </c>
      <c r="C20" s="61" t="s">
        <v>108</v>
      </c>
      <c r="D20" s="62" t="n">
        <v>3.8</v>
      </c>
      <c r="E20" s="62" t="n">
        <v>3.7</v>
      </c>
      <c r="F20" s="62" t="n">
        <v>4.2</v>
      </c>
      <c r="G20" s="62" t="n">
        <v>3.5</v>
      </c>
      <c r="H20" s="62" t="n">
        <v>4.6</v>
      </c>
      <c r="I20" s="62" t="n">
        <v>3.7</v>
      </c>
      <c r="J20" s="62" t="n">
        <v>2.7</v>
      </c>
      <c r="K20" s="62" t="n">
        <v>2.6</v>
      </c>
      <c r="L20" s="62" t="n">
        <v>4.4</v>
      </c>
      <c r="M20" s="62" t="n">
        <v>3.2</v>
      </c>
      <c r="N20" s="62" t="n">
        <v>3.2</v>
      </c>
      <c r="O20" s="62" t="n">
        <v>3.8</v>
      </c>
      <c r="P20" s="62" t="n">
        <v>1</v>
      </c>
      <c r="Q20" s="62" t="n">
        <v>1.2</v>
      </c>
      <c r="R20" s="62" t="n">
        <v>1.5</v>
      </c>
      <c r="S20" s="62" t="n">
        <v>1.5</v>
      </c>
      <c r="T20" s="62" t="n">
        <v>1.3</v>
      </c>
      <c r="U20" s="62" t="n">
        <v>0.9</v>
      </c>
      <c r="V20" s="62" t="n">
        <v>0.9</v>
      </c>
      <c r="W20" s="62" t="n">
        <v>1.5</v>
      </c>
      <c r="X20" s="62" t="n">
        <v>1.5</v>
      </c>
      <c r="Y20" s="62" t="n">
        <v>1.1</v>
      </c>
      <c r="Z20" s="62" t="n">
        <v>1.5</v>
      </c>
      <c r="AA20" s="62" t="n">
        <v>0.9</v>
      </c>
      <c r="AB20" s="62" t="n">
        <v>14.3</v>
      </c>
      <c r="AC20" s="62" t="n">
        <v>12.9</v>
      </c>
      <c r="AD20" s="62" t="n">
        <v>16.6</v>
      </c>
      <c r="AE20" s="62" t="n">
        <v>9.2</v>
      </c>
      <c r="AF20" s="62" t="n">
        <v>15.3</v>
      </c>
      <c r="AG20" s="62" t="n">
        <v>14.6</v>
      </c>
      <c r="AH20" s="58" t="n">
        <f aca="false">(SUM(D20:I20)+SUM(J20:O20))/2+SUM(P20:U20)+SUM(V20:AA20)</f>
        <v>36.5</v>
      </c>
      <c r="AI20" s="59" t="n">
        <f aca="false">SUM(AB20:AG20)/100*50</f>
        <v>41.45</v>
      </c>
      <c r="AJ20" s="60" t="n">
        <f aca="false">AH20+AI20</f>
        <v>77.95</v>
      </c>
    </row>
    <row r="21" customFormat="false" ht="16.5" hidden="false" customHeight="true" outlineLevel="0" collapsed="false">
      <c r="A21" s="12" t="n">
        <v>15</v>
      </c>
      <c r="B21" s="12" t="s">
        <v>109</v>
      </c>
      <c r="C21" s="56" t="s">
        <v>110</v>
      </c>
      <c r="D21" s="57" t="n">
        <v>3.2</v>
      </c>
      <c r="E21" s="57" t="n">
        <v>5</v>
      </c>
      <c r="F21" s="57" t="n">
        <v>3.6</v>
      </c>
      <c r="G21" s="57" t="n">
        <v>3.4</v>
      </c>
      <c r="H21" s="57" t="n">
        <v>4.5</v>
      </c>
      <c r="I21" s="57" t="n">
        <v>3.6</v>
      </c>
      <c r="J21" s="57" t="n">
        <v>5</v>
      </c>
      <c r="K21" s="57" t="n">
        <v>4.4</v>
      </c>
      <c r="L21" s="57" t="n">
        <v>3.1</v>
      </c>
      <c r="M21" s="57" t="n">
        <v>4.5</v>
      </c>
      <c r="N21" s="57" t="n">
        <v>4</v>
      </c>
      <c r="O21" s="57" t="n">
        <v>3.4</v>
      </c>
      <c r="P21" s="57" t="n">
        <v>1.4</v>
      </c>
      <c r="Q21" s="57" t="n">
        <v>1.4</v>
      </c>
      <c r="R21" s="57" t="n">
        <v>1</v>
      </c>
      <c r="S21" s="57" t="n">
        <v>0.9</v>
      </c>
      <c r="T21" s="57" t="n">
        <v>1</v>
      </c>
      <c r="U21" s="57" t="n">
        <v>1</v>
      </c>
      <c r="V21" s="57" t="n">
        <v>0.9</v>
      </c>
      <c r="W21" s="57" t="n">
        <v>1.1</v>
      </c>
      <c r="X21" s="57" t="n">
        <v>1.1</v>
      </c>
      <c r="Y21" s="57" t="n">
        <v>1.3</v>
      </c>
      <c r="Z21" s="57" t="n">
        <v>1.1</v>
      </c>
      <c r="AA21" s="57" t="n">
        <v>1.4</v>
      </c>
      <c r="AB21" s="57" t="n">
        <v>10.7</v>
      </c>
      <c r="AC21" s="57" t="n">
        <v>10.6</v>
      </c>
      <c r="AD21" s="57" t="n">
        <v>15.5</v>
      </c>
      <c r="AE21" s="57" t="n">
        <v>16.5</v>
      </c>
      <c r="AF21" s="57" t="n">
        <v>14</v>
      </c>
      <c r="AG21" s="57" t="n">
        <v>9.1</v>
      </c>
      <c r="AH21" s="58" t="n">
        <f aca="false">(SUM(D21:I21)+SUM(J21:O21))/2+SUM(P21:U21)+SUM(V21:AA21)</f>
        <v>37.45</v>
      </c>
      <c r="AI21" s="59" t="n">
        <f aca="false">SUM(AB21:AG21)/100*50</f>
        <v>38.2</v>
      </c>
      <c r="AJ21" s="60" t="n">
        <f aca="false">AH21+AI21</f>
        <v>75.65</v>
      </c>
    </row>
    <row r="22" customFormat="false" ht="16.5" hidden="false" customHeight="true" outlineLevel="0" collapsed="false">
      <c r="A22" s="27" t="n">
        <v>16</v>
      </c>
      <c r="B22" s="27" t="s">
        <v>111</v>
      </c>
      <c r="C22" s="61" t="s">
        <v>112</v>
      </c>
      <c r="D22" s="62" t="n">
        <v>4.9</v>
      </c>
      <c r="E22" s="62" t="n">
        <v>4.5</v>
      </c>
      <c r="F22" s="62" t="n">
        <v>4.8</v>
      </c>
      <c r="G22" s="62" t="n">
        <v>5</v>
      </c>
      <c r="H22" s="62" t="n">
        <v>4.7</v>
      </c>
      <c r="I22" s="62" t="n">
        <v>2.8</v>
      </c>
      <c r="J22" s="62" t="n">
        <v>4.7</v>
      </c>
      <c r="K22" s="62" t="n">
        <v>3.1</v>
      </c>
      <c r="L22" s="62" t="n">
        <v>4.3</v>
      </c>
      <c r="M22" s="62" t="n">
        <v>4.6</v>
      </c>
      <c r="N22" s="62" t="n">
        <v>4.4</v>
      </c>
      <c r="O22" s="62" t="n">
        <v>4.2</v>
      </c>
      <c r="P22" s="62" t="n">
        <v>1.2</v>
      </c>
      <c r="Q22" s="62" t="n">
        <v>1.3</v>
      </c>
      <c r="R22" s="62" t="n">
        <v>1.1</v>
      </c>
      <c r="S22" s="62" t="n">
        <v>1.2</v>
      </c>
      <c r="T22" s="62" t="n">
        <v>1.2</v>
      </c>
      <c r="U22" s="62" t="n">
        <v>1.4</v>
      </c>
      <c r="V22" s="62" t="n">
        <v>1.6</v>
      </c>
      <c r="W22" s="62" t="n">
        <v>0.9</v>
      </c>
      <c r="X22" s="62" t="n">
        <v>1.3</v>
      </c>
      <c r="Y22" s="62" t="n">
        <v>1.1</v>
      </c>
      <c r="Z22" s="62" t="n">
        <v>1.6</v>
      </c>
      <c r="AA22" s="62" t="n">
        <v>1.1</v>
      </c>
      <c r="AB22" s="62" t="n">
        <v>16.3</v>
      </c>
      <c r="AC22" s="62" t="n">
        <v>11.1</v>
      </c>
      <c r="AD22" s="62" t="n">
        <v>8.4</v>
      </c>
      <c r="AE22" s="62" t="n">
        <v>14.8</v>
      </c>
      <c r="AF22" s="62" t="n">
        <v>14.4</v>
      </c>
      <c r="AG22" s="62" t="n">
        <v>14.4</v>
      </c>
      <c r="AH22" s="58" t="n">
        <f aca="false">(SUM(D22:I22)+SUM(J22:O22))/2+SUM(P22:U22)+SUM(V22:AA22)</f>
        <v>41</v>
      </c>
      <c r="AI22" s="59" t="n">
        <f aca="false">SUM(AB22:AG22)/100*50</f>
        <v>39.7</v>
      </c>
      <c r="AJ22" s="60" t="n">
        <f aca="false">AH22+AI22</f>
        <v>80.7</v>
      </c>
    </row>
    <row r="23" customFormat="false" ht="16.5" hidden="false" customHeight="true" outlineLevel="0" collapsed="false">
      <c r="A23" s="12" t="n">
        <v>17</v>
      </c>
      <c r="B23" s="12" t="s">
        <v>113</v>
      </c>
      <c r="C23" s="56" t="s">
        <v>114</v>
      </c>
      <c r="D23" s="57" t="n">
        <v>3.6</v>
      </c>
      <c r="E23" s="57" t="n">
        <v>4.2</v>
      </c>
      <c r="F23" s="57" t="n">
        <v>3.4</v>
      </c>
      <c r="G23" s="57" t="n">
        <v>2.7</v>
      </c>
      <c r="H23" s="57" t="n">
        <v>3.8</v>
      </c>
      <c r="I23" s="57" t="n">
        <v>3</v>
      </c>
      <c r="J23" s="57" t="n">
        <v>3.6</v>
      </c>
      <c r="K23" s="57" t="n">
        <v>3</v>
      </c>
      <c r="L23" s="57" t="n">
        <v>3.2</v>
      </c>
      <c r="M23" s="57" t="n">
        <v>4.6</v>
      </c>
      <c r="N23" s="57" t="n">
        <v>3.3</v>
      </c>
      <c r="O23" s="57" t="n">
        <v>3.9</v>
      </c>
      <c r="P23" s="57" t="n">
        <v>1.3</v>
      </c>
      <c r="Q23" s="57" t="n">
        <v>1.2</v>
      </c>
      <c r="R23" s="57" t="n">
        <v>1.1</v>
      </c>
      <c r="S23" s="57" t="n">
        <v>1.4</v>
      </c>
      <c r="T23" s="57" t="n">
        <v>0.9</v>
      </c>
      <c r="U23" s="57" t="n">
        <v>0.9</v>
      </c>
      <c r="V23" s="57" t="n">
        <v>1.5</v>
      </c>
      <c r="W23" s="57" t="n">
        <v>1.2</v>
      </c>
      <c r="X23" s="57" t="n">
        <v>0.9</v>
      </c>
      <c r="Y23" s="57" t="n">
        <v>1.5</v>
      </c>
      <c r="Z23" s="57" t="n">
        <v>1.2</v>
      </c>
      <c r="AA23" s="57" t="n">
        <v>0.8</v>
      </c>
      <c r="AB23" s="57" t="n">
        <v>16.3</v>
      </c>
      <c r="AC23" s="57" t="n">
        <v>10</v>
      </c>
      <c r="AD23" s="57" t="n">
        <v>14.1</v>
      </c>
      <c r="AE23" s="57" t="n">
        <v>9.4</v>
      </c>
      <c r="AF23" s="57" t="n">
        <v>13.8</v>
      </c>
      <c r="AG23" s="57" t="n">
        <v>9.7</v>
      </c>
      <c r="AH23" s="58" t="n">
        <f aca="false">(SUM(D23:I23)+SUM(J23:O23))/2+SUM(P23:U23)+SUM(V23:AA23)</f>
        <v>35.05</v>
      </c>
      <c r="AI23" s="59" t="n">
        <f aca="false">SUM(AB23:AG23)/100*50</f>
        <v>36.65</v>
      </c>
      <c r="AJ23" s="60" t="n">
        <f aca="false">AH23+AI23</f>
        <v>71.7</v>
      </c>
    </row>
    <row r="24" customFormat="false" ht="16.5" hidden="false" customHeight="true" outlineLevel="0" collapsed="false">
      <c r="A24" s="27" t="n">
        <v>18</v>
      </c>
      <c r="B24" s="27" t="s">
        <v>115</v>
      </c>
      <c r="C24" s="61" t="s">
        <v>116</v>
      </c>
      <c r="D24" s="62" t="n">
        <v>4.8</v>
      </c>
      <c r="E24" s="62" t="n">
        <v>3.2</v>
      </c>
      <c r="F24" s="62" t="n">
        <v>4.1</v>
      </c>
      <c r="G24" s="62" t="n">
        <v>3.1</v>
      </c>
      <c r="H24" s="62" t="n">
        <v>3.4</v>
      </c>
      <c r="I24" s="62" t="n">
        <v>4.8</v>
      </c>
      <c r="J24" s="62" t="n">
        <v>2.9</v>
      </c>
      <c r="K24" s="62" t="n">
        <v>3.5</v>
      </c>
      <c r="L24" s="62" t="n">
        <v>3.3</v>
      </c>
      <c r="M24" s="62" t="n">
        <v>4.2</v>
      </c>
      <c r="N24" s="62" t="n">
        <v>3.1</v>
      </c>
      <c r="O24" s="62" t="n">
        <v>4.1</v>
      </c>
      <c r="P24" s="62" t="n">
        <v>1.4</v>
      </c>
      <c r="Q24" s="62" t="n">
        <v>0.8</v>
      </c>
      <c r="R24" s="62" t="n">
        <v>1.2</v>
      </c>
      <c r="S24" s="62" t="n">
        <v>0.9</v>
      </c>
      <c r="T24" s="62" t="n">
        <v>1</v>
      </c>
      <c r="U24" s="62" t="n">
        <v>1.4</v>
      </c>
      <c r="V24" s="62" t="n">
        <v>0.8</v>
      </c>
      <c r="W24" s="62" t="n">
        <v>1.4</v>
      </c>
      <c r="X24" s="62" t="n">
        <v>1.5</v>
      </c>
      <c r="Y24" s="62" t="n">
        <v>1.7</v>
      </c>
      <c r="Z24" s="62" t="n">
        <v>1.2</v>
      </c>
      <c r="AA24" s="62" t="n">
        <v>0.9</v>
      </c>
      <c r="AB24" s="62" t="n">
        <v>8.9</v>
      </c>
      <c r="AC24" s="62" t="n">
        <v>11.5</v>
      </c>
      <c r="AD24" s="62" t="n">
        <v>14.4</v>
      </c>
      <c r="AE24" s="62" t="n">
        <v>9.2</v>
      </c>
      <c r="AF24" s="62" t="n">
        <v>10.9</v>
      </c>
      <c r="AG24" s="62" t="n">
        <v>15.7</v>
      </c>
      <c r="AH24" s="58" t="n">
        <f aca="false">(SUM(D24:I24)+SUM(J24:O24))/2+SUM(P24:U24)+SUM(V24:AA24)</f>
        <v>36.45</v>
      </c>
      <c r="AI24" s="59" t="n">
        <f aca="false">SUM(AB24:AG24)/100*50</f>
        <v>35.3</v>
      </c>
      <c r="AJ24" s="60" t="n">
        <f aca="false">AH24+AI24</f>
        <v>71.75</v>
      </c>
    </row>
    <row r="25" customFormat="false" ht="16.5" hidden="false" customHeight="true" outlineLevel="0" collapsed="false">
      <c r="A25" s="12" t="n">
        <v>19</v>
      </c>
      <c r="B25" s="12" t="s">
        <v>117</v>
      </c>
      <c r="C25" s="56" t="s">
        <v>118</v>
      </c>
      <c r="D25" s="57" t="n">
        <v>2.8</v>
      </c>
      <c r="E25" s="57" t="n">
        <v>4.4</v>
      </c>
      <c r="F25" s="57" t="n">
        <v>4.4</v>
      </c>
      <c r="G25" s="57" t="n">
        <v>2.8</v>
      </c>
      <c r="H25" s="57" t="n">
        <v>5</v>
      </c>
      <c r="I25" s="57" t="n">
        <v>2.9</v>
      </c>
      <c r="J25" s="57" t="n">
        <v>3.8</v>
      </c>
      <c r="K25" s="57" t="n">
        <v>2.5</v>
      </c>
      <c r="L25" s="57" t="n">
        <v>4.1</v>
      </c>
      <c r="M25" s="57" t="n">
        <v>3.6</v>
      </c>
      <c r="N25" s="57" t="n">
        <v>4.3</v>
      </c>
      <c r="O25" s="57" t="n">
        <v>4.1</v>
      </c>
      <c r="P25" s="57" t="n">
        <v>1</v>
      </c>
      <c r="Q25" s="57" t="n">
        <v>1.2</v>
      </c>
      <c r="R25" s="57" t="n">
        <v>1.4</v>
      </c>
      <c r="S25" s="57" t="n">
        <v>1.6</v>
      </c>
      <c r="T25" s="57" t="n">
        <v>0.9</v>
      </c>
      <c r="U25" s="57" t="n">
        <v>0.9</v>
      </c>
      <c r="V25" s="57" t="n">
        <v>1.5</v>
      </c>
      <c r="W25" s="57" t="n">
        <v>1.3</v>
      </c>
      <c r="X25" s="57" t="n">
        <v>1.2</v>
      </c>
      <c r="Y25" s="57" t="n">
        <v>1.6</v>
      </c>
      <c r="Z25" s="57" t="n">
        <v>1.1</v>
      </c>
      <c r="AA25" s="57" t="n">
        <v>0.9</v>
      </c>
      <c r="AB25" s="57" t="n">
        <v>10.6</v>
      </c>
      <c r="AC25" s="57" t="n">
        <v>9</v>
      </c>
      <c r="AD25" s="57" t="n">
        <v>12.9</v>
      </c>
      <c r="AE25" s="57" t="n">
        <v>13.3</v>
      </c>
      <c r="AF25" s="57" t="n">
        <v>13.4</v>
      </c>
      <c r="AG25" s="57" t="n">
        <v>14.8</v>
      </c>
      <c r="AH25" s="58" t="n">
        <f aca="false">(SUM(D25:I25)+SUM(J25:O25))/2+SUM(P25:U25)+SUM(V25:AA25)</f>
        <v>36.95</v>
      </c>
      <c r="AI25" s="59" t="n">
        <f aca="false">SUM(AB25:AG25)/100*50</f>
        <v>37</v>
      </c>
      <c r="AJ25" s="60" t="n">
        <f aca="false">AH25+AI25</f>
        <v>73.95</v>
      </c>
    </row>
    <row r="26" customFormat="false" ht="16.5" hidden="false" customHeight="true" outlineLevel="0" collapsed="false">
      <c r="A26" s="27" t="n">
        <v>20</v>
      </c>
      <c r="B26" s="27" t="s">
        <v>119</v>
      </c>
      <c r="C26" s="61" t="s">
        <v>120</v>
      </c>
      <c r="D26" s="62" t="n">
        <v>4.2</v>
      </c>
      <c r="E26" s="62" t="n">
        <v>4.6</v>
      </c>
      <c r="F26" s="62" t="n">
        <v>4.1</v>
      </c>
      <c r="G26" s="62" t="n">
        <v>3.3</v>
      </c>
      <c r="H26" s="62" t="n">
        <v>3.8</v>
      </c>
      <c r="I26" s="62" t="n">
        <v>3.8</v>
      </c>
      <c r="J26" s="62" t="n">
        <v>4.4</v>
      </c>
      <c r="K26" s="62" t="n">
        <v>3.2</v>
      </c>
      <c r="L26" s="62" t="n">
        <v>2.6</v>
      </c>
      <c r="M26" s="62" t="n">
        <v>4.7</v>
      </c>
      <c r="N26" s="62" t="n">
        <v>4.9</v>
      </c>
      <c r="O26" s="62" t="n">
        <v>3.7</v>
      </c>
      <c r="P26" s="62" t="n">
        <v>0.9</v>
      </c>
      <c r="Q26" s="62" t="n">
        <v>1.2</v>
      </c>
      <c r="R26" s="62" t="n">
        <v>1.3</v>
      </c>
      <c r="S26" s="62" t="n">
        <v>1.3</v>
      </c>
      <c r="T26" s="62" t="n">
        <v>1.6</v>
      </c>
      <c r="U26" s="62" t="n">
        <v>1.7</v>
      </c>
      <c r="V26" s="62" t="n">
        <v>1.6</v>
      </c>
      <c r="W26" s="62" t="n">
        <v>0.9</v>
      </c>
      <c r="X26" s="62" t="n">
        <v>1.6</v>
      </c>
      <c r="Y26" s="62" t="n">
        <v>1.3</v>
      </c>
      <c r="Z26" s="62" t="n">
        <v>1.1</v>
      </c>
      <c r="AA26" s="62" t="n">
        <v>1.4</v>
      </c>
      <c r="AB26" s="62" t="n">
        <v>14.7</v>
      </c>
      <c r="AC26" s="62" t="n">
        <v>16.3</v>
      </c>
      <c r="AD26" s="62" t="n">
        <v>14.8</v>
      </c>
      <c r="AE26" s="62" t="n">
        <v>8.5</v>
      </c>
      <c r="AF26" s="62" t="n">
        <v>8.9</v>
      </c>
      <c r="AG26" s="62" t="n">
        <v>10.5</v>
      </c>
      <c r="AH26" s="58" t="n">
        <f aca="false">(SUM(D26:I26)+SUM(J26:O26))/2+SUM(P26:U26)+SUM(V26:AA26)</f>
        <v>39.55</v>
      </c>
      <c r="AI26" s="59" t="n">
        <f aca="false">SUM(AB26:AG26)/100*50</f>
        <v>36.85</v>
      </c>
      <c r="AJ26" s="60" t="n">
        <f aca="false">AH26+AI26</f>
        <v>76.4</v>
      </c>
    </row>
    <row r="28" customFormat="false" ht="19.5" hidden="false" customHeight="true" outlineLevel="0" collapsed="false">
      <c r="A28" s="41" t="s">
        <v>121</v>
      </c>
      <c r="B28" s="41"/>
      <c r="C28" s="41"/>
      <c r="D28" s="63" t="n">
        <f aca="false">AVERAGE(D7:D26)</f>
        <v>3.82</v>
      </c>
      <c r="E28" s="63" t="n">
        <f aca="false">AVERAGE(E7:E26)</f>
        <v>3.92</v>
      </c>
      <c r="F28" s="63" t="n">
        <f aca="false">AVERAGE(F7:F26)</f>
        <v>3.62</v>
      </c>
      <c r="G28" s="63" t="n">
        <f aca="false">AVERAGE(G7:G26)</f>
        <v>3.405</v>
      </c>
      <c r="H28" s="63" t="n">
        <f aca="false">AVERAGE(H7:H26)</f>
        <v>3.79</v>
      </c>
      <c r="I28" s="63" t="n">
        <f aca="false">AVERAGE(I7:I26)</f>
        <v>3.81</v>
      </c>
      <c r="J28" s="63" t="n">
        <f aca="false">AVERAGE(J7:J26)</f>
        <v>3.705</v>
      </c>
      <c r="K28" s="63" t="n">
        <f aca="false">AVERAGE(K7:K26)</f>
        <v>3.515</v>
      </c>
      <c r="L28" s="63" t="n">
        <f aca="false">AVERAGE(L7:L26)</f>
        <v>3.48</v>
      </c>
      <c r="M28" s="63" t="n">
        <f aca="false">AVERAGE(M7:M26)</f>
        <v>4.075</v>
      </c>
      <c r="N28" s="63" t="n">
        <f aca="false">AVERAGE(N7:N26)</f>
        <v>3.875</v>
      </c>
      <c r="O28" s="63" t="n">
        <f aca="false">AVERAGE(O7:O26)</f>
        <v>3.675</v>
      </c>
      <c r="P28" s="63" t="n">
        <f aca="false">AVERAGE(P7:P26)</f>
        <v>1.2</v>
      </c>
      <c r="Q28" s="63" t="n">
        <f aca="false">AVERAGE(Q7:Q26)</f>
        <v>1.235</v>
      </c>
      <c r="R28" s="63" t="n">
        <f aca="false">AVERAGE(R7:R26)</f>
        <v>1.215</v>
      </c>
      <c r="S28" s="63" t="n">
        <f aca="false">AVERAGE(S7:S26)</f>
        <v>1.29</v>
      </c>
      <c r="T28" s="63" t="n">
        <f aca="false">AVERAGE(T7:T26)</f>
        <v>1.26</v>
      </c>
      <c r="U28" s="63" t="n">
        <f aca="false">AVERAGE(U7:U26)</f>
        <v>1.28</v>
      </c>
      <c r="V28" s="63" t="n">
        <f aca="false">AVERAGE(V7:V26)</f>
        <v>1.315</v>
      </c>
      <c r="W28" s="63" t="n">
        <f aca="false">AVERAGE(W7:W26)</f>
        <v>1.195</v>
      </c>
      <c r="X28" s="63" t="n">
        <f aca="false">AVERAGE(X7:X26)</f>
        <v>1.215</v>
      </c>
      <c r="Y28" s="63" t="n">
        <f aca="false">AVERAGE(Y7:Y26)</f>
        <v>1.34</v>
      </c>
      <c r="Z28" s="63" t="n">
        <f aca="false">AVERAGE(Z7:Z26)</f>
        <v>1.22</v>
      </c>
      <c r="AA28" s="63" t="n">
        <f aca="false">AVERAGE(AA7:AA26)</f>
        <v>1.165</v>
      </c>
      <c r="AB28" s="63" t="n">
        <f aca="false">AVERAGE(AB7:AB26)</f>
        <v>12.42</v>
      </c>
      <c r="AC28" s="63" t="n">
        <f aca="false">AVERAGE(AC7:AC26)</f>
        <v>12.22</v>
      </c>
      <c r="AD28" s="63" t="n">
        <f aca="false">AVERAGE(AD7:AD26)</f>
        <v>12.325</v>
      </c>
      <c r="AE28" s="63" t="n">
        <f aca="false">AVERAGE(AE7:AE26)</f>
        <v>12.335</v>
      </c>
      <c r="AF28" s="63" t="n">
        <f aca="false">AVERAGE(AF7:AF26)</f>
        <v>12.73</v>
      </c>
      <c r="AG28" s="63" t="n">
        <f aca="false">AVERAGE(AG7:AG26)</f>
        <v>13.83</v>
      </c>
      <c r="AH28" s="64" t="n">
        <f aca="false">AVERAGE(AH7:AH26)</f>
        <v>37.275</v>
      </c>
      <c r="AI28" s="63" t="n">
        <f aca="false">AVERAGE(AI7:AI26)</f>
        <v>37.93</v>
      </c>
      <c r="AJ28" s="52" t="n">
        <f aca="false">AVERAGE(AJ7:AJ26)</f>
        <v>75.205</v>
      </c>
    </row>
    <row r="30" customFormat="false" ht="21.75" hidden="false" customHeight="true" outlineLevel="0" collapsed="false">
      <c r="A30" s="41" t="s">
        <v>122</v>
      </c>
      <c r="B30" s="41"/>
      <c r="C30" s="41"/>
      <c r="D30" s="65" t="n">
        <f aca="false">IFERROR((D28/D6+J28/J6+P28/P6+V28/V6+AB28/AB6)/5,0)</f>
        <v>0.751207802750827</v>
      </c>
      <c r="E30" s="65" t="n">
        <f aca="false">IFERROR((E28/E6+K28/K6+Q28/Q6+W28/W6+AC28/AC6)/5,0)</f>
        <v>0.735028641936283</v>
      </c>
      <c r="F30" s="65" t="n">
        <f aca="false">IFERROR((F28/F6+L28/L6+R28/R6+X28/X6+AD28/AD6)/5,0)</f>
        <v>0.722888389986673</v>
      </c>
      <c r="G30" s="65" t="n">
        <f aca="false">IFERROR((G28/G6+M28/M6+S28/S6+Y28/Y6+AE28/AE6)/5,0)</f>
        <v>0.762160461799856</v>
      </c>
      <c r="H30" s="65" t="n">
        <f aca="false">IFERROR((H28/H6+N28/N6+T28/T6+Z28/Z6+AF28/AF6)/5,0)</f>
        <v>0.75633544213313</v>
      </c>
      <c r="I30" s="65" t="n">
        <f aca="false">IFERROR((I28/I6+O28/O6+U28/U6+AA28/AA6+AG28/AG6)/5,0)</f>
        <v>0.758141185894558</v>
      </c>
    </row>
    <row r="31" customFormat="false" ht="19.5" hidden="false" customHeight="true" outlineLevel="0" collapsed="false">
      <c r="A31" s="38" t="s">
        <v>123</v>
      </c>
      <c r="B31" s="38"/>
      <c r="C31" s="38"/>
      <c r="D31" s="66" t="n">
        <f aca="false">IF(D30&gt;=0.6,3,IF(D30&gt;=0.4,2,1))</f>
        <v>3</v>
      </c>
      <c r="E31" s="66" t="n">
        <f aca="false">IF(E30&gt;=0.6,3,IF(E30&gt;=0.4,2,1))</f>
        <v>3</v>
      </c>
      <c r="F31" s="66" t="n">
        <f aca="false">IF(F30&gt;=0.6,3,IF(F30&gt;=0.4,2,1))</f>
        <v>3</v>
      </c>
      <c r="G31" s="66" t="n">
        <f aca="false">IF(G30&gt;=0.6,3,IF(G30&gt;=0.4,2,1))</f>
        <v>3</v>
      </c>
      <c r="H31" s="66" t="n">
        <f aca="false">IF(H30&gt;=0.6,3,IF(H30&gt;=0.4,2,1))</f>
        <v>3</v>
      </c>
      <c r="I31" s="66" t="n">
        <f aca="false">IF(I30&gt;=0.6,3,IF(I30&gt;=0.4,2,1))</f>
        <v>3</v>
      </c>
    </row>
  </sheetData>
  <mergeCells count="12">
    <mergeCell ref="A1:AJ1"/>
    <mergeCell ref="A2:AJ2"/>
    <mergeCell ref="A4:C4"/>
    <mergeCell ref="D4:I4"/>
    <mergeCell ref="J4:O4"/>
    <mergeCell ref="P4:U4"/>
    <mergeCell ref="V4:AA4"/>
    <mergeCell ref="AB4:AG4"/>
    <mergeCell ref="A6:C6"/>
    <mergeCell ref="A28:C28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12" min="4" style="0" width="10"/>
  </cols>
  <sheetData>
    <row r="1" customFormat="false" ht="36" hidden="false" customHeight="true" outlineLevel="0" collapsed="false">
      <c r="A1" s="67" t="s">
        <v>129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customFormat="false" ht="15.75" hidden="false" customHeight="true" outlineLevel="0" collapsed="false">
      <c r="A2" s="68" t="s">
        <v>130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customFormat="false" ht="7.5" hidden="false" customHeight="true" outlineLevel="0" collapsed="false"/>
    <row r="4" customFormat="false" ht="21.75" hidden="false" customHeight="true" outlineLevel="0" collapsed="false">
      <c r="A4" s="43" t="s">
        <v>4</v>
      </c>
      <c r="B4" s="43" t="s">
        <v>5</v>
      </c>
      <c r="C4" s="43" t="s">
        <v>6</v>
      </c>
      <c r="D4" s="20" t="s">
        <v>74</v>
      </c>
      <c r="E4" s="20" t="s">
        <v>75</v>
      </c>
      <c r="F4" s="20" t="s">
        <v>76</v>
      </c>
      <c r="G4" s="20" t="s">
        <v>77</v>
      </c>
      <c r="H4" s="20" t="s">
        <v>78</v>
      </c>
      <c r="I4" s="20" t="s">
        <v>128</v>
      </c>
      <c r="J4" s="69" t="s">
        <v>9</v>
      </c>
      <c r="K4" s="69" t="s">
        <v>10</v>
      </c>
      <c r="L4" s="69" t="s">
        <v>131</v>
      </c>
    </row>
    <row r="5" customFormat="false" ht="19.5" hidden="false" customHeight="true" outlineLevel="0" collapsed="false">
      <c r="A5" s="12" t="n">
        <v>1</v>
      </c>
      <c r="B5" s="13" t="s">
        <v>20</v>
      </c>
      <c r="C5" s="14" t="s">
        <v>21</v>
      </c>
      <c r="D5" s="70" t="n">
        <f aca="false">CS301!D30</f>
        <v>0.766533333333333</v>
      </c>
      <c r="E5" s="70" t="n">
        <f aca="false">CS301!E30</f>
        <v>0.731033333333333</v>
      </c>
      <c r="F5" s="70" t="n">
        <f aca="false">CS301!F30</f>
        <v>0.75395</v>
      </c>
      <c r="G5" s="70" t="n">
        <f aca="false">CS301!G30</f>
        <v>0.750166666666667</v>
      </c>
      <c r="H5" s="70" t="n">
        <f aca="false">CS301!H30</f>
        <v>0.743616666666667</v>
      </c>
      <c r="I5" s="71" t="s">
        <v>132</v>
      </c>
      <c r="J5" s="72" t="n">
        <f aca="false">AVERAGE(D5,E5,F5,G5,H5)</f>
        <v>0.74906</v>
      </c>
      <c r="K5" s="73" t="n">
        <f aca="false">AVERAGE(D5,E5,F5,G5,H5)</f>
        <v>0.74906</v>
      </c>
      <c r="L5" s="74" t="n">
        <f aca="false">AVERAGE(D5,E5,F5,G5,H5)</f>
        <v>0.74906</v>
      </c>
    </row>
    <row r="6" customFormat="false" ht="19.5" hidden="false" customHeight="true" outlineLevel="0" collapsed="false">
      <c r="A6" s="27" t="n">
        <v>2</v>
      </c>
      <c r="B6" s="28" t="s">
        <v>24</v>
      </c>
      <c r="C6" s="29" t="s">
        <v>25</v>
      </c>
      <c r="D6" s="75" t="n">
        <f aca="false">CS302!D30</f>
        <v>0.780633333333333</v>
      </c>
      <c r="E6" s="75" t="n">
        <f aca="false">CS302!E30</f>
        <v>0.7491</v>
      </c>
      <c r="F6" s="75" t="n">
        <f aca="false">CS302!F30</f>
        <v>0.766416666666667</v>
      </c>
      <c r="G6" s="75" t="n">
        <f aca="false">CS302!G30</f>
        <v>0.741783333333333</v>
      </c>
      <c r="H6" s="75" t="n">
        <f aca="false">CS302!H30</f>
        <v>0.76125</v>
      </c>
      <c r="I6" s="76" t="s">
        <v>132</v>
      </c>
      <c r="J6" s="72" t="n">
        <f aca="false">AVERAGE(D6,E6,F6,G6,H6)</f>
        <v>0.759836666666667</v>
      </c>
      <c r="K6" s="73" t="n">
        <f aca="false">AVERAGE(D6,E6,F6,G6,H6)</f>
        <v>0.759836666666667</v>
      </c>
      <c r="L6" s="74" t="n">
        <f aca="false">AVERAGE(D6,E6,F6,G6,H6)</f>
        <v>0.759836666666667</v>
      </c>
    </row>
    <row r="7" customFormat="false" ht="19.5" hidden="false" customHeight="true" outlineLevel="0" collapsed="false">
      <c r="A7" s="12" t="n">
        <v>3</v>
      </c>
      <c r="B7" s="13" t="s">
        <v>28</v>
      </c>
      <c r="C7" s="14" t="s">
        <v>29</v>
      </c>
      <c r="D7" s="70" t="n">
        <f aca="false">CS303!D30</f>
        <v>0.746366666666667</v>
      </c>
      <c r="E7" s="70" t="n">
        <f aca="false">CS303!E30</f>
        <v>0.742066666666667</v>
      </c>
      <c r="F7" s="70" t="n">
        <f aca="false">CS303!F30</f>
        <v>0.770916666666667</v>
      </c>
      <c r="G7" s="70" t="n">
        <f aca="false">CS303!G30</f>
        <v>0.7431</v>
      </c>
      <c r="H7" s="70" t="n">
        <f aca="false">CS303!H30</f>
        <v>0.74365</v>
      </c>
      <c r="I7" s="71" t="s">
        <v>132</v>
      </c>
      <c r="J7" s="72" t="n">
        <f aca="false">AVERAGE(D7,E7,F7,G7,H7)</f>
        <v>0.74922</v>
      </c>
      <c r="K7" s="73" t="n">
        <f aca="false">AVERAGE(D7,E7,F7,G7,H7)</f>
        <v>0.74922</v>
      </c>
      <c r="L7" s="74" t="n">
        <f aca="false">AVERAGE(D7,E7,F7,G7,H7)</f>
        <v>0.74922</v>
      </c>
    </row>
    <row r="8" customFormat="false" ht="19.5" hidden="false" customHeight="true" outlineLevel="0" collapsed="false">
      <c r="A8" s="27" t="n">
        <v>4</v>
      </c>
      <c r="B8" s="28" t="s">
        <v>32</v>
      </c>
      <c r="C8" s="29" t="s">
        <v>33</v>
      </c>
      <c r="D8" s="75" t="n">
        <f aca="false">CS304!D30</f>
        <v>0.758083333333333</v>
      </c>
      <c r="E8" s="75" t="n">
        <f aca="false">CS304!E30</f>
        <v>0.782933333333333</v>
      </c>
      <c r="F8" s="75" t="n">
        <f aca="false">CS304!F30</f>
        <v>0.73675</v>
      </c>
      <c r="G8" s="75" t="n">
        <f aca="false">CS304!G30</f>
        <v>0.749583333333333</v>
      </c>
      <c r="H8" s="75" t="n">
        <f aca="false">CS304!H30</f>
        <v>0.752183333333333</v>
      </c>
      <c r="I8" s="76" t="s">
        <v>132</v>
      </c>
      <c r="J8" s="72" t="n">
        <f aca="false">AVERAGE(D8,E8,F8,G8,H8)</f>
        <v>0.755906666666667</v>
      </c>
      <c r="K8" s="73" t="n">
        <f aca="false">AVERAGE(D8,E8,F8,G8,H8)</f>
        <v>0.755906666666667</v>
      </c>
      <c r="L8" s="74" t="n">
        <f aca="false">AVERAGE(D8,E8,F8,G8,H8)</f>
        <v>0.755906666666667</v>
      </c>
    </row>
    <row r="9" customFormat="false" ht="19.5" hidden="false" customHeight="true" outlineLevel="0" collapsed="false">
      <c r="A9" s="12" t="n">
        <v>5</v>
      </c>
      <c r="B9" s="13" t="s">
        <v>36</v>
      </c>
      <c r="C9" s="14" t="s">
        <v>37</v>
      </c>
      <c r="D9" s="70" t="n">
        <f aca="false">CS305!D30</f>
        <v>0.751207802750827</v>
      </c>
      <c r="E9" s="70" t="n">
        <f aca="false">CS305!E30</f>
        <v>0.735028641936283</v>
      </c>
      <c r="F9" s="70" t="n">
        <f aca="false">CS305!F30</f>
        <v>0.722888389986673</v>
      </c>
      <c r="G9" s="70" t="n">
        <f aca="false">CS305!G30</f>
        <v>0.762160461799856</v>
      </c>
      <c r="H9" s="70" t="n">
        <f aca="false">CS305!H30</f>
        <v>0.75633544213313</v>
      </c>
      <c r="I9" s="70" t="n">
        <f aca="false">CS305!I30</f>
        <v>0.758141185894558</v>
      </c>
      <c r="J9" s="72" t="n">
        <f aca="false">AVERAGE(D9,E9,F9,G9,H9,I9)</f>
        <v>0.747626987416888</v>
      </c>
      <c r="K9" s="73" t="n">
        <f aca="false">AVERAGE(D9,E9,F9,G9,H9,I9)</f>
        <v>0.747626987416888</v>
      </c>
      <c r="L9" s="74" t="n">
        <f aca="false">AVERAGE(D9,E9,F9,G9,H9,I9)</f>
        <v>0.747626987416888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19" min="5" style="0" width="8"/>
  </cols>
  <sheetData>
    <row r="1" customFormat="false" ht="36" hidden="false" customHeight="true" outlineLevel="0" collapsed="false">
      <c r="A1" s="34" t="s">
        <v>133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customFormat="false" ht="15.75" hidden="false" customHeight="true" outlineLevel="0" collapsed="false">
      <c r="A2" s="68" t="s">
        <v>134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3" customFormat="false" ht="27.75" hidden="false" customHeight="true" outlineLevel="0" collapsed="false">
      <c r="A3" s="77" t="s">
        <v>5</v>
      </c>
      <c r="B3" s="77" t="s">
        <v>6</v>
      </c>
      <c r="C3" s="77" t="s">
        <v>135</v>
      </c>
      <c r="D3" s="77" t="s">
        <v>136</v>
      </c>
      <c r="E3" s="78" t="s">
        <v>137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9" t="s">
        <v>138</v>
      </c>
      <c r="R3" s="79"/>
      <c r="S3" s="79"/>
    </row>
    <row r="4" customFormat="false" ht="19.5" hidden="false" customHeight="true" outlineLevel="0" collapsed="false">
      <c r="A4" s="77"/>
      <c r="B4" s="77"/>
      <c r="C4" s="77"/>
      <c r="D4" s="77"/>
      <c r="E4" s="20" t="s">
        <v>22</v>
      </c>
      <c r="F4" s="20" t="s">
        <v>26</v>
      </c>
      <c r="G4" s="20" t="s">
        <v>30</v>
      </c>
      <c r="H4" s="20" t="s">
        <v>34</v>
      </c>
      <c r="I4" s="20" t="s">
        <v>38</v>
      </c>
      <c r="J4" s="20" t="s">
        <v>40</v>
      </c>
      <c r="K4" s="20" t="s">
        <v>42</v>
      </c>
      <c r="L4" s="20" t="s">
        <v>44</v>
      </c>
      <c r="M4" s="20" t="s">
        <v>46</v>
      </c>
      <c r="N4" s="20" t="s">
        <v>48</v>
      </c>
      <c r="O4" s="20" t="s">
        <v>50</v>
      </c>
      <c r="P4" s="20" t="s">
        <v>52</v>
      </c>
      <c r="Q4" s="32" t="s">
        <v>54</v>
      </c>
      <c r="R4" s="32" t="s">
        <v>56</v>
      </c>
      <c r="S4" s="32" t="s">
        <v>58</v>
      </c>
    </row>
    <row r="5" customFormat="false" ht="18" hidden="false" customHeight="true" outlineLevel="0" collapsed="false">
      <c r="A5" s="80" t="s">
        <v>20</v>
      </c>
      <c r="B5" s="81" t="s">
        <v>21</v>
      </c>
      <c r="C5" s="20" t="s">
        <v>74</v>
      </c>
      <c r="D5" s="82" t="n">
        <f aca="false">CS301!D30</f>
        <v>0.766533333333333</v>
      </c>
      <c r="E5" s="83" t="n">
        <v>3</v>
      </c>
      <c r="F5" s="83" t="n">
        <v>3</v>
      </c>
      <c r="G5" s="83" t="n">
        <v>2</v>
      </c>
      <c r="H5" s="83" t="n">
        <v>1</v>
      </c>
      <c r="I5" s="84" t="n">
        <v>0</v>
      </c>
      <c r="J5" s="84" t="n">
        <v>0</v>
      </c>
      <c r="K5" s="84" t="n">
        <v>0</v>
      </c>
      <c r="L5" s="84" t="n">
        <v>0</v>
      </c>
      <c r="M5" s="83" t="n">
        <v>1</v>
      </c>
      <c r="N5" s="84" t="n">
        <v>0</v>
      </c>
      <c r="O5" s="84" t="n">
        <v>0</v>
      </c>
      <c r="P5" s="83" t="n">
        <v>2</v>
      </c>
      <c r="Q5" s="44" t="n">
        <v>3</v>
      </c>
      <c r="R5" s="44" t="n">
        <v>2</v>
      </c>
      <c r="S5" s="44" t="n">
        <v>1</v>
      </c>
    </row>
    <row r="6" customFormat="false" ht="18" hidden="false" customHeight="true" outlineLevel="0" collapsed="false">
      <c r="A6" s="80"/>
      <c r="B6" s="80"/>
      <c r="C6" s="20" t="s">
        <v>75</v>
      </c>
      <c r="D6" s="82" t="n">
        <f aca="false">CS301!E30</f>
        <v>0.731033333333333</v>
      </c>
      <c r="E6" s="83" t="n">
        <v>3</v>
      </c>
      <c r="F6" s="83" t="n">
        <v>3</v>
      </c>
      <c r="G6" s="83" t="n">
        <v>3</v>
      </c>
      <c r="H6" s="83" t="n">
        <v>2</v>
      </c>
      <c r="I6" s="83" t="n">
        <v>1</v>
      </c>
      <c r="J6" s="84" t="n">
        <v>0</v>
      </c>
      <c r="K6" s="84" t="n">
        <v>0</v>
      </c>
      <c r="L6" s="84" t="n">
        <v>0</v>
      </c>
      <c r="M6" s="83" t="n">
        <v>1</v>
      </c>
      <c r="N6" s="84" t="n">
        <v>0</v>
      </c>
      <c r="O6" s="84" t="n">
        <v>0</v>
      </c>
      <c r="P6" s="83" t="n">
        <v>2</v>
      </c>
      <c r="Q6" s="44" t="n">
        <v>3</v>
      </c>
      <c r="R6" s="44" t="n">
        <v>2</v>
      </c>
      <c r="S6" s="44" t="n">
        <v>1</v>
      </c>
    </row>
    <row r="7" customFormat="false" ht="18" hidden="false" customHeight="true" outlineLevel="0" collapsed="false">
      <c r="A7" s="80"/>
      <c r="B7" s="80"/>
      <c r="C7" s="20" t="s">
        <v>76</v>
      </c>
      <c r="D7" s="82" t="n">
        <f aca="false">CS301!F30</f>
        <v>0.75395</v>
      </c>
      <c r="E7" s="83" t="n">
        <v>2</v>
      </c>
      <c r="F7" s="83" t="n">
        <v>3</v>
      </c>
      <c r="G7" s="83" t="n">
        <v>3</v>
      </c>
      <c r="H7" s="83" t="n">
        <v>2</v>
      </c>
      <c r="I7" s="83" t="n">
        <v>2</v>
      </c>
      <c r="J7" s="84" t="n">
        <v>0</v>
      </c>
      <c r="K7" s="84" t="n">
        <v>0</v>
      </c>
      <c r="L7" s="84" t="n">
        <v>0</v>
      </c>
      <c r="M7" s="84" t="n">
        <v>0</v>
      </c>
      <c r="N7" s="83" t="n">
        <v>1</v>
      </c>
      <c r="O7" s="84" t="n">
        <v>0</v>
      </c>
      <c r="P7" s="83" t="n">
        <v>1</v>
      </c>
      <c r="Q7" s="44" t="n">
        <v>3</v>
      </c>
      <c r="R7" s="44" t="n">
        <v>3</v>
      </c>
      <c r="S7" s="44" t="n">
        <v>2</v>
      </c>
    </row>
    <row r="8" customFormat="false" ht="18" hidden="false" customHeight="true" outlineLevel="0" collapsed="false">
      <c r="A8" s="80"/>
      <c r="B8" s="80"/>
      <c r="C8" s="20" t="s">
        <v>77</v>
      </c>
      <c r="D8" s="82" t="n">
        <f aca="false">CS301!G30</f>
        <v>0.750166666666667</v>
      </c>
      <c r="E8" s="83" t="n">
        <v>3</v>
      </c>
      <c r="F8" s="83" t="n">
        <v>3</v>
      </c>
      <c r="G8" s="83" t="n">
        <v>2</v>
      </c>
      <c r="H8" s="83" t="n">
        <v>3</v>
      </c>
      <c r="I8" s="83" t="n">
        <v>1</v>
      </c>
      <c r="J8" s="84" t="n">
        <v>0</v>
      </c>
      <c r="K8" s="84" t="n">
        <v>0</v>
      </c>
      <c r="L8" s="84" t="n">
        <v>0</v>
      </c>
      <c r="M8" s="84" t="n">
        <v>0</v>
      </c>
      <c r="N8" s="84" t="n">
        <v>0</v>
      </c>
      <c r="O8" s="84" t="n">
        <v>0</v>
      </c>
      <c r="P8" s="83" t="n">
        <v>2</v>
      </c>
      <c r="Q8" s="44" t="n">
        <v>3</v>
      </c>
      <c r="R8" s="44" t="n">
        <v>2</v>
      </c>
      <c r="S8" s="44" t="n">
        <v>1</v>
      </c>
    </row>
    <row r="9" customFormat="false" ht="18" hidden="false" customHeight="true" outlineLevel="0" collapsed="false">
      <c r="A9" s="80"/>
      <c r="B9" s="80"/>
      <c r="C9" s="20" t="s">
        <v>78</v>
      </c>
      <c r="D9" s="82" t="n">
        <f aca="false">CS301!H30</f>
        <v>0.743616666666667</v>
      </c>
      <c r="E9" s="83" t="n">
        <v>2</v>
      </c>
      <c r="F9" s="83" t="n">
        <v>2</v>
      </c>
      <c r="G9" s="83" t="n">
        <v>3</v>
      </c>
      <c r="H9" s="83" t="n">
        <v>2</v>
      </c>
      <c r="I9" s="83" t="n">
        <v>3</v>
      </c>
      <c r="J9" s="84" t="n">
        <v>0</v>
      </c>
      <c r="K9" s="84" t="n">
        <v>0</v>
      </c>
      <c r="L9" s="84" t="n">
        <v>0</v>
      </c>
      <c r="M9" s="83" t="n">
        <v>1</v>
      </c>
      <c r="N9" s="84" t="n">
        <v>0</v>
      </c>
      <c r="O9" s="84" t="n">
        <v>0</v>
      </c>
      <c r="P9" s="83" t="n">
        <v>2</v>
      </c>
      <c r="Q9" s="44" t="n">
        <v>2</v>
      </c>
      <c r="R9" s="44" t="n">
        <v>3</v>
      </c>
      <c r="S9" s="44" t="n">
        <v>2</v>
      </c>
    </row>
    <row r="10" customFormat="false" ht="18" hidden="false" customHeight="true" outlineLevel="0" collapsed="false">
      <c r="A10" s="80" t="s">
        <v>24</v>
      </c>
      <c r="B10" s="81" t="s">
        <v>25</v>
      </c>
      <c r="C10" s="20" t="s">
        <v>74</v>
      </c>
      <c r="D10" s="82" t="n">
        <f aca="false">CS302!D30</f>
        <v>0.780633333333333</v>
      </c>
      <c r="E10" s="83" t="n">
        <v>3</v>
      </c>
      <c r="F10" s="83" t="n">
        <v>2</v>
      </c>
      <c r="G10" s="83" t="n">
        <v>2</v>
      </c>
      <c r="H10" s="83" t="n">
        <v>1</v>
      </c>
      <c r="I10" s="83" t="n">
        <v>2</v>
      </c>
      <c r="J10" s="84" t="n">
        <v>0</v>
      </c>
      <c r="K10" s="84" t="n">
        <v>0</v>
      </c>
      <c r="L10" s="84" t="n">
        <v>0</v>
      </c>
      <c r="M10" s="84" t="n">
        <v>0</v>
      </c>
      <c r="N10" s="83" t="n">
        <v>1</v>
      </c>
      <c r="O10" s="84" t="n">
        <v>0</v>
      </c>
      <c r="P10" s="83" t="n">
        <v>1</v>
      </c>
      <c r="Q10" s="44" t="n">
        <v>3</v>
      </c>
      <c r="R10" s="44" t="n">
        <v>2</v>
      </c>
      <c r="S10" s="44" t="n">
        <v>2</v>
      </c>
    </row>
    <row r="11" customFormat="false" ht="18" hidden="false" customHeight="true" outlineLevel="0" collapsed="false">
      <c r="A11" s="80"/>
      <c r="B11" s="80"/>
      <c r="C11" s="20" t="s">
        <v>75</v>
      </c>
      <c r="D11" s="82" t="n">
        <f aca="false">CS302!E30</f>
        <v>0.7491</v>
      </c>
      <c r="E11" s="83" t="n">
        <v>3</v>
      </c>
      <c r="F11" s="83" t="n">
        <v>3</v>
      </c>
      <c r="G11" s="83" t="n">
        <v>2</v>
      </c>
      <c r="H11" s="83" t="n">
        <v>2</v>
      </c>
      <c r="I11" s="83" t="n">
        <v>2</v>
      </c>
      <c r="J11" s="84" t="n">
        <v>0</v>
      </c>
      <c r="K11" s="84" t="n">
        <v>0</v>
      </c>
      <c r="L11" s="84" t="n">
        <v>0</v>
      </c>
      <c r="M11" s="83" t="n">
        <v>1</v>
      </c>
      <c r="N11" s="84" t="n">
        <v>0</v>
      </c>
      <c r="O11" s="84" t="n">
        <v>0</v>
      </c>
      <c r="P11" s="83" t="n">
        <v>1</v>
      </c>
      <c r="Q11" s="44" t="n">
        <v>3</v>
      </c>
      <c r="R11" s="44" t="n">
        <v>2</v>
      </c>
      <c r="S11" s="44" t="n">
        <v>1</v>
      </c>
    </row>
    <row r="12" customFormat="false" ht="18" hidden="false" customHeight="true" outlineLevel="0" collapsed="false">
      <c r="A12" s="80"/>
      <c r="B12" s="80"/>
      <c r="C12" s="20" t="s">
        <v>76</v>
      </c>
      <c r="D12" s="82" t="n">
        <f aca="false">CS302!F30</f>
        <v>0.766416666666667</v>
      </c>
      <c r="E12" s="83" t="n">
        <v>2</v>
      </c>
      <c r="F12" s="83" t="n">
        <v>3</v>
      </c>
      <c r="G12" s="83" t="n">
        <v>3</v>
      </c>
      <c r="H12" s="83" t="n">
        <v>2</v>
      </c>
      <c r="I12" s="83" t="n">
        <v>2</v>
      </c>
      <c r="J12" s="84" t="n">
        <v>0</v>
      </c>
      <c r="K12" s="84" t="n">
        <v>0</v>
      </c>
      <c r="L12" s="84" t="n">
        <v>0</v>
      </c>
      <c r="M12" s="84" t="n">
        <v>0</v>
      </c>
      <c r="N12" s="83" t="n">
        <v>1</v>
      </c>
      <c r="O12" s="84" t="n">
        <v>0</v>
      </c>
      <c r="P12" s="83" t="n">
        <v>2</v>
      </c>
      <c r="Q12" s="44" t="n">
        <v>2</v>
      </c>
      <c r="R12" s="44" t="n">
        <v>3</v>
      </c>
      <c r="S12" s="44" t="n">
        <v>2</v>
      </c>
    </row>
    <row r="13" customFormat="false" ht="18" hidden="false" customHeight="true" outlineLevel="0" collapsed="false">
      <c r="A13" s="80"/>
      <c r="B13" s="80"/>
      <c r="C13" s="20" t="s">
        <v>77</v>
      </c>
      <c r="D13" s="82" t="n">
        <f aca="false">CS302!G30</f>
        <v>0.741783333333333</v>
      </c>
      <c r="E13" s="83" t="n">
        <v>2</v>
      </c>
      <c r="F13" s="83" t="n">
        <v>2</v>
      </c>
      <c r="G13" s="83" t="n">
        <v>2</v>
      </c>
      <c r="H13" s="83" t="n">
        <v>3</v>
      </c>
      <c r="I13" s="83" t="n">
        <v>1</v>
      </c>
      <c r="J13" s="84" t="n">
        <v>0</v>
      </c>
      <c r="K13" s="84" t="n">
        <v>0</v>
      </c>
      <c r="L13" s="84" t="n">
        <v>0</v>
      </c>
      <c r="M13" s="83" t="n">
        <v>1</v>
      </c>
      <c r="N13" s="84" t="n">
        <v>0</v>
      </c>
      <c r="O13" s="83" t="n">
        <v>1</v>
      </c>
      <c r="P13" s="83" t="n">
        <v>1</v>
      </c>
      <c r="Q13" s="44" t="n">
        <v>3</v>
      </c>
      <c r="R13" s="44" t="n">
        <v>2</v>
      </c>
      <c r="S13" s="44" t="n">
        <v>1</v>
      </c>
    </row>
    <row r="14" customFormat="false" ht="18" hidden="false" customHeight="true" outlineLevel="0" collapsed="false">
      <c r="A14" s="80"/>
      <c r="B14" s="80"/>
      <c r="C14" s="20" t="s">
        <v>78</v>
      </c>
      <c r="D14" s="82" t="n">
        <f aca="false">CS302!H30</f>
        <v>0.76125</v>
      </c>
      <c r="E14" s="83" t="n">
        <v>3</v>
      </c>
      <c r="F14" s="83" t="n">
        <v>3</v>
      </c>
      <c r="G14" s="83" t="n">
        <v>2</v>
      </c>
      <c r="H14" s="83" t="n">
        <v>2</v>
      </c>
      <c r="I14" s="83" t="n">
        <v>3</v>
      </c>
      <c r="J14" s="84" t="n">
        <v>0</v>
      </c>
      <c r="K14" s="84" t="n">
        <v>0</v>
      </c>
      <c r="L14" s="84" t="n">
        <v>0</v>
      </c>
      <c r="M14" s="84" t="n">
        <v>0</v>
      </c>
      <c r="N14" s="84" t="n">
        <v>0</v>
      </c>
      <c r="O14" s="84" t="n">
        <v>0</v>
      </c>
      <c r="P14" s="83" t="n">
        <v>2</v>
      </c>
      <c r="Q14" s="44" t="n">
        <v>2</v>
      </c>
      <c r="R14" s="44" t="n">
        <v>3</v>
      </c>
      <c r="S14" s="44" t="n">
        <v>2</v>
      </c>
    </row>
    <row r="15" customFormat="false" ht="18" hidden="false" customHeight="true" outlineLevel="0" collapsed="false">
      <c r="A15" s="80" t="s">
        <v>28</v>
      </c>
      <c r="B15" s="81" t="s">
        <v>29</v>
      </c>
      <c r="C15" s="20" t="s">
        <v>74</v>
      </c>
      <c r="D15" s="82" t="n">
        <f aca="false">CS303!D30</f>
        <v>0.746366666666667</v>
      </c>
      <c r="E15" s="83" t="n">
        <v>3</v>
      </c>
      <c r="F15" s="83" t="n">
        <v>2</v>
      </c>
      <c r="G15" s="83" t="n">
        <v>1</v>
      </c>
      <c r="H15" s="83" t="n">
        <v>1</v>
      </c>
      <c r="I15" s="83" t="n">
        <v>3</v>
      </c>
      <c r="J15" s="83" t="n">
        <v>1</v>
      </c>
      <c r="K15" s="84" t="n">
        <v>0</v>
      </c>
      <c r="L15" s="84" t="n">
        <v>0</v>
      </c>
      <c r="M15" s="84" t="n">
        <v>0</v>
      </c>
      <c r="N15" s="83" t="n">
        <v>1</v>
      </c>
      <c r="O15" s="84" t="n">
        <v>0</v>
      </c>
      <c r="P15" s="83" t="n">
        <v>2</v>
      </c>
      <c r="Q15" s="44" t="n">
        <v>2</v>
      </c>
      <c r="R15" s="44" t="n">
        <v>3</v>
      </c>
      <c r="S15" s="44" t="n">
        <v>2</v>
      </c>
    </row>
    <row r="16" customFormat="false" ht="18" hidden="false" customHeight="true" outlineLevel="0" collapsed="false">
      <c r="A16" s="80"/>
      <c r="B16" s="80"/>
      <c r="C16" s="20" t="s">
        <v>75</v>
      </c>
      <c r="D16" s="82" t="n">
        <f aca="false">CS303!E30</f>
        <v>0.742066666666667</v>
      </c>
      <c r="E16" s="83" t="n">
        <v>3</v>
      </c>
      <c r="F16" s="83" t="n">
        <v>3</v>
      </c>
      <c r="G16" s="83" t="n">
        <v>2</v>
      </c>
      <c r="H16" s="83" t="n">
        <v>2</v>
      </c>
      <c r="I16" s="83" t="n">
        <v>3</v>
      </c>
      <c r="J16" s="83" t="n">
        <v>1</v>
      </c>
      <c r="K16" s="84" t="n">
        <v>0</v>
      </c>
      <c r="L16" s="84" t="n">
        <v>0</v>
      </c>
      <c r="M16" s="83" t="n">
        <v>1</v>
      </c>
      <c r="N16" s="84" t="n">
        <v>0</v>
      </c>
      <c r="O16" s="84" t="n">
        <v>0</v>
      </c>
      <c r="P16" s="83" t="n">
        <v>2</v>
      </c>
      <c r="Q16" s="44" t="n">
        <v>3</v>
      </c>
      <c r="R16" s="44" t="n">
        <v>3</v>
      </c>
      <c r="S16" s="44" t="n">
        <v>2</v>
      </c>
    </row>
    <row r="17" customFormat="false" ht="18" hidden="false" customHeight="true" outlineLevel="0" collapsed="false">
      <c r="A17" s="80"/>
      <c r="B17" s="80"/>
      <c r="C17" s="20" t="s">
        <v>76</v>
      </c>
      <c r="D17" s="82" t="n">
        <f aca="false">CS303!F30</f>
        <v>0.770916666666667</v>
      </c>
      <c r="E17" s="83" t="n">
        <v>2</v>
      </c>
      <c r="F17" s="83" t="n">
        <v>3</v>
      </c>
      <c r="G17" s="83" t="n">
        <v>3</v>
      </c>
      <c r="H17" s="83" t="n">
        <v>2</v>
      </c>
      <c r="I17" s="83" t="n">
        <v>2</v>
      </c>
      <c r="J17" s="83" t="n">
        <v>1</v>
      </c>
      <c r="K17" s="83" t="n">
        <v>1</v>
      </c>
      <c r="L17" s="84" t="n">
        <v>0</v>
      </c>
      <c r="M17" s="84" t="n">
        <v>0</v>
      </c>
      <c r="N17" s="83" t="n">
        <v>1</v>
      </c>
      <c r="O17" s="84" t="n">
        <v>0</v>
      </c>
      <c r="P17" s="83" t="n">
        <v>1</v>
      </c>
      <c r="Q17" s="44" t="n">
        <v>2</v>
      </c>
      <c r="R17" s="44" t="n">
        <v>2</v>
      </c>
      <c r="S17" s="44" t="n">
        <v>2</v>
      </c>
    </row>
    <row r="18" customFormat="false" ht="18" hidden="false" customHeight="true" outlineLevel="0" collapsed="false">
      <c r="A18" s="80"/>
      <c r="B18" s="80"/>
      <c r="C18" s="20" t="s">
        <v>77</v>
      </c>
      <c r="D18" s="82" t="n">
        <f aca="false">CS303!G30</f>
        <v>0.7431</v>
      </c>
      <c r="E18" s="83" t="n">
        <v>3</v>
      </c>
      <c r="F18" s="83" t="n">
        <v>2</v>
      </c>
      <c r="G18" s="83" t="n">
        <v>2</v>
      </c>
      <c r="H18" s="83" t="n">
        <v>3</v>
      </c>
      <c r="I18" s="83" t="n">
        <v>2</v>
      </c>
      <c r="J18" s="84" t="n">
        <v>0</v>
      </c>
      <c r="K18" s="84" t="n">
        <v>0</v>
      </c>
      <c r="L18" s="84" t="n">
        <v>0</v>
      </c>
      <c r="M18" s="83" t="n">
        <v>1</v>
      </c>
      <c r="N18" s="84" t="n">
        <v>0</v>
      </c>
      <c r="O18" s="84" t="n">
        <v>0</v>
      </c>
      <c r="P18" s="83" t="n">
        <v>2</v>
      </c>
      <c r="Q18" s="44" t="n">
        <v>3</v>
      </c>
      <c r="R18" s="44" t="n">
        <v>2</v>
      </c>
      <c r="S18" s="44" t="n">
        <v>1</v>
      </c>
    </row>
    <row r="19" customFormat="false" ht="18" hidden="false" customHeight="true" outlineLevel="0" collapsed="false">
      <c r="A19" s="80"/>
      <c r="B19" s="80"/>
      <c r="C19" s="20" t="s">
        <v>78</v>
      </c>
      <c r="D19" s="82" t="n">
        <f aca="false">CS303!H30</f>
        <v>0.74365</v>
      </c>
      <c r="E19" s="83" t="n">
        <v>2</v>
      </c>
      <c r="F19" s="83" t="n">
        <v>3</v>
      </c>
      <c r="G19" s="83" t="n">
        <v>2</v>
      </c>
      <c r="H19" s="83" t="n">
        <v>2</v>
      </c>
      <c r="I19" s="83" t="n">
        <v>3</v>
      </c>
      <c r="J19" s="84" t="n">
        <v>0</v>
      </c>
      <c r="K19" s="84" t="n">
        <v>0</v>
      </c>
      <c r="L19" s="84" t="n">
        <v>0</v>
      </c>
      <c r="M19" s="84" t="n">
        <v>0</v>
      </c>
      <c r="N19" s="83" t="n">
        <v>1</v>
      </c>
      <c r="O19" s="84" t="n">
        <v>0</v>
      </c>
      <c r="P19" s="83" t="n">
        <v>2</v>
      </c>
      <c r="Q19" s="44" t="n">
        <v>2</v>
      </c>
      <c r="R19" s="44" t="n">
        <v>3</v>
      </c>
      <c r="S19" s="44" t="n">
        <v>2</v>
      </c>
    </row>
    <row r="20" customFormat="false" ht="18" hidden="false" customHeight="true" outlineLevel="0" collapsed="false">
      <c r="A20" s="80" t="s">
        <v>32</v>
      </c>
      <c r="B20" s="81" t="s">
        <v>33</v>
      </c>
      <c r="C20" s="20" t="s">
        <v>74</v>
      </c>
      <c r="D20" s="82" t="n">
        <f aca="false">CS304!D30</f>
        <v>0.758083333333333</v>
      </c>
      <c r="E20" s="83" t="n">
        <v>3</v>
      </c>
      <c r="F20" s="83" t="n">
        <v>3</v>
      </c>
      <c r="G20" s="83" t="n">
        <v>1</v>
      </c>
      <c r="H20" s="83" t="n">
        <v>2</v>
      </c>
      <c r="I20" s="83" t="n">
        <v>2</v>
      </c>
      <c r="J20" s="84" t="n">
        <v>0</v>
      </c>
      <c r="K20" s="84" t="n">
        <v>0</v>
      </c>
      <c r="L20" s="84" t="n">
        <v>0</v>
      </c>
      <c r="M20" s="84" t="n">
        <v>0</v>
      </c>
      <c r="N20" s="84" t="n">
        <v>0</v>
      </c>
      <c r="O20" s="84" t="n">
        <v>0</v>
      </c>
      <c r="P20" s="83" t="n">
        <v>2</v>
      </c>
      <c r="Q20" s="44" t="n">
        <v>3</v>
      </c>
      <c r="R20" s="44" t="n">
        <v>2</v>
      </c>
      <c r="S20" s="44" t="n">
        <v>2</v>
      </c>
    </row>
    <row r="21" customFormat="false" ht="18" hidden="false" customHeight="true" outlineLevel="0" collapsed="false">
      <c r="A21" s="80"/>
      <c r="B21" s="80"/>
      <c r="C21" s="20" t="s">
        <v>75</v>
      </c>
      <c r="D21" s="82" t="n">
        <f aca="false">CS304!E30</f>
        <v>0.782933333333333</v>
      </c>
      <c r="E21" s="83" t="n">
        <v>3</v>
      </c>
      <c r="F21" s="83" t="n">
        <v>3</v>
      </c>
      <c r="G21" s="83" t="n">
        <v>2</v>
      </c>
      <c r="H21" s="83" t="n">
        <v>2</v>
      </c>
      <c r="I21" s="83" t="n">
        <v>2</v>
      </c>
      <c r="J21" s="84" t="n">
        <v>0</v>
      </c>
      <c r="K21" s="84" t="n">
        <v>0</v>
      </c>
      <c r="L21" s="84" t="n">
        <v>0</v>
      </c>
      <c r="M21" s="83" t="n">
        <v>1</v>
      </c>
      <c r="N21" s="84" t="n">
        <v>0</v>
      </c>
      <c r="O21" s="84" t="n">
        <v>0</v>
      </c>
      <c r="P21" s="83" t="n">
        <v>2</v>
      </c>
      <c r="Q21" s="44" t="n">
        <v>3</v>
      </c>
      <c r="R21" s="44" t="n">
        <v>3</v>
      </c>
      <c r="S21" s="44" t="n">
        <v>1</v>
      </c>
    </row>
    <row r="22" customFormat="false" ht="18" hidden="false" customHeight="true" outlineLevel="0" collapsed="false">
      <c r="A22" s="80"/>
      <c r="B22" s="80"/>
      <c r="C22" s="20" t="s">
        <v>76</v>
      </c>
      <c r="D22" s="82" t="n">
        <f aca="false">CS304!F30</f>
        <v>0.73675</v>
      </c>
      <c r="E22" s="83" t="n">
        <v>2</v>
      </c>
      <c r="F22" s="83" t="n">
        <v>3</v>
      </c>
      <c r="G22" s="83" t="n">
        <v>3</v>
      </c>
      <c r="H22" s="83" t="n">
        <v>3</v>
      </c>
      <c r="I22" s="83" t="n">
        <v>2</v>
      </c>
      <c r="J22" s="84" t="n">
        <v>0</v>
      </c>
      <c r="K22" s="84" t="n">
        <v>0</v>
      </c>
      <c r="L22" s="84" t="n">
        <v>0</v>
      </c>
      <c r="M22" s="84" t="n">
        <v>0</v>
      </c>
      <c r="N22" s="83" t="n">
        <v>1</v>
      </c>
      <c r="O22" s="84" t="n">
        <v>0</v>
      </c>
      <c r="P22" s="83" t="n">
        <v>1</v>
      </c>
      <c r="Q22" s="44" t="n">
        <v>2</v>
      </c>
      <c r="R22" s="44" t="n">
        <v>2</v>
      </c>
      <c r="S22" s="44" t="n">
        <v>2</v>
      </c>
    </row>
    <row r="23" customFormat="false" ht="18" hidden="false" customHeight="true" outlineLevel="0" collapsed="false">
      <c r="A23" s="80"/>
      <c r="B23" s="80"/>
      <c r="C23" s="20" t="s">
        <v>77</v>
      </c>
      <c r="D23" s="82" t="n">
        <f aca="false">CS304!G30</f>
        <v>0.749583333333333</v>
      </c>
      <c r="E23" s="83" t="n">
        <v>2</v>
      </c>
      <c r="F23" s="83" t="n">
        <v>2</v>
      </c>
      <c r="G23" s="83" t="n">
        <v>2</v>
      </c>
      <c r="H23" s="83" t="n">
        <v>3</v>
      </c>
      <c r="I23" s="83" t="n">
        <v>1</v>
      </c>
      <c r="J23" s="84" t="n">
        <v>0</v>
      </c>
      <c r="K23" s="84" t="n">
        <v>0</v>
      </c>
      <c r="L23" s="84" t="n">
        <v>0</v>
      </c>
      <c r="M23" s="83" t="n">
        <v>1</v>
      </c>
      <c r="N23" s="84" t="n">
        <v>0</v>
      </c>
      <c r="O23" s="84" t="n">
        <v>0</v>
      </c>
      <c r="P23" s="83" t="n">
        <v>2</v>
      </c>
      <c r="Q23" s="44" t="n">
        <v>2</v>
      </c>
      <c r="R23" s="44" t="n">
        <v>2</v>
      </c>
      <c r="S23" s="44" t="n">
        <v>2</v>
      </c>
    </row>
    <row r="24" customFormat="false" ht="18" hidden="false" customHeight="true" outlineLevel="0" collapsed="false">
      <c r="A24" s="80"/>
      <c r="B24" s="80"/>
      <c r="C24" s="20" t="s">
        <v>78</v>
      </c>
      <c r="D24" s="82" t="n">
        <f aca="false">CS304!H30</f>
        <v>0.752183333333333</v>
      </c>
      <c r="E24" s="83" t="n">
        <v>3</v>
      </c>
      <c r="F24" s="83" t="n">
        <v>3</v>
      </c>
      <c r="G24" s="83" t="n">
        <v>2</v>
      </c>
      <c r="H24" s="83" t="n">
        <v>2</v>
      </c>
      <c r="I24" s="83" t="n">
        <v>3</v>
      </c>
      <c r="J24" s="84" t="n">
        <v>0</v>
      </c>
      <c r="K24" s="84" t="n">
        <v>0</v>
      </c>
      <c r="L24" s="84" t="n">
        <v>0</v>
      </c>
      <c r="M24" s="84" t="n">
        <v>0</v>
      </c>
      <c r="N24" s="84" t="n">
        <v>0</v>
      </c>
      <c r="O24" s="84" t="n">
        <v>0</v>
      </c>
      <c r="P24" s="83" t="n">
        <v>2</v>
      </c>
      <c r="Q24" s="44" t="n">
        <v>3</v>
      </c>
      <c r="R24" s="44" t="n">
        <v>3</v>
      </c>
      <c r="S24" s="44" t="n">
        <v>2</v>
      </c>
    </row>
    <row r="25" customFormat="false" ht="18" hidden="false" customHeight="true" outlineLevel="0" collapsed="false">
      <c r="A25" s="80" t="s">
        <v>36</v>
      </c>
      <c r="B25" s="81" t="s">
        <v>37</v>
      </c>
      <c r="C25" s="20" t="s">
        <v>74</v>
      </c>
      <c r="D25" s="82" t="n">
        <f aca="false">CS305!D30</f>
        <v>0.751207802750827</v>
      </c>
      <c r="E25" s="83" t="n">
        <v>3</v>
      </c>
      <c r="F25" s="83" t="n">
        <v>3</v>
      </c>
      <c r="G25" s="83" t="n">
        <v>2</v>
      </c>
      <c r="H25" s="83" t="n">
        <v>2</v>
      </c>
      <c r="I25" s="83" t="n">
        <v>3</v>
      </c>
      <c r="J25" s="84" t="n">
        <v>0</v>
      </c>
      <c r="K25" s="84" t="n">
        <v>0</v>
      </c>
      <c r="L25" s="84" t="n">
        <v>0</v>
      </c>
      <c r="M25" s="84" t="n">
        <v>0</v>
      </c>
      <c r="N25" s="83" t="n">
        <v>1</v>
      </c>
      <c r="O25" s="84" t="n">
        <v>0</v>
      </c>
      <c r="P25" s="83" t="n">
        <v>3</v>
      </c>
      <c r="Q25" s="44" t="n">
        <v>3</v>
      </c>
      <c r="R25" s="44" t="n">
        <v>3</v>
      </c>
      <c r="S25" s="44" t="n">
        <v>2</v>
      </c>
    </row>
    <row r="26" customFormat="false" ht="18" hidden="false" customHeight="true" outlineLevel="0" collapsed="false">
      <c r="A26" s="80"/>
      <c r="B26" s="80"/>
      <c r="C26" s="20" t="s">
        <v>75</v>
      </c>
      <c r="D26" s="82" t="n">
        <f aca="false">CS305!E30</f>
        <v>0.735028641936283</v>
      </c>
      <c r="E26" s="83" t="n">
        <v>2</v>
      </c>
      <c r="F26" s="83" t="n">
        <v>3</v>
      </c>
      <c r="G26" s="83" t="n">
        <v>3</v>
      </c>
      <c r="H26" s="83" t="n">
        <v>2</v>
      </c>
      <c r="I26" s="83" t="n">
        <v>3</v>
      </c>
      <c r="J26" s="84" t="n">
        <v>0</v>
      </c>
      <c r="K26" s="84" t="n">
        <v>0</v>
      </c>
      <c r="L26" s="84" t="n">
        <v>0</v>
      </c>
      <c r="M26" s="83" t="n">
        <v>1</v>
      </c>
      <c r="N26" s="84" t="n">
        <v>0</v>
      </c>
      <c r="O26" s="84" t="n">
        <v>0</v>
      </c>
      <c r="P26" s="83" t="n">
        <v>2</v>
      </c>
      <c r="Q26" s="44" t="n">
        <v>2</v>
      </c>
      <c r="R26" s="44" t="n">
        <v>3</v>
      </c>
      <c r="S26" s="44" t="n">
        <v>2</v>
      </c>
    </row>
    <row r="27" customFormat="false" ht="18" hidden="false" customHeight="true" outlineLevel="0" collapsed="false">
      <c r="A27" s="80"/>
      <c r="B27" s="80"/>
      <c r="C27" s="20" t="s">
        <v>76</v>
      </c>
      <c r="D27" s="82" t="n">
        <f aca="false">CS305!F30</f>
        <v>0.722888389986673</v>
      </c>
      <c r="E27" s="83" t="n">
        <v>3</v>
      </c>
      <c r="F27" s="83" t="n">
        <v>3</v>
      </c>
      <c r="G27" s="83" t="n">
        <v>3</v>
      </c>
      <c r="H27" s="83" t="n">
        <v>3</v>
      </c>
      <c r="I27" s="83" t="n">
        <v>2</v>
      </c>
      <c r="J27" s="84" t="n">
        <v>0</v>
      </c>
      <c r="K27" s="84" t="n">
        <v>0</v>
      </c>
      <c r="L27" s="84" t="n">
        <v>0</v>
      </c>
      <c r="M27" s="84" t="n">
        <v>0</v>
      </c>
      <c r="N27" s="84" t="n">
        <v>0</v>
      </c>
      <c r="O27" s="84" t="n">
        <v>0</v>
      </c>
      <c r="P27" s="83" t="n">
        <v>3</v>
      </c>
      <c r="Q27" s="44" t="n">
        <v>3</v>
      </c>
      <c r="R27" s="44" t="n">
        <v>3</v>
      </c>
      <c r="S27" s="44" t="n">
        <v>3</v>
      </c>
    </row>
    <row r="28" customFormat="false" ht="18" hidden="false" customHeight="true" outlineLevel="0" collapsed="false">
      <c r="A28" s="80"/>
      <c r="B28" s="80"/>
      <c r="C28" s="20" t="s">
        <v>77</v>
      </c>
      <c r="D28" s="82" t="n">
        <f aca="false">CS305!G30</f>
        <v>0.762160461799856</v>
      </c>
      <c r="E28" s="83" t="n">
        <v>2</v>
      </c>
      <c r="F28" s="83" t="n">
        <v>3</v>
      </c>
      <c r="G28" s="83" t="n">
        <v>2</v>
      </c>
      <c r="H28" s="83" t="n">
        <v>3</v>
      </c>
      <c r="I28" s="83" t="n">
        <v>3</v>
      </c>
      <c r="J28" s="84" t="n">
        <v>0</v>
      </c>
      <c r="K28" s="84" t="n">
        <v>0</v>
      </c>
      <c r="L28" s="84" t="n">
        <v>0</v>
      </c>
      <c r="M28" s="83" t="n">
        <v>1</v>
      </c>
      <c r="N28" s="84" t="n">
        <v>0</v>
      </c>
      <c r="O28" s="84" t="n">
        <v>0</v>
      </c>
      <c r="P28" s="83" t="n">
        <v>2</v>
      </c>
      <c r="Q28" s="44" t="n">
        <v>2</v>
      </c>
      <c r="R28" s="44" t="n">
        <v>3</v>
      </c>
      <c r="S28" s="44" t="n">
        <v>2</v>
      </c>
    </row>
    <row r="29" customFormat="false" ht="18" hidden="false" customHeight="true" outlineLevel="0" collapsed="false">
      <c r="A29" s="80"/>
      <c r="B29" s="80"/>
      <c r="C29" s="20" t="s">
        <v>78</v>
      </c>
      <c r="D29" s="82" t="n">
        <f aca="false">CS305!H30</f>
        <v>0.75633544213313</v>
      </c>
      <c r="E29" s="83" t="n">
        <v>3</v>
      </c>
      <c r="F29" s="83" t="n">
        <v>2</v>
      </c>
      <c r="G29" s="83" t="n">
        <v>3</v>
      </c>
      <c r="H29" s="83" t="n">
        <v>2</v>
      </c>
      <c r="I29" s="83" t="n">
        <v>3</v>
      </c>
      <c r="J29" s="84" t="n">
        <v>0</v>
      </c>
      <c r="K29" s="84" t="n">
        <v>0</v>
      </c>
      <c r="L29" s="84" t="n">
        <v>0</v>
      </c>
      <c r="M29" s="84" t="n">
        <v>0</v>
      </c>
      <c r="N29" s="83" t="n">
        <v>1</v>
      </c>
      <c r="O29" s="84" t="n">
        <v>0</v>
      </c>
      <c r="P29" s="83" t="n">
        <v>3</v>
      </c>
      <c r="Q29" s="44" t="n">
        <v>3</v>
      </c>
      <c r="R29" s="44" t="n">
        <v>3</v>
      </c>
      <c r="S29" s="44" t="n">
        <v>3</v>
      </c>
    </row>
    <row r="30" customFormat="false" ht="18" hidden="false" customHeight="true" outlineLevel="0" collapsed="false">
      <c r="A30" s="80"/>
      <c r="B30" s="80"/>
      <c r="C30" s="20" t="s">
        <v>128</v>
      </c>
      <c r="D30" s="82" t="n">
        <f aca="false">CS305!I30</f>
        <v>0.758141185894558</v>
      </c>
      <c r="E30" s="83" t="n">
        <v>2</v>
      </c>
      <c r="F30" s="83" t="n">
        <v>3</v>
      </c>
      <c r="G30" s="83" t="n">
        <v>2</v>
      </c>
      <c r="H30" s="83" t="n">
        <v>2</v>
      </c>
      <c r="I30" s="83" t="n">
        <v>3</v>
      </c>
      <c r="J30" s="83" t="n">
        <v>1</v>
      </c>
      <c r="K30" s="84" t="n">
        <v>0</v>
      </c>
      <c r="L30" s="84" t="n">
        <v>0</v>
      </c>
      <c r="M30" s="83" t="n">
        <v>1</v>
      </c>
      <c r="N30" s="84" t="n">
        <v>0</v>
      </c>
      <c r="O30" s="84" t="n">
        <v>0</v>
      </c>
      <c r="P30" s="83" t="n">
        <v>3</v>
      </c>
      <c r="Q30" s="44" t="n">
        <v>2</v>
      </c>
      <c r="R30" s="44" t="n">
        <v>3</v>
      </c>
      <c r="S30" s="44" t="n">
        <v>3</v>
      </c>
    </row>
  </sheetData>
  <mergeCells count="18">
    <mergeCell ref="A1:S1"/>
    <mergeCell ref="A2:S2"/>
    <mergeCell ref="A3:A4"/>
    <mergeCell ref="B3:B4"/>
    <mergeCell ref="C3:C4"/>
    <mergeCell ref="D3:D4"/>
    <mergeCell ref="E3:P3"/>
    <mergeCell ref="Q3:S3"/>
    <mergeCell ref="A5:A9"/>
    <mergeCell ref="B5:B9"/>
    <mergeCell ref="A10:A14"/>
    <mergeCell ref="B10:B14"/>
    <mergeCell ref="A15:A19"/>
    <mergeCell ref="B15:B19"/>
    <mergeCell ref="A20:A24"/>
    <mergeCell ref="B20:B24"/>
    <mergeCell ref="A25:A30"/>
    <mergeCell ref="B25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22" min="5" style="0" width="9"/>
  </cols>
  <sheetData>
    <row r="1" customFormat="false" ht="36" hidden="false" customHeight="true" outlineLevel="0" collapsed="false">
      <c r="A1" s="34" t="s">
        <v>139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customFormat="false" ht="15.75" hidden="false" customHeight="true" outlineLevel="0" collapsed="false">
      <c r="A2" s="68" t="s">
        <v>140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 customFormat="false" ht="7.5" hidden="false" customHeight="true" outlineLevel="0" collapsed="false"/>
    <row r="4" customFormat="false" ht="25.5" hidden="false" customHeight="true" outlineLevel="0" collapsed="false">
      <c r="A4" s="77" t="s">
        <v>4</v>
      </c>
      <c r="B4" s="77" t="s">
        <v>5</v>
      </c>
      <c r="C4" s="77" t="s">
        <v>6</v>
      </c>
      <c r="D4" s="77" t="s">
        <v>7</v>
      </c>
      <c r="E4" s="78" t="s">
        <v>141</v>
      </c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9" t="s">
        <v>142</v>
      </c>
      <c r="R4" s="79"/>
      <c r="S4" s="79"/>
      <c r="T4" s="85" t="s">
        <v>143</v>
      </c>
      <c r="U4" s="85"/>
    </row>
    <row r="5" customFormat="false" ht="19.5" hidden="false" customHeight="true" outlineLevel="0" collapsed="false">
      <c r="A5" s="77"/>
      <c r="B5" s="77"/>
      <c r="C5" s="77"/>
      <c r="D5" s="77"/>
      <c r="E5" s="20" t="s">
        <v>22</v>
      </c>
      <c r="F5" s="20" t="s">
        <v>26</v>
      </c>
      <c r="G5" s="20" t="s">
        <v>30</v>
      </c>
      <c r="H5" s="20" t="s">
        <v>34</v>
      </c>
      <c r="I5" s="20" t="s">
        <v>38</v>
      </c>
      <c r="J5" s="20" t="s">
        <v>40</v>
      </c>
      <c r="K5" s="20" t="s">
        <v>42</v>
      </c>
      <c r="L5" s="20" t="s">
        <v>44</v>
      </c>
      <c r="M5" s="20" t="s">
        <v>46</v>
      </c>
      <c r="N5" s="20" t="s">
        <v>48</v>
      </c>
      <c r="O5" s="20" t="s">
        <v>50</v>
      </c>
      <c r="P5" s="20" t="s">
        <v>52</v>
      </c>
      <c r="Q5" s="32" t="s">
        <v>54</v>
      </c>
      <c r="R5" s="32" t="s">
        <v>56</v>
      </c>
      <c r="S5" s="32" t="s">
        <v>58</v>
      </c>
      <c r="T5" s="69" t="s">
        <v>144</v>
      </c>
      <c r="U5" s="32" t="s">
        <v>145</v>
      </c>
      <c r="V5" s="86" t="s">
        <v>131</v>
      </c>
    </row>
    <row r="6" customFormat="false" ht="19.5" hidden="false" customHeight="true" outlineLevel="0" collapsed="false">
      <c r="A6" s="12" t="n">
        <v>1</v>
      </c>
      <c r="B6" s="13" t="s">
        <v>20</v>
      </c>
      <c r="C6" s="14" t="s">
        <v>21</v>
      </c>
      <c r="D6" s="87" t="n">
        <v>4</v>
      </c>
      <c r="E6" s="70" t="n">
        <f aca="false">IFERROR(SUMPRODUCT(('CO-PO Mapping'!D5:D9)*('CO-PO Mapping'!E5:E9))/SUMIF('CO-PO Mapping'!E5:E9,"&gt;0"),0)</f>
        <v>0.749102564102564</v>
      </c>
      <c r="F6" s="70" t="n">
        <f aca="false">IFERROR(SUMPRODUCT(('CO-PO Mapping'!D5:D9)*('CO-PO Mapping'!F5:F9))/SUMIF('CO-PO Mapping'!F5:F9,"&gt;0"),0)</f>
        <v>0.74944880952381</v>
      </c>
      <c r="G6" s="70" t="n">
        <f aca="false">IFERROR(SUMPRODUCT(('CO-PO Mapping'!D5:D9)*('CO-PO Mapping'!G5:G9))/SUMIF('CO-PO Mapping'!G5:G9,"&gt;0"),0)</f>
        <v>0.747630769230769</v>
      </c>
      <c r="H6" s="70" t="n">
        <f aca="false">IFERROR(SUMPRODUCT(('CO-PO Mapping'!D5:D9)*('CO-PO Mapping'!H5:H9))/SUMIF('CO-PO Mapping'!H5:H9,"&gt;0"),0)</f>
        <v>0.747423333333333</v>
      </c>
      <c r="I6" s="70" t="n">
        <f aca="false">IFERROR(SUMPRODUCT(('CO-PO Mapping'!D5:D9)*('CO-PO Mapping'!I5:I9))/SUMIF('CO-PO Mapping'!I5:I9,"&gt;0"),0)</f>
        <v>0.745707142857143</v>
      </c>
      <c r="J6" s="70" t="n">
        <f aca="false">IFERROR(SUMPRODUCT(('CO-PO Mapping'!D5:D9)*('CO-PO Mapping'!J5:J9))/SUMIF('CO-PO Mapping'!J5:J9,"&gt;0"),0)</f>
        <v>0</v>
      </c>
      <c r="K6" s="70" t="n">
        <f aca="false">IFERROR(SUMPRODUCT(('CO-PO Mapping'!D5:D9)*('CO-PO Mapping'!K5:K9))/SUMIF('CO-PO Mapping'!K5:K9,"&gt;0"),0)</f>
        <v>0</v>
      </c>
      <c r="L6" s="70" t="n">
        <f aca="false">IFERROR(SUMPRODUCT(('CO-PO Mapping'!D5:D9)*('CO-PO Mapping'!L5:L9))/SUMIF('CO-PO Mapping'!L5:L9,"&gt;0"),0)</f>
        <v>0</v>
      </c>
      <c r="M6" s="70" t="n">
        <f aca="false">IFERROR(SUMPRODUCT(('CO-PO Mapping'!D5:D9)*('CO-PO Mapping'!M5:M9))/SUMIF('CO-PO Mapping'!M5:M9,"&gt;0"),0)</f>
        <v>0.747061111111111</v>
      </c>
      <c r="N6" s="70" t="n">
        <f aca="false">IFERROR(SUMPRODUCT(('CO-PO Mapping'!D5:D9)*('CO-PO Mapping'!N5:N9))/SUMIF('CO-PO Mapping'!N5:N9,"&gt;0"),0)</f>
        <v>0.75395</v>
      </c>
      <c r="O6" s="70" t="n">
        <f aca="false">IFERROR(SUMPRODUCT(('CO-PO Mapping'!D5:D9)*('CO-PO Mapping'!O5:O9))/SUMIF('CO-PO Mapping'!O5:O9,"&gt;0"),0)</f>
        <v>0</v>
      </c>
      <c r="P6" s="70" t="n">
        <f aca="false">IFERROR(SUMPRODUCT(('CO-PO Mapping'!D5:D9)*('CO-PO Mapping'!P5:P9))/SUMIF('CO-PO Mapping'!P5:P9,"&gt;0"),0)</f>
        <v>0.748516666666667</v>
      </c>
      <c r="Q6" s="70" t="n">
        <f aca="false">IFERROR(SUMPRODUCT(('CO-PO Mapping'!D5:D9)*('CO-PO Mapping'!Q5:Q9))/SUMIF('CO-PO Mapping'!Q5:Q9,"&gt;0"),0)</f>
        <v>0.74944880952381</v>
      </c>
      <c r="R6" s="70" t="n">
        <f aca="false">IFERROR(SUMPRODUCT(('CO-PO Mapping'!D5:D9)*('CO-PO Mapping'!R5:R9))/SUMIF('CO-PO Mapping'!R5:R9,"&gt;0"),0)</f>
        <v>0.749013888888889</v>
      </c>
      <c r="S6" s="70" t="n">
        <f aca="false">IFERROR(SUMPRODUCT(('CO-PO Mapping'!D5:D9)*('CO-PO Mapping'!S5:S9))/SUMIF('CO-PO Mapping'!S5:S9,"&gt;0"),0)</f>
        <v>0.748980952380952</v>
      </c>
      <c r="T6" s="72" t="n">
        <f aca="false">AVERAGE(E6:P6)</f>
        <v>0.499070033068783</v>
      </c>
      <c r="U6" s="88" t="n">
        <f aca="false">AVERAGE(Q6:S6)</f>
        <v>0.749147883597884</v>
      </c>
      <c r="V6" s="74" t="n">
        <f aca="false">(AVERAGE(E6:P6)+AVERAGE(Q6:S6))/2</f>
        <v>0.624108958333333</v>
      </c>
    </row>
    <row r="7" customFormat="false" ht="19.5" hidden="false" customHeight="true" outlineLevel="0" collapsed="false">
      <c r="A7" s="27" t="n">
        <v>2</v>
      </c>
      <c r="B7" s="28" t="s">
        <v>24</v>
      </c>
      <c r="C7" s="29" t="s">
        <v>25</v>
      </c>
      <c r="D7" s="87" t="n">
        <v>4</v>
      </c>
      <c r="E7" s="75" t="n">
        <f aca="false">IFERROR(SUMPRODUCT(('CO-PO Mapping'!D10:D14)*('CO-PO Mapping'!E10:E14))/SUMIF('CO-PO Mapping'!E10:E14,"&gt;0"),0)</f>
        <v>0.760719230769231</v>
      </c>
      <c r="F7" s="75" t="n">
        <f aca="false">IFERROR(SUMPRODUCT(('CO-PO Mapping'!D10:D14)*('CO-PO Mapping'!F10:F14))/SUMIF('CO-PO Mapping'!F10:F14,"&gt;0"),0)</f>
        <v>0.759625641025641</v>
      </c>
      <c r="G7" s="75" t="n">
        <f aca="false">IFERROR(SUMPRODUCT(('CO-PO Mapping'!D10:D14)*('CO-PO Mapping'!G10:G14))/SUMIF('CO-PO Mapping'!G10:G14,"&gt;0"),0)</f>
        <v>0.760434848484849</v>
      </c>
      <c r="H7" s="75" t="n">
        <f aca="false">IFERROR(SUMPRODUCT(('CO-PO Mapping'!D10:D14)*('CO-PO Mapping'!H10:H14))/SUMIF('CO-PO Mapping'!H10:H14,"&gt;0"),0)</f>
        <v>0.755951666666667</v>
      </c>
      <c r="I7" s="75" t="n">
        <f aca="false">IFERROR(SUMPRODUCT(('CO-PO Mapping'!D10:D14)*('CO-PO Mapping'!I10:I14))/SUMIF('CO-PO Mapping'!I10:I14,"&gt;0"),0)</f>
        <v>0.761783333333333</v>
      </c>
      <c r="J7" s="75" t="n">
        <f aca="false">IFERROR(SUMPRODUCT(('CO-PO Mapping'!D10:D14)*('CO-PO Mapping'!J10:J14))/SUMIF('CO-PO Mapping'!J10:J14,"&gt;0"),0)</f>
        <v>0</v>
      </c>
      <c r="K7" s="75" t="n">
        <f aca="false">IFERROR(SUMPRODUCT(('CO-PO Mapping'!D10:D14)*('CO-PO Mapping'!K10:K14))/SUMIF('CO-PO Mapping'!K10:K14,"&gt;0"),0)</f>
        <v>0</v>
      </c>
      <c r="L7" s="75" t="n">
        <f aca="false">IFERROR(SUMPRODUCT(('CO-PO Mapping'!D10:D14)*('CO-PO Mapping'!L10:L14))/SUMIF('CO-PO Mapping'!L10:L14,"&gt;0"),0)</f>
        <v>0</v>
      </c>
      <c r="M7" s="75" t="n">
        <f aca="false">IFERROR(SUMPRODUCT(('CO-PO Mapping'!D10:D14)*('CO-PO Mapping'!M10:M14))/SUMIF('CO-PO Mapping'!M10:M14,"&gt;0"),0)</f>
        <v>0.745441666666667</v>
      </c>
      <c r="N7" s="75" t="n">
        <f aca="false">IFERROR(SUMPRODUCT(('CO-PO Mapping'!D10:D14)*('CO-PO Mapping'!N10:N14))/SUMIF('CO-PO Mapping'!N10:N14,"&gt;0"),0)</f>
        <v>0.773525</v>
      </c>
      <c r="O7" s="75" t="n">
        <f aca="false">IFERROR(SUMPRODUCT(('CO-PO Mapping'!D10:D14)*('CO-PO Mapping'!O10:O14))/SUMIF('CO-PO Mapping'!O10:O14,"&gt;0"),0)</f>
        <v>0.741783333333333</v>
      </c>
      <c r="P7" s="75" t="n">
        <f aca="false">IFERROR(SUMPRODUCT(('CO-PO Mapping'!D10:D14)*('CO-PO Mapping'!P10:P14))/SUMIF('CO-PO Mapping'!P10:P14,"&gt;0"),0)</f>
        <v>0.760978571428572</v>
      </c>
      <c r="Q7" s="75" t="n">
        <f aca="false">IFERROR(SUMPRODUCT(('CO-PO Mapping'!D10:D14)*('CO-PO Mapping'!Q10:Q14))/SUMIF('CO-PO Mapping'!Q10:Q14,"&gt;0"),0)</f>
        <v>0.759221794871795</v>
      </c>
      <c r="R7" s="75" t="n">
        <f aca="false">IFERROR(SUMPRODUCT(('CO-PO Mapping'!D10:D14)*('CO-PO Mapping'!R10:R14))/SUMIF('CO-PO Mapping'!R10:R14,"&gt;0"),0)</f>
        <v>0.760502777777778</v>
      </c>
      <c r="S7" s="75" t="n">
        <f aca="false">IFERROR(SUMPRODUCT(('CO-PO Mapping'!D10:D14)*('CO-PO Mapping'!S10:S14))/SUMIF('CO-PO Mapping'!S10:S14,"&gt;0"),0)</f>
        <v>0.763435416666667</v>
      </c>
      <c r="T7" s="72" t="n">
        <f aca="false">AVERAGE(E7:P7)</f>
        <v>0.568353607642358</v>
      </c>
      <c r="U7" s="88" t="n">
        <f aca="false">AVERAGE(Q7:S7)</f>
        <v>0.76105332977208</v>
      </c>
      <c r="V7" s="74" t="n">
        <f aca="false">(AVERAGE(E7:P7)+AVERAGE(Q7:S7))/2</f>
        <v>0.664703468707219</v>
      </c>
    </row>
    <row r="8" customFormat="false" ht="19.5" hidden="false" customHeight="true" outlineLevel="0" collapsed="false">
      <c r="A8" s="12" t="n">
        <v>3</v>
      </c>
      <c r="B8" s="13" t="s">
        <v>28</v>
      </c>
      <c r="C8" s="14" t="s">
        <v>29</v>
      </c>
      <c r="D8" s="87" t="n">
        <v>4</v>
      </c>
      <c r="E8" s="70" t="n">
        <f aca="false">IFERROR(SUMPRODUCT(('CO-PO Mapping'!D15:D19)*('CO-PO Mapping'!E15:E19))/SUMIF('CO-PO Mapping'!E15:E19,"&gt;0"),0)</f>
        <v>0.747979487179487</v>
      </c>
      <c r="F8" s="70" t="n">
        <f aca="false">IFERROR(SUMPRODUCT(('CO-PO Mapping'!D15:D19)*('CO-PO Mapping'!F15:F19))/SUMIF('CO-PO Mapping'!F15:F19,"&gt;0"),0)</f>
        <v>0.749910256410256</v>
      </c>
      <c r="G8" s="70" t="n">
        <f aca="false">IFERROR(SUMPRODUCT(('CO-PO Mapping'!D15:D19)*('CO-PO Mapping'!G15:G19))/SUMIF('CO-PO Mapping'!G15:G19,"&gt;0"),0)</f>
        <v>0.751675</v>
      </c>
      <c r="H8" s="70" t="n">
        <f aca="false">IFERROR(SUMPRODUCT(('CO-PO Mapping'!D15:D19)*('CO-PO Mapping'!H15:H19))/SUMIF('CO-PO Mapping'!H15:H19,"&gt;0"),0)</f>
        <v>0.748893333333333</v>
      </c>
      <c r="I8" s="70" t="n">
        <f aca="false">IFERROR(SUMPRODUCT(('CO-PO Mapping'!D15:D19)*('CO-PO Mapping'!I15:I19))/SUMIF('CO-PO Mapping'!I15:I19,"&gt;0"),0)</f>
        <v>0.748021794871795</v>
      </c>
      <c r="J8" s="70" t="n">
        <f aca="false">IFERROR(SUMPRODUCT(('CO-PO Mapping'!D15:D19)*('CO-PO Mapping'!J15:J19))/SUMIF('CO-PO Mapping'!J15:J19,"&gt;0"),0)</f>
        <v>0.753116666666667</v>
      </c>
      <c r="K8" s="70" t="n">
        <f aca="false">IFERROR(SUMPRODUCT(('CO-PO Mapping'!D15:D19)*('CO-PO Mapping'!K15:K19))/SUMIF('CO-PO Mapping'!K15:K19,"&gt;0"),0)</f>
        <v>0.770916666666667</v>
      </c>
      <c r="L8" s="70" t="n">
        <f aca="false">IFERROR(SUMPRODUCT(('CO-PO Mapping'!D15:D19)*('CO-PO Mapping'!L15:L19))/SUMIF('CO-PO Mapping'!L15:L19,"&gt;0"),0)</f>
        <v>0</v>
      </c>
      <c r="M8" s="70" t="n">
        <f aca="false">IFERROR(SUMPRODUCT(('CO-PO Mapping'!D15:D19)*('CO-PO Mapping'!M15:M19))/SUMIF('CO-PO Mapping'!M15:M19,"&gt;0"),0)</f>
        <v>0.742583333333333</v>
      </c>
      <c r="N8" s="70" t="n">
        <f aca="false">IFERROR(SUMPRODUCT(('CO-PO Mapping'!D15:D19)*('CO-PO Mapping'!N15:N19))/SUMIF('CO-PO Mapping'!N15:N19,"&gt;0"),0)</f>
        <v>0.753644444444444</v>
      </c>
      <c r="O8" s="70" t="n">
        <f aca="false">IFERROR(SUMPRODUCT(('CO-PO Mapping'!D15:D19)*('CO-PO Mapping'!O15:O19))/SUMIF('CO-PO Mapping'!O15:O19,"&gt;0"),0)</f>
        <v>0</v>
      </c>
      <c r="P8" s="70" t="n">
        <f aca="false">IFERROR(SUMPRODUCT(('CO-PO Mapping'!D15:D19)*('CO-PO Mapping'!P15:P19))/SUMIF('CO-PO Mapping'!P15:P19,"&gt;0"),0)</f>
        <v>0.746809259259259</v>
      </c>
      <c r="Q8" s="70" t="n">
        <f aca="false">IFERROR(SUMPRODUCT(('CO-PO Mapping'!D15:D19)*('CO-PO Mapping'!Q15:Q19))/SUMIF('CO-PO Mapping'!Q15:Q19,"&gt;0"),0)</f>
        <v>0.748113888888889</v>
      </c>
      <c r="R8" s="70" t="n">
        <f aca="false">IFERROR(SUMPRODUCT(('CO-PO Mapping'!D15:D19)*('CO-PO Mapping'!R15:R19))/SUMIF('CO-PO Mapping'!R15:R19,"&gt;0"),0)</f>
        <v>0.748021794871795</v>
      </c>
      <c r="S8" s="70" t="n">
        <f aca="false">IFERROR(SUMPRODUCT(('CO-PO Mapping'!D15:D19)*('CO-PO Mapping'!S15:S19))/SUMIF('CO-PO Mapping'!S15:S19,"&gt;0"),0)</f>
        <v>0.7499</v>
      </c>
      <c r="T8" s="72" t="n">
        <f aca="false">AVERAGE(E8:P8)</f>
        <v>0.626129186847104</v>
      </c>
      <c r="U8" s="88" t="n">
        <f aca="false">AVERAGE(Q8:S8)</f>
        <v>0.748678561253561</v>
      </c>
      <c r="V8" s="74" t="n">
        <f aca="false">(AVERAGE(E8:P8)+AVERAGE(Q8:S8))/2</f>
        <v>0.687403874050332</v>
      </c>
    </row>
    <row r="9" customFormat="false" ht="19.5" hidden="false" customHeight="true" outlineLevel="0" collapsed="false">
      <c r="A9" s="27" t="n">
        <v>4</v>
      </c>
      <c r="B9" s="28" t="s">
        <v>32</v>
      </c>
      <c r="C9" s="29" t="s">
        <v>33</v>
      </c>
      <c r="D9" s="87" t="n">
        <v>4</v>
      </c>
      <c r="E9" s="75" t="n">
        <f aca="false">IFERROR(SUMPRODUCT(('CO-PO Mapping'!D20:D24)*('CO-PO Mapping'!E20:E24))/SUMIF('CO-PO Mapping'!E20:E24,"&gt;0"),0)</f>
        <v>0.757866666666667</v>
      </c>
      <c r="F9" s="75" t="n">
        <f aca="false">IFERROR(SUMPRODUCT(('CO-PO Mapping'!D20:D24)*('CO-PO Mapping'!F20:F24))/SUMIF('CO-PO Mapping'!F20:F24,"&gt;0"),0)</f>
        <v>0.756358333333333</v>
      </c>
      <c r="G9" s="75" t="n">
        <f aca="false">IFERROR(SUMPRODUCT(('CO-PO Mapping'!D20:D24)*('CO-PO Mapping'!G20:G24))/SUMIF('CO-PO Mapping'!G20:G24,"&gt;0"),0)</f>
        <v>0.753773333333333</v>
      </c>
      <c r="H9" s="75" t="n">
        <f aca="false">IFERROR(SUMPRODUCT(('CO-PO Mapping'!D20:D24)*('CO-PO Mapping'!H20:H24))/SUMIF('CO-PO Mapping'!H20:H24,"&gt;0"),0)</f>
        <v>0.753783333333333</v>
      </c>
      <c r="I9" s="75" t="n">
        <f aca="false">IFERROR(SUMPRODUCT(('CO-PO Mapping'!D20:D24)*('CO-PO Mapping'!I20:I24))/SUMIF('CO-PO Mapping'!I20:I24,"&gt;0"),0)</f>
        <v>0.756166666666667</v>
      </c>
      <c r="J9" s="75" t="n">
        <f aca="false">IFERROR(SUMPRODUCT(('CO-PO Mapping'!D20:D24)*('CO-PO Mapping'!J20:J24))/SUMIF('CO-PO Mapping'!J20:J24,"&gt;0"),0)</f>
        <v>0</v>
      </c>
      <c r="K9" s="75" t="n">
        <f aca="false">IFERROR(SUMPRODUCT(('CO-PO Mapping'!D20:D24)*('CO-PO Mapping'!K20:K24))/SUMIF('CO-PO Mapping'!K20:K24,"&gt;0"),0)</f>
        <v>0</v>
      </c>
      <c r="L9" s="75" t="n">
        <f aca="false">IFERROR(SUMPRODUCT(('CO-PO Mapping'!D20:D24)*('CO-PO Mapping'!L20:L24))/SUMIF('CO-PO Mapping'!L20:L24,"&gt;0"),0)</f>
        <v>0</v>
      </c>
      <c r="M9" s="75" t="n">
        <f aca="false">IFERROR(SUMPRODUCT(('CO-PO Mapping'!D20:D24)*('CO-PO Mapping'!M20:M24))/SUMIF('CO-PO Mapping'!M20:M24,"&gt;0"),0)</f>
        <v>0.766258333333333</v>
      </c>
      <c r="N9" s="75" t="n">
        <f aca="false">IFERROR(SUMPRODUCT(('CO-PO Mapping'!D20:D24)*('CO-PO Mapping'!N20:N24))/SUMIF('CO-PO Mapping'!N20:N24,"&gt;0"),0)</f>
        <v>0.73675</v>
      </c>
      <c r="O9" s="75" t="n">
        <f aca="false">IFERROR(SUMPRODUCT(('CO-PO Mapping'!D20:D24)*('CO-PO Mapping'!O20:O24))/SUMIF('CO-PO Mapping'!O20:O24,"&gt;0"),0)</f>
        <v>0</v>
      </c>
      <c r="P9" s="75" t="n">
        <f aca="false">IFERROR(SUMPRODUCT(('CO-PO Mapping'!D20:D24)*('CO-PO Mapping'!P20:P24))/SUMIF('CO-PO Mapping'!P20:P24,"&gt;0"),0)</f>
        <v>0.758035185185185</v>
      </c>
      <c r="Q9" s="75" t="n">
        <f aca="false">IFERROR(SUMPRODUCT(('CO-PO Mapping'!D20:D24)*('CO-PO Mapping'!Q20:Q24))/SUMIF('CO-PO Mapping'!Q20:Q24,"&gt;0"),0)</f>
        <v>0.757866666666667</v>
      </c>
      <c r="R9" s="75" t="n">
        <f aca="false">IFERROR(SUMPRODUCT(('CO-PO Mapping'!D20:D24)*('CO-PO Mapping'!R20:R24))/SUMIF('CO-PO Mapping'!R20:R24,"&gt;0"),0)</f>
        <v>0.757848611111111</v>
      </c>
      <c r="S9" s="75" t="n">
        <f aca="false">IFERROR(SUMPRODUCT(('CO-PO Mapping'!D20:D24)*('CO-PO Mapping'!S20:S24))/SUMIF('CO-PO Mapping'!S20:S24,"&gt;0"),0)</f>
        <v>0.752903703703704</v>
      </c>
      <c r="T9" s="72" t="n">
        <f aca="false">AVERAGE(E9:P9)</f>
        <v>0.503249320987654</v>
      </c>
      <c r="U9" s="88" t="n">
        <f aca="false">AVERAGE(Q9:S9)</f>
        <v>0.756206327160494</v>
      </c>
      <c r="V9" s="74" t="n">
        <f aca="false">(AVERAGE(E9:P9)+AVERAGE(Q9:S9))/2</f>
        <v>0.629727824074074</v>
      </c>
    </row>
    <row r="10" customFormat="false" ht="19.5" hidden="false" customHeight="true" outlineLevel="0" collapsed="false">
      <c r="A10" s="12" t="n">
        <v>5</v>
      </c>
      <c r="B10" s="13" t="s">
        <v>36</v>
      </c>
      <c r="C10" s="14" t="s">
        <v>37</v>
      </c>
      <c r="D10" s="87" t="n">
        <v>4</v>
      </c>
      <c r="E10" s="70" t="n">
        <f aca="false">IFERROR(SUMPRODUCT(('CO-PO Mapping'!D25:D30)*('CO-PO Mapping'!E25:E30))/SUMIF('CO-PO Mapping'!E25:E30,"&gt;0"),0)</f>
        <v>0.746797032258219</v>
      </c>
      <c r="F10" s="70" t="n">
        <f aca="false">IFERROR(SUMPRODUCT(('CO-PO Mapping'!D25:D30)*('CO-PO Mapping'!F25:F30))/SUMIF('CO-PO Mapping'!F25:F30,"&gt;0"),0)</f>
        <v>0.747114725374756</v>
      </c>
      <c r="G10" s="70" t="n">
        <f aca="false">IFERROR(SUMPRODUCT(('CO-PO Mapping'!D25:D30)*('CO-PO Mapping'!G25:G30))/SUMIF('CO-PO Mapping'!G25:G30,"&gt;0"),0)</f>
        <v>0.745718421537249</v>
      </c>
      <c r="H10" s="70" t="n">
        <f aca="false">IFERROR(SUMPRODUCT(('CO-PO Mapping'!D25:D30)*('CO-PO Mapping'!H25:H30))/SUMIF('CO-PO Mapping'!H25:H30,"&gt;0"),0)</f>
        <v>0.74689805005637</v>
      </c>
      <c r="I10" s="70" t="n">
        <f aca="false">IFERROR(SUMPRODUCT(('CO-PO Mapping'!D25:D30)*('CO-PO Mapping'!I25:I30))/SUMIF('CO-PO Mapping'!I25:I30,"&gt;0"),0)</f>
        <v>0.74908219903043</v>
      </c>
      <c r="J10" s="70" t="n">
        <f aca="false">IFERROR(SUMPRODUCT(('CO-PO Mapping'!D25:D30)*('CO-PO Mapping'!J25:J30))/SUMIF('CO-PO Mapping'!J25:J30,"&gt;0"),0)</f>
        <v>0.758141185894558</v>
      </c>
      <c r="K10" s="70" t="n">
        <f aca="false">IFERROR(SUMPRODUCT(('CO-PO Mapping'!D25:D30)*('CO-PO Mapping'!K25:K30))/SUMIF('CO-PO Mapping'!K25:K30,"&gt;0"),0)</f>
        <v>0</v>
      </c>
      <c r="L10" s="70" t="n">
        <f aca="false">IFERROR(SUMPRODUCT(('CO-PO Mapping'!D25:D30)*('CO-PO Mapping'!L25:L30))/SUMIF('CO-PO Mapping'!L25:L30,"&gt;0"),0)</f>
        <v>0</v>
      </c>
      <c r="M10" s="70" t="n">
        <f aca="false">IFERROR(SUMPRODUCT(('CO-PO Mapping'!D25:D30)*('CO-PO Mapping'!M25:M30))/SUMIF('CO-PO Mapping'!M25:M30,"&gt;0"),0)</f>
        <v>0.751776763210232</v>
      </c>
      <c r="N10" s="70" t="n">
        <f aca="false">IFERROR(SUMPRODUCT(('CO-PO Mapping'!D25:D30)*('CO-PO Mapping'!N25:N30))/SUMIF('CO-PO Mapping'!N25:N30,"&gt;0"),0)</f>
        <v>0.753771622441979</v>
      </c>
      <c r="O10" s="70" t="n">
        <f aca="false">IFERROR(SUMPRODUCT(('CO-PO Mapping'!D25:D30)*('CO-PO Mapping'!O25:O30))/SUMIF('CO-PO Mapping'!O25:O30,"&gt;0"),0)</f>
        <v>0</v>
      </c>
      <c r="P10" s="70" t="n">
        <f aca="false">IFERROR(SUMPRODUCT(('CO-PO Mapping'!D25:D30)*('CO-PO Mapping'!P25:P30))/SUMIF('CO-PO Mapping'!P25:P30,"&gt;0"),0)</f>
        <v>0.74750604186049</v>
      </c>
      <c r="Q10" s="70" t="n">
        <f aca="false">IFERROR(SUMPRODUCT(('CO-PO Mapping'!D25:D30)*('CO-PO Mapping'!Q25:Q30))/SUMIF('CO-PO Mapping'!Q25:Q30,"&gt;0"),0)</f>
        <v>0.746797032258219</v>
      </c>
      <c r="R10" s="70" t="n">
        <f aca="false">IFERROR(SUMPRODUCT(('CO-PO Mapping'!D25:D30)*('CO-PO Mapping'!R25:R30))/SUMIF('CO-PO Mapping'!R25:R30,"&gt;0"),0)</f>
        <v>0.747626987416888</v>
      </c>
      <c r="S10" s="70" t="n">
        <f aca="false">IFERROR(SUMPRODUCT(('CO-PO Mapping'!D25:D30)*('CO-PO Mapping'!S25:S30))/SUMIF('CO-PO Mapping'!S25:S30,"&gt;0"),0)</f>
        <v>0.747259257801134</v>
      </c>
      <c r="T10" s="72" t="n">
        <f aca="false">AVERAGE(E10:P10)</f>
        <v>0.562233836805357</v>
      </c>
      <c r="U10" s="88" t="n">
        <f aca="false">AVERAGE(Q10:S10)</f>
        <v>0.747227759158747</v>
      </c>
      <c r="V10" s="74" t="n">
        <f aca="false">(AVERAGE(E10:P10)+AVERAGE(Q10:S10))/2</f>
        <v>0.654730797982052</v>
      </c>
    </row>
    <row r="12" customFormat="false" ht="24" hidden="false" customHeight="true" outlineLevel="0" collapsed="false">
      <c r="A12" s="41" t="s">
        <v>146</v>
      </c>
      <c r="B12" s="41"/>
      <c r="C12" s="41"/>
      <c r="D12" s="41"/>
      <c r="E12" s="89" t="n">
        <f aca="false">IFERROR(SUMPRODUCT(D6:D10,E6:E10)/SUM(D6:D10),0)</f>
        <v>0.752492996195234</v>
      </c>
      <c r="F12" s="89" t="n">
        <f aca="false">IFERROR(SUMPRODUCT(D6:D10,F6:F10)/SUM(D6:D10),0)</f>
        <v>0.752491553133559</v>
      </c>
      <c r="G12" s="89" t="n">
        <f aca="false">IFERROR(SUMPRODUCT(D6:D10,G6:G10)/SUM(D6:D10),0)</f>
        <v>0.75184647451724</v>
      </c>
      <c r="H12" s="89" t="n">
        <f aca="false">IFERROR(SUMPRODUCT(D6:D10,H6:H10)/SUM(D6:D10),0)</f>
        <v>0.750589943344607</v>
      </c>
      <c r="I12" s="89" t="n">
        <f aca="false">IFERROR(SUMPRODUCT(D6:D10,I6:I10)/SUM(D6:D10),0)</f>
        <v>0.752152227351874</v>
      </c>
      <c r="J12" s="89" t="n">
        <f aca="false">IFERROR(SUMPRODUCT(D6:D10,J6:J10)/SUM(D6:D10),0)</f>
        <v>0.302251570512245</v>
      </c>
      <c r="K12" s="89" t="n">
        <f aca="false">IFERROR(SUMPRODUCT(D6:D10,K6:K10)/SUM(D6:D10),0)</f>
        <v>0.154183333333333</v>
      </c>
      <c r="L12" s="89" t="n">
        <f aca="false">IFERROR(SUMPRODUCT(D6:D10,L6:L10)/SUM(D6:D10),0)</f>
        <v>0</v>
      </c>
      <c r="M12" s="89" t="n">
        <f aca="false">IFERROR(SUMPRODUCT(D6:D10,M6:M10)/SUM(D6:D10),0)</f>
        <v>0.750624241530935</v>
      </c>
      <c r="N12" s="89" t="n">
        <f aca="false">IFERROR(SUMPRODUCT(D6:D10,N6:N10)/SUM(D6:D10),0)</f>
        <v>0.754328213377285</v>
      </c>
      <c r="O12" s="89" t="n">
        <f aca="false">IFERROR(SUMPRODUCT(D6:D10,O6:O10)/SUM(D6:D10),0)</f>
        <v>0.148356666666667</v>
      </c>
      <c r="P12" s="89" t="n">
        <f aca="false">IFERROR(SUMPRODUCT(D6:D10,P6:P10)/SUM(D6:D10),0)</f>
        <v>0.752369144880035</v>
      </c>
      <c r="Q12" s="90" t="n">
        <f aca="false">IFERROR(SUMPRODUCT(D6:D10,Q6:Q10)/SUM(D6:D10),0)</f>
        <v>0.752289638441876</v>
      </c>
      <c r="R12" s="90" t="n">
        <f aca="false">IFERROR(SUMPRODUCT(D6:D10,R6:R10)/SUM(D6:D10),0)</f>
        <v>0.752602812013292</v>
      </c>
      <c r="S12" s="90" t="n">
        <f aca="false">IFERROR(SUMPRODUCT(D6:D10,S6:S10)/SUM(D6:D10),0)</f>
        <v>0.752495866110492</v>
      </c>
    </row>
  </sheetData>
  <mergeCells count="10">
    <mergeCell ref="A1:U1"/>
    <mergeCell ref="A2:U2"/>
    <mergeCell ref="A4:A5"/>
    <mergeCell ref="B4:B5"/>
    <mergeCell ref="C4:C5"/>
    <mergeCell ref="D4:D5"/>
    <mergeCell ref="E4:P4"/>
    <mergeCell ref="Q4:S4"/>
    <mergeCell ref="T4:U4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8" min="3" style="0" width="12"/>
  </cols>
  <sheetData>
    <row r="1" customFormat="false" ht="36" hidden="false" customHeight="true" outlineLevel="0" collapsed="false">
      <c r="A1" s="34" t="s">
        <v>147</v>
      </c>
      <c r="B1" s="34"/>
      <c r="C1" s="34"/>
      <c r="D1" s="34"/>
      <c r="E1" s="34"/>
      <c r="F1" s="34"/>
      <c r="G1" s="34"/>
      <c r="H1" s="34"/>
    </row>
    <row r="2" customFormat="false" ht="15.75" hidden="false" customHeight="true" outlineLevel="0" collapsed="false">
      <c r="A2" s="68" t="s">
        <v>148</v>
      </c>
      <c r="B2" s="68"/>
      <c r="C2" s="68"/>
      <c r="D2" s="68"/>
      <c r="E2" s="68"/>
      <c r="F2" s="68"/>
      <c r="G2" s="68"/>
      <c r="H2" s="68"/>
    </row>
    <row r="3" customFormat="false" ht="7.5" hidden="false" customHeight="true" outlineLevel="0" collapsed="false"/>
    <row r="4" customFormat="false" ht="19.5" hidden="false" customHeight="true" outlineLevel="0" collapsed="false">
      <c r="A4" s="5" t="s">
        <v>12</v>
      </c>
      <c r="B4" s="5" t="s">
        <v>13</v>
      </c>
      <c r="C4" s="6" t="s">
        <v>149</v>
      </c>
      <c r="D4" s="6" t="s">
        <v>150</v>
      </c>
      <c r="E4" s="6" t="s">
        <v>151</v>
      </c>
      <c r="F4" s="6" t="s">
        <v>152</v>
      </c>
      <c r="G4" s="6" t="s">
        <v>153</v>
      </c>
      <c r="H4" s="7" t="s">
        <v>15</v>
      </c>
    </row>
    <row r="5" customFormat="false" ht="18" hidden="false" customHeight="true" outlineLevel="0" collapsed="false">
      <c r="A5" s="36" t="s">
        <v>154</v>
      </c>
      <c r="B5" s="36"/>
      <c r="C5" s="91" t="n">
        <v>0.2</v>
      </c>
      <c r="D5" s="91" t="n">
        <v>0.25</v>
      </c>
      <c r="E5" s="91" t="n">
        <v>0.2</v>
      </c>
      <c r="F5" s="91" t="n">
        <v>0.2</v>
      </c>
      <c r="G5" s="91" t="n">
        <v>0.15</v>
      </c>
      <c r="H5" s="92" t="n">
        <f aca="false">SUM(C5:G5)</f>
        <v>1</v>
      </c>
    </row>
    <row r="6" customFormat="false" ht="19.5" hidden="false" customHeight="true" outlineLevel="0" collapsed="false">
      <c r="A6" s="93" t="s">
        <v>22</v>
      </c>
      <c r="B6" s="21" t="s">
        <v>23</v>
      </c>
      <c r="C6" s="94" t="n">
        <v>0.5759</v>
      </c>
      <c r="D6" s="94" t="n">
        <v>0.5842</v>
      </c>
      <c r="E6" s="94" t="n">
        <v>0.8757</v>
      </c>
      <c r="F6" s="94" t="n">
        <v>0.7626</v>
      </c>
      <c r="G6" s="94" t="n">
        <v>0.8114</v>
      </c>
      <c r="H6" s="95" t="n">
        <f aca="false">IFERROR(C5*C6+D5*D6+E5*E6+F5*F6+G5*G6,0)</f>
        <v>0.7106</v>
      </c>
    </row>
    <row r="7" customFormat="false" ht="19.5" hidden="false" customHeight="true" outlineLevel="0" collapsed="false">
      <c r="A7" s="93" t="s">
        <v>26</v>
      </c>
      <c r="B7" s="31" t="s">
        <v>27</v>
      </c>
      <c r="C7" s="94" t="n">
        <v>0.7604</v>
      </c>
      <c r="D7" s="94" t="n">
        <v>0.7262</v>
      </c>
      <c r="E7" s="94" t="n">
        <v>0.8407</v>
      </c>
      <c r="F7" s="94" t="n">
        <v>0.593</v>
      </c>
      <c r="G7" s="94" t="n">
        <v>0.7746</v>
      </c>
      <c r="H7" s="95" t="n">
        <f aca="false">IFERROR(C5*C7+D5*D7+E5*E7+F5*F7+G5*G7,0)</f>
        <v>0.73656</v>
      </c>
    </row>
    <row r="8" customFormat="false" ht="19.5" hidden="false" customHeight="true" outlineLevel="0" collapsed="false">
      <c r="A8" s="93" t="s">
        <v>30</v>
      </c>
      <c r="B8" s="21" t="s">
        <v>31</v>
      </c>
      <c r="C8" s="94" t="n">
        <v>0.8064</v>
      </c>
      <c r="D8" s="94" t="n">
        <v>0.671</v>
      </c>
      <c r="E8" s="94" t="n">
        <v>0.684</v>
      </c>
      <c r="F8" s="94" t="n">
        <v>0.7645</v>
      </c>
      <c r="G8" s="94" t="n">
        <v>0.6413</v>
      </c>
      <c r="H8" s="95" t="n">
        <f aca="false">IFERROR(C5*C8+D5*D8+E5*E8+F5*F8+G5*G8,0)</f>
        <v>0.714925</v>
      </c>
    </row>
    <row r="9" customFormat="false" ht="19.5" hidden="false" customHeight="true" outlineLevel="0" collapsed="false">
      <c r="A9" s="93" t="s">
        <v>34</v>
      </c>
      <c r="B9" s="31" t="s">
        <v>35</v>
      </c>
      <c r="C9" s="94" t="n">
        <v>0.8832</v>
      </c>
      <c r="D9" s="94" t="n">
        <v>0.7746</v>
      </c>
      <c r="E9" s="94" t="n">
        <v>0.7163</v>
      </c>
      <c r="F9" s="94" t="n">
        <v>0.8137</v>
      </c>
      <c r="G9" s="94" t="n">
        <v>0.8938</v>
      </c>
      <c r="H9" s="95" t="n">
        <f aca="false">IFERROR(C5*C9+D5*D9+E5*E9+F5*F9+G5*G9,0)</f>
        <v>0.81036</v>
      </c>
    </row>
    <row r="10" customFormat="false" ht="19.5" hidden="false" customHeight="true" outlineLevel="0" collapsed="false">
      <c r="A10" s="93" t="s">
        <v>38</v>
      </c>
      <c r="B10" s="21" t="s">
        <v>39</v>
      </c>
      <c r="C10" s="94" t="n">
        <v>0.8324</v>
      </c>
      <c r="D10" s="94" t="n">
        <v>0.5864</v>
      </c>
      <c r="E10" s="94" t="n">
        <v>0.8395</v>
      </c>
      <c r="F10" s="94" t="n">
        <v>0.852</v>
      </c>
      <c r="G10" s="94" t="n">
        <v>0.8986</v>
      </c>
      <c r="H10" s="95" t="n">
        <f aca="false">IFERROR(C5*C10+D5*D10+E5*E10+F5*F10+G5*G10,0)</f>
        <v>0.78617</v>
      </c>
    </row>
    <row r="11" customFormat="false" ht="19.5" hidden="false" customHeight="true" outlineLevel="0" collapsed="false">
      <c r="A11" s="93" t="s">
        <v>40</v>
      </c>
      <c r="B11" s="31" t="s">
        <v>41</v>
      </c>
      <c r="C11" s="94" t="n">
        <v>0.5832</v>
      </c>
      <c r="D11" s="94" t="n">
        <v>0.5945</v>
      </c>
      <c r="E11" s="94" t="n">
        <v>0.7338</v>
      </c>
      <c r="F11" s="94" t="n">
        <v>0.7413</v>
      </c>
      <c r="G11" s="94" t="n">
        <v>0.8035</v>
      </c>
      <c r="H11" s="95" t="n">
        <f aca="false">IFERROR(C5*C11+D5*D11+E5*E11+F5*F11+G5*G11,0)</f>
        <v>0.68081</v>
      </c>
    </row>
    <row r="12" customFormat="false" ht="19.5" hidden="false" customHeight="true" outlineLevel="0" collapsed="false">
      <c r="A12" s="93" t="s">
        <v>42</v>
      </c>
      <c r="B12" s="21" t="s">
        <v>43</v>
      </c>
      <c r="C12" s="94" t="n">
        <v>0.6837</v>
      </c>
      <c r="D12" s="94" t="n">
        <v>0.8567</v>
      </c>
      <c r="E12" s="94" t="n">
        <v>0.8563</v>
      </c>
      <c r="F12" s="94" t="n">
        <v>0.6078</v>
      </c>
      <c r="G12" s="94" t="n">
        <v>0.8432</v>
      </c>
      <c r="H12" s="95" t="n">
        <f aca="false">IFERROR(C5*C12+D5*D12+E5*E12+F5*F12+G5*G12,0)</f>
        <v>0.770215</v>
      </c>
    </row>
    <row r="13" customFormat="false" ht="19.5" hidden="false" customHeight="true" outlineLevel="0" collapsed="false">
      <c r="A13" s="93" t="s">
        <v>44</v>
      </c>
      <c r="B13" s="31" t="s">
        <v>45</v>
      </c>
      <c r="C13" s="94" t="n">
        <v>0.8406</v>
      </c>
      <c r="D13" s="94" t="n">
        <v>0.6255</v>
      </c>
      <c r="E13" s="94" t="n">
        <v>0.9412</v>
      </c>
      <c r="F13" s="94" t="n">
        <v>0.7692</v>
      </c>
      <c r="G13" s="94" t="n">
        <v>0.8732</v>
      </c>
      <c r="H13" s="95" t="n">
        <f aca="false">IFERROR(C5*C13+D5*D13+E5*E13+F5*F13+G5*G13,0)</f>
        <v>0.797555</v>
      </c>
    </row>
    <row r="14" customFormat="false" ht="19.5" hidden="false" customHeight="true" outlineLevel="0" collapsed="false">
      <c r="A14" s="93" t="s">
        <v>46</v>
      </c>
      <c r="B14" s="21" t="s">
        <v>47</v>
      </c>
      <c r="C14" s="94" t="n">
        <v>0.8483</v>
      </c>
      <c r="D14" s="94" t="n">
        <v>0.6268</v>
      </c>
      <c r="E14" s="94" t="n">
        <v>0.6108</v>
      </c>
      <c r="F14" s="94" t="n">
        <v>0.8724</v>
      </c>
      <c r="G14" s="94" t="n">
        <v>0.6675</v>
      </c>
      <c r="H14" s="95" t="n">
        <f aca="false">IFERROR(C5*C14+D5*D14+E5*E14+F5*F14+G5*G14,0)</f>
        <v>0.723125</v>
      </c>
    </row>
    <row r="15" customFormat="false" ht="19.5" hidden="false" customHeight="true" outlineLevel="0" collapsed="false">
      <c r="A15" s="93" t="s">
        <v>48</v>
      </c>
      <c r="B15" s="31" t="s">
        <v>49</v>
      </c>
      <c r="C15" s="94" t="n">
        <v>0.9146</v>
      </c>
      <c r="D15" s="94" t="n">
        <v>0.8686</v>
      </c>
      <c r="E15" s="94" t="n">
        <v>0.5717</v>
      </c>
      <c r="F15" s="94" t="n">
        <v>0.8828</v>
      </c>
      <c r="G15" s="94" t="n">
        <v>0.6688</v>
      </c>
      <c r="H15" s="95" t="n">
        <f aca="false">IFERROR(C5*C15+D5*D15+E5*E15+F5*F15+G5*G15,0)</f>
        <v>0.79129</v>
      </c>
    </row>
    <row r="16" customFormat="false" ht="19.5" hidden="false" customHeight="true" outlineLevel="0" collapsed="false">
      <c r="A16" s="93" t="s">
        <v>50</v>
      </c>
      <c r="B16" s="21" t="s">
        <v>51</v>
      </c>
      <c r="C16" s="94" t="n">
        <v>0.5855</v>
      </c>
      <c r="D16" s="94" t="n">
        <v>0.8449</v>
      </c>
      <c r="E16" s="94" t="n">
        <v>0.7907</v>
      </c>
      <c r="F16" s="94" t="n">
        <v>0.5908</v>
      </c>
      <c r="G16" s="94" t="n">
        <v>0.7421</v>
      </c>
      <c r="H16" s="95" t="n">
        <f aca="false">IFERROR(C5*C16+D5*D16+E5*E16+F5*F16+G5*G16,0)</f>
        <v>0.71594</v>
      </c>
    </row>
    <row r="17" customFormat="false" ht="19.5" hidden="false" customHeight="true" outlineLevel="0" collapsed="false">
      <c r="A17" s="93" t="s">
        <v>52</v>
      </c>
      <c r="B17" s="31" t="s">
        <v>53</v>
      </c>
      <c r="C17" s="94" t="n">
        <v>0.704</v>
      </c>
      <c r="D17" s="94" t="n">
        <v>0.7598</v>
      </c>
      <c r="E17" s="94" t="n">
        <v>0.7868</v>
      </c>
      <c r="F17" s="94" t="n">
        <v>0.7071</v>
      </c>
      <c r="G17" s="94" t="n">
        <v>0.662</v>
      </c>
      <c r="H17" s="95" t="n">
        <f aca="false">IFERROR(C5*C17+D5*D17+E5*E17+F5*F17+G5*G17,0)</f>
        <v>0.72883</v>
      </c>
    </row>
    <row r="18" customFormat="false" ht="19.5" hidden="false" customHeight="true" outlineLevel="0" collapsed="false">
      <c r="A18" s="96" t="s">
        <v>54</v>
      </c>
      <c r="B18" s="21" t="s">
        <v>55</v>
      </c>
      <c r="C18" s="94" t="n">
        <v>0.6012</v>
      </c>
      <c r="D18" s="94" t="n">
        <v>0.7896</v>
      </c>
      <c r="E18" s="94" t="n">
        <v>0.8491</v>
      </c>
      <c r="F18" s="94" t="n">
        <v>0.6514</v>
      </c>
      <c r="G18" s="94" t="n">
        <v>0.7635</v>
      </c>
      <c r="H18" s="95" t="n">
        <f aca="false">IFERROR(C5*C18+D5*D18+E5*E18+F5*F18+G5*G18,0)</f>
        <v>0.732265</v>
      </c>
    </row>
    <row r="19" customFormat="false" ht="19.5" hidden="false" customHeight="true" outlineLevel="0" collapsed="false">
      <c r="A19" s="96" t="s">
        <v>56</v>
      </c>
      <c r="B19" s="31" t="s">
        <v>57</v>
      </c>
      <c r="C19" s="94" t="n">
        <v>0.5776</v>
      </c>
      <c r="D19" s="94" t="n">
        <v>0.9052</v>
      </c>
      <c r="E19" s="94" t="n">
        <v>0.6578</v>
      </c>
      <c r="F19" s="94" t="n">
        <v>0.7487</v>
      </c>
      <c r="G19" s="94" t="n">
        <v>0.7132</v>
      </c>
      <c r="H19" s="95" t="n">
        <f aca="false">IFERROR(C5*C19+D5*D19+E5*E19+F5*F19+G5*G19,0)</f>
        <v>0.7301</v>
      </c>
    </row>
    <row r="20" customFormat="false" ht="19.5" hidden="false" customHeight="true" outlineLevel="0" collapsed="false">
      <c r="A20" s="96" t="s">
        <v>58</v>
      </c>
      <c r="B20" s="21" t="s">
        <v>59</v>
      </c>
      <c r="C20" s="94" t="n">
        <v>0.62</v>
      </c>
      <c r="D20" s="94" t="n">
        <v>0.9325</v>
      </c>
      <c r="E20" s="94" t="n">
        <v>0.903</v>
      </c>
      <c r="F20" s="94" t="n">
        <v>0.7811</v>
      </c>
      <c r="G20" s="94" t="n">
        <v>0.9256</v>
      </c>
      <c r="H20" s="95" t="n">
        <f aca="false">IFERROR(C5*C20+D5*D20+E5*E20+F5*F20+G5*G20,0)</f>
        <v>0.832785</v>
      </c>
    </row>
  </sheetData>
  <mergeCells count="3">
    <mergeCell ref="A1:H1"/>
    <mergeCell ref="A2:H2"/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13" min="4" style="0" width="12"/>
  </cols>
  <sheetData>
    <row r="1" customFormat="false" ht="39.75" hidden="false" customHeight="true" outlineLevel="0" collapsed="false">
      <c r="A1" s="67" t="s">
        <v>155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customFormat="false" ht="15.75" hidden="false" customHeight="true" outlineLevel="0" collapsed="false">
      <c r="A2" s="68" t="s">
        <v>156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customFormat="false" ht="7.5" hidden="false" customHeight="true" outlineLevel="0" collapsed="false"/>
    <row r="4" customFormat="false" ht="19.5" hidden="false" customHeight="true" outlineLevel="0" collapsed="false">
      <c r="A4" s="43" t="s">
        <v>157</v>
      </c>
      <c r="B4" s="43"/>
      <c r="C4" s="20" t="s">
        <v>158</v>
      </c>
      <c r="D4" s="32" t="s">
        <v>159</v>
      </c>
      <c r="E4" s="69" t="s">
        <v>160</v>
      </c>
      <c r="F4" s="97" t="s">
        <v>17</v>
      </c>
      <c r="G4" s="98" t="s">
        <v>161</v>
      </c>
      <c r="H4" s="98"/>
      <c r="I4" s="98"/>
      <c r="J4" s="98"/>
      <c r="K4" s="98"/>
      <c r="L4" s="98"/>
      <c r="M4" s="98"/>
    </row>
    <row r="5" customFormat="false" ht="19.5" hidden="false" customHeight="true" outlineLevel="0" collapsed="false">
      <c r="A5" s="36" t="s">
        <v>162</v>
      </c>
      <c r="B5" s="36"/>
      <c r="C5" s="99" t="n">
        <v>0.8</v>
      </c>
      <c r="D5" s="99" t="n">
        <v>0.2</v>
      </c>
      <c r="E5" s="92" t="n">
        <f aca="false">C5+D5</f>
        <v>1</v>
      </c>
      <c r="F5" s="100" t="n">
        <v>0.6</v>
      </c>
    </row>
    <row r="6" customFormat="false" ht="27.75" hidden="false" customHeight="true" outlineLevel="0" collapsed="false">
      <c r="A6" s="36" t="s">
        <v>12</v>
      </c>
      <c r="B6" s="36"/>
      <c r="C6" s="36"/>
      <c r="D6" s="38" t="s">
        <v>163</v>
      </c>
      <c r="E6" s="38"/>
      <c r="F6" s="37" t="s">
        <v>164</v>
      </c>
      <c r="G6" s="37"/>
      <c r="H6" s="101" t="s">
        <v>165</v>
      </c>
      <c r="I6" s="101"/>
      <c r="J6" s="101"/>
      <c r="K6" s="101"/>
      <c r="L6" s="101"/>
      <c r="M6" s="101"/>
    </row>
    <row r="7" customFormat="false" ht="19.5" hidden="false" customHeight="true" outlineLevel="0" collapsed="false">
      <c r="A7" s="5" t="s">
        <v>4</v>
      </c>
      <c r="B7" s="5" t="s">
        <v>12</v>
      </c>
      <c r="C7" s="5" t="s">
        <v>13</v>
      </c>
      <c r="D7" s="6" t="s">
        <v>14</v>
      </c>
      <c r="E7" s="6" t="s">
        <v>166</v>
      </c>
      <c r="F7" s="7" t="s">
        <v>15</v>
      </c>
      <c r="G7" s="7" t="s">
        <v>167</v>
      </c>
      <c r="H7" s="102" t="s">
        <v>16</v>
      </c>
      <c r="I7" s="9" t="s">
        <v>11</v>
      </c>
      <c r="J7" s="10" t="s">
        <v>17</v>
      </c>
      <c r="K7" s="11" t="s">
        <v>18</v>
      </c>
      <c r="L7" s="5" t="s">
        <v>19</v>
      </c>
      <c r="M7" s="103" t="s">
        <v>168</v>
      </c>
    </row>
    <row r="8" customFormat="false" ht="21.75" hidden="false" customHeight="true" outlineLevel="0" collapsed="false">
      <c r="A8" s="12" t="n">
        <v>1</v>
      </c>
      <c r="B8" s="93" t="s">
        <v>22</v>
      </c>
      <c r="C8" s="21" t="s">
        <v>23</v>
      </c>
      <c r="D8" s="22" t="n">
        <f aca="false">'PO Direct Attainment'!E12</f>
        <v>0.752492996195234</v>
      </c>
      <c r="E8" s="104" t="n">
        <f aca="false">IF(D8&gt;=0.6,3,IF(D8&gt;=0.4,2,1))</f>
        <v>3</v>
      </c>
      <c r="F8" s="23" t="n">
        <f aca="false">'PO Indirect Attainment'!H6</f>
        <v>0.7106</v>
      </c>
      <c r="G8" s="33" t="n">
        <f aca="false">IF(F8&gt;=0.6,3,IF(F8&gt;=0.4,2,1))</f>
        <v>3</v>
      </c>
      <c r="H8" s="16" t="n">
        <f aca="false">D8*$C$5+F8*$D$5</f>
        <v>0.744114396956187</v>
      </c>
      <c r="I8" s="66" t="n">
        <f aca="false">IF(H8&gt;=0.6,3,IF(H8&gt;=0.4,2,1))</f>
        <v>3</v>
      </c>
      <c r="J8" s="24" t="n">
        <f aca="false">$F$5</f>
        <v>0.6</v>
      </c>
      <c r="K8" s="25" t="n">
        <f aca="false">H8-J8</f>
        <v>0.144114396956187</v>
      </c>
      <c r="L8" s="26" t="str">
        <f aca="false">IF(H8&gt;=J8,"✔ Met","✘ Not Met")</f>
        <v>✔ Met</v>
      </c>
      <c r="M8" s="105" t="str">
        <f aca="false">IF(H8&gt;=0.6,"Sustain",IF(H8&gt;=0.4,"Improve","Urgent Action"))</f>
        <v>Sustain</v>
      </c>
    </row>
    <row r="9" customFormat="false" ht="21.75" hidden="false" customHeight="true" outlineLevel="0" collapsed="false">
      <c r="A9" s="27" t="n">
        <v>2</v>
      </c>
      <c r="B9" s="93" t="s">
        <v>26</v>
      </c>
      <c r="C9" s="31" t="s">
        <v>27</v>
      </c>
      <c r="D9" s="22" t="n">
        <f aca="false">'PO Direct Attainment'!F12</f>
        <v>0.752491553133559</v>
      </c>
      <c r="E9" s="104" t="n">
        <f aca="false">IF(D9&gt;=0.6,3,IF(D9&gt;=0.4,2,1))</f>
        <v>3</v>
      </c>
      <c r="F9" s="23" t="n">
        <f aca="false">'PO Indirect Attainment'!H7</f>
        <v>0.73656</v>
      </c>
      <c r="G9" s="33" t="n">
        <f aca="false">IF(F9&gt;=0.6,3,IF(F9&gt;=0.4,2,1))</f>
        <v>3</v>
      </c>
      <c r="H9" s="16" t="n">
        <f aca="false">D9*$C$5+F9*$D$5</f>
        <v>0.749305242506847</v>
      </c>
      <c r="I9" s="66" t="n">
        <f aca="false">IF(H9&gt;=0.6,3,IF(H9&gt;=0.4,2,1))</f>
        <v>3</v>
      </c>
      <c r="J9" s="24" t="n">
        <f aca="false">$F$5</f>
        <v>0.6</v>
      </c>
      <c r="K9" s="25" t="n">
        <f aca="false">H9-J9</f>
        <v>0.149305242506847</v>
      </c>
      <c r="L9" s="26" t="str">
        <f aca="false">IF(H9&gt;=J9,"✔ Met","✘ Not Met")</f>
        <v>✔ Met</v>
      </c>
      <c r="M9" s="105" t="str">
        <f aca="false">IF(H9&gt;=0.6,"Sustain",IF(H9&gt;=0.4,"Improve","Urgent Action"))</f>
        <v>Sustain</v>
      </c>
    </row>
    <row r="10" customFormat="false" ht="21.75" hidden="false" customHeight="true" outlineLevel="0" collapsed="false">
      <c r="A10" s="12" t="n">
        <v>3</v>
      </c>
      <c r="B10" s="93" t="s">
        <v>30</v>
      </c>
      <c r="C10" s="21" t="s">
        <v>31</v>
      </c>
      <c r="D10" s="22" t="n">
        <f aca="false">'PO Direct Attainment'!G12</f>
        <v>0.75184647451724</v>
      </c>
      <c r="E10" s="104" t="n">
        <f aca="false">IF(D10&gt;=0.6,3,IF(D10&gt;=0.4,2,1))</f>
        <v>3</v>
      </c>
      <c r="F10" s="23" t="n">
        <f aca="false">'PO Indirect Attainment'!H8</f>
        <v>0.714925</v>
      </c>
      <c r="G10" s="33" t="n">
        <f aca="false">IF(F10&gt;=0.6,3,IF(F10&gt;=0.4,2,1))</f>
        <v>3</v>
      </c>
      <c r="H10" s="16" t="n">
        <f aca="false">D10*$C$5+F10*$D$5</f>
        <v>0.744462179613792</v>
      </c>
      <c r="I10" s="66" t="n">
        <f aca="false">IF(H10&gt;=0.6,3,IF(H10&gt;=0.4,2,1))</f>
        <v>3</v>
      </c>
      <c r="J10" s="24" t="n">
        <f aca="false">$F$5</f>
        <v>0.6</v>
      </c>
      <c r="K10" s="25" t="n">
        <f aca="false">H10-J10</f>
        <v>0.144462179613792</v>
      </c>
      <c r="L10" s="26" t="str">
        <f aca="false">IF(H10&gt;=J10,"✔ Met","✘ Not Met")</f>
        <v>✔ Met</v>
      </c>
      <c r="M10" s="105" t="str">
        <f aca="false">IF(H10&gt;=0.6,"Sustain",IF(H10&gt;=0.4,"Improve","Urgent Action"))</f>
        <v>Sustain</v>
      </c>
    </row>
    <row r="11" customFormat="false" ht="21.75" hidden="false" customHeight="true" outlineLevel="0" collapsed="false">
      <c r="A11" s="27" t="n">
        <v>4</v>
      </c>
      <c r="B11" s="93" t="s">
        <v>34</v>
      </c>
      <c r="C11" s="31" t="s">
        <v>35</v>
      </c>
      <c r="D11" s="22" t="n">
        <f aca="false">'PO Direct Attainment'!H12</f>
        <v>0.750589943344607</v>
      </c>
      <c r="E11" s="104" t="n">
        <f aca="false">IF(D11&gt;=0.6,3,IF(D11&gt;=0.4,2,1))</f>
        <v>3</v>
      </c>
      <c r="F11" s="23" t="n">
        <f aca="false">'PO Indirect Attainment'!H9</f>
        <v>0.81036</v>
      </c>
      <c r="G11" s="33" t="n">
        <f aca="false">IF(F11&gt;=0.6,3,IF(F11&gt;=0.4,2,1))</f>
        <v>3</v>
      </c>
      <c r="H11" s="16" t="n">
        <f aca="false">D11*$C$5+F11*$D$5</f>
        <v>0.762543954675686</v>
      </c>
      <c r="I11" s="66" t="n">
        <f aca="false">IF(H11&gt;=0.6,3,IF(H11&gt;=0.4,2,1))</f>
        <v>3</v>
      </c>
      <c r="J11" s="24" t="n">
        <f aca="false">$F$5</f>
        <v>0.6</v>
      </c>
      <c r="K11" s="25" t="n">
        <f aca="false">H11-J11</f>
        <v>0.162543954675686</v>
      </c>
      <c r="L11" s="26" t="str">
        <f aca="false">IF(H11&gt;=J11,"✔ Met","✘ Not Met")</f>
        <v>✔ Met</v>
      </c>
      <c r="M11" s="105" t="str">
        <f aca="false">IF(H11&gt;=0.6,"Sustain",IF(H11&gt;=0.4,"Improve","Urgent Action"))</f>
        <v>Sustain</v>
      </c>
    </row>
    <row r="12" customFormat="false" ht="21.75" hidden="false" customHeight="true" outlineLevel="0" collapsed="false">
      <c r="A12" s="12" t="n">
        <v>5</v>
      </c>
      <c r="B12" s="93" t="s">
        <v>38</v>
      </c>
      <c r="C12" s="21" t="s">
        <v>39</v>
      </c>
      <c r="D12" s="22" t="n">
        <f aca="false">'PO Direct Attainment'!I12</f>
        <v>0.752152227351874</v>
      </c>
      <c r="E12" s="104" t="n">
        <f aca="false">IF(D12&gt;=0.6,3,IF(D12&gt;=0.4,2,1))</f>
        <v>3</v>
      </c>
      <c r="F12" s="23" t="n">
        <f aca="false">'PO Indirect Attainment'!H10</f>
        <v>0.78617</v>
      </c>
      <c r="G12" s="33" t="n">
        <f aca="false">IF(F12&gt;=0.6,3,IF(F12&gt;=0.4,2,1))</f>
        <v>3</v>
      </c>
      <c r="H12" s="16" t="n">
        <f aca="false">D12*$C$5+F12*$D$5</f>
        <v>0.758955781881499</v>
      </c>
      <c r="I12" s="66" t="n">
        <f aca="false">IF(H12&gt;=0.6,3,IF(H12&gt;=0.4,2,1))</f>
        <v>3</v>
      </c>
      <c r="J12" s="24" t="n">
        <f aca="false">$F$5</f>
        <v>0.6</v>
      </c>
      <c r="K12" s="25" t="n">
        <f aca="false">H12-J12</f>
        <v>0.158955781881499</v>
      </c>
      <c r="L12" s="26" t="str">
        <f aca="false">IF(H12&gt;=J12,"✔ Met","✘ Not Met")</f>
        <v>✔ Met</v>
      </c>
      <c r="M12" s="105" t="str">
        <f aca="false">IF(H12&gt;=0.6,"Sustain",IF(H12&gt;=0.4,"Improve","Urgent Action"))</f>
        <v>Sustain</v>
      </c>
    </row>
    <row r="13" customFormat="false" ht="21.75" hidden="false" customHeight="true" outlineLevel="0" collapsed="false">
      <c r="A13" s="27" t="n">
        <v>6</v>
      </c>
      <c r="B13" s="93" t="s">
        <v>40</v>
      </c>
      <c r="C13" s="31" t="s">
        <v>41</v>
      </c>
      <c r="D13" s="22" t="n">
        <f aca="false">'PO Direct Attainment'!J12</f>
        <v>0.302251570512245</v>
      </c>
      <c r="E13" s="104" t="n">
        <f aca="false">IF(D13&gt;=0.6,3,IF(D13&gt;=0.4,2,1))</f>
        <v>1</v>
      </c>
      <c r="F13" s="23" t="n">
        <f aca="false">'PO Indirect Attainment'!H11</f>
        <v>0.68081</v>
      </c>
      <c r="G13" s="33" t="n">
        <f aca="false">IF(F13&gt;=0.6,3,IF(F13&gt;=0.4,2,1))</f>
        <v>3</v>
      </c>
      <c r="H13" s="16" t="n">
        <f aca="false">D13*$C$5+F13*$D$5</f>
        <v>0.377963256409796</v>
      </c>
      <c r="I13" s="66" t="n">
        <f aca="false">IF(H13&gt;=0.6,3,IF(H13&gt;=0.4,2,1))</f>
        <v>1</v>
      </c>
      <c r="J13" s="24" t="n">
        <f aca="false">$F$5</f>
        <v>0.6</v>
      </c>
      <c r="K13" s="25" t="n">
        <f aca="false">H13-J13</f>
        <v>-0.222036743590204</v>
      </c>
      <c r="L13" s="26" t="str">
        <f aca="false">IF(H13&gt;=J13,"✔ Met","✘ Not Met")</f>
        <v>✘ Not Met</v>
      </c>
      <c r="M13" s="105" t="str">
        <f aca="false">IF(H13&gt;=0.6,"Sustain",IF(H13&gt;=0.4,"Improve","Urgent Action"))</f>
        <v>Urgent Action</v>
      </c>
    </row>
    <row r="14" customFormat="false" ht="21.75" hidden="false" customHeight="true" outlineLevel="0" collapsed="false">
      <c r="A14" s="12" t="n">
        <v>7</v>
      </c>
      <c r="B14" s="93" t="s">
        <v>42</v>
      </c>
      <c r="C14" s="21" t="s">
        <v>43</v>
      </c>
      <c r="D14" s="22" t="n">
        <f aca="false">'PO Direct Attainment'!K12</f>
        <v>0.154183333333333</v>
      </c>
      <c r="E14" s="104" t="n">
        <f aca="false">IF(D14&gt;=0.6,3,IF(D14&gt;=0.4,2,1))</f>
        <v>1</v>
      </c>
      <c r="F14" s="23" t="n">
        <f aca="false">'PO Indirect Attainment'!H12</f>
        <v>0.770215</v>
      </c>
      <c r="G14" s="33" t="n">
        <f aca="false">IF(F14&gt;=0.6,3,IF(F14&gt;=0.4,2,1))</f>
        <v>3</v>
      </c>
      <c r="H14" s="16" t="n">
        <f aca="false">D14*$C$5+F14*$D$5</f>
        <v>0.277389666666667</v>
      </c>
      <c r="I14" s="66" t="n">
        <f aca="false">IF(H14&gt;=0.6,3,IF(H14&gt;=0.4,2,1))</f>
        <v>1</v>
      </c>
      <c r="J14" s="24" t="n">
        <f aca="false">$F$5</f>
        <v>0.6</v>
      </c>
      <c r="K14" s="25" t="n">
        <f aca="false">H14-J14</f>
        <v>-0.322610333333333</v>
      </c>
      <c r="L14" s="26" t="str">
        <f aca="false">IF(H14&gt;=J14,"✔ Met","✘ Not Met")</f>
        <v>✘ Not Met</v>
      </c>
      <c r="M14" s="105" t="str">
        <f aca="false">IF(H14&gt;=0.6,"Sustain",IF(H14&gt;=0.4,"Improve","Urgent Action"))</f>
        <v>Urgent Action</v>
      </c>
    </row>
    <row r="15" customFormat="false" ht="21.75" hidden="false" customHeight="true" outlineLevel="0" collapsed="false">
      <c r="A15" s="27" t="n">
        <v>8</v>
      </c>
      <c r="B15" s="93" t="s">
        <v>44</v>
      </c>
      <c r="C15" s="31" t="s">
        <v>45</v>
      </c>
      <c r="D15" s="22" t="n">
        <f aca="false">'PO Direct Attainment'!L12</f>
        <v>0</v>
      </c>
      <c r="E15" s="104" t="n">
        <f aca="false">IF(D15&gt;=0.6,3,IF(D15&gt;=0.4,2,1))</f>
        <v>1</v>
      </c>
      <c r="F15" s="23" t="n">
        <f aca="false">'PO Indirect Attainment'!H13</f>
        <v>0.797555</v>
      </c>
      <c r="G15" s="33" t="n">
        <f aca="false">IF(F15&gt;=0.6,3,IF(F15&gt;=0.4,2,1))</f>
        <v>3</v>
      </c>
      <c r="H15" s="16" t="n">
        <f aca="false">D15*$C$5+F15*$D$5</f>
        <v>0.159511</v>
      </c>
      <c r="I15" s="66" t="n">
        <f aca="false">IF(H15&gt;=0.6,3,IF(H15&gt;=0.4,2,1))</f>
        <v>1</v>
      </c>
      <c r="J15" s="24" t="n">
        <f aca="false">$F$5</f>
        <v>0.6</v>
      </c>
      <c r="K15" s="25" t="n">
        <f aca="false">H15-J15</f>
        <v>-0.440489</v>
      </c>
      <c r="L15" s="26" t="str">
        <f aca="false">IF(H15&gt;=J15,"✔ Met","✘ Not Met")</f>
        <v>✘ Not Met</v>
      </c>
      <c r="M15" s="105" t="str">
        <f aca="false">IF(H15&gt;=0.6,"Sustain",IF(H15&gt;=0.4,"Improve","Urgent Action"))</f>
        <v>Urgent Action</v>
      </c>
    </row>
    <row r="16" customFormat="false" ht="21.75" hidden="false" customHeight="true" outlineLevel="0" collapsed="false">
      <c r="A16" s="12" t="n">
        <v>9</v>
      </c>
      <c r="B16" s="93" t="s">
        <v>46</v>
      </c>
      <c r="C16" s="21" t="s">
        <v>47</v>
      </c>
      <c r="D16" s="22" t="n">
        <f aca="false">'PO Direct Attainment'!M12</f>
        <v>0.750624241530935</v>
      </c>
      <c r="E16" s="104" t="n">
        <f aca="false">IF(D16&gt;=0.6,3,IF(D16&gt;=0.4,2,1))</f>
        <v>3</v>
      </c>
      <c r="F16" s="23" t="n">
        <f aca="false">'PO Indirect Attainment'!H14</f>
        <v>0.723125</v>
      </c>
      <c r="G16" s="33" t="n">
        <f aca="false">IF(F16&gt;=0.6,3,IF(F16&gt;=0.4,2,1))</f>
        <v>3</v>
      </c>
      <c r="H16" s="16" t="n">
        <f aca="false">D16*$C$5+F16*$D$5</f>
        <v>0.745124393224748</v>
      </c>
      <c r="I16" s="66" t="n">
        <f aca="false">IF(H16&gt;=0.6,3,IF(H16&gt;=0.4,2,1))</f>
        <v>3</v>
      </c>
      <c r="J16" s="24" t="n">
        <f aca="false">$F$5</f>
        <v>0.6</v>
      </c>
      <c r="K16" s="25" t="n">
        <f aca="false">H16-J16</f>
        <v>0.145124393224748</v>
      </c>
      <c r="L16" s="26" t="str">
        <f aca="false">IF(H16&gt;=J16,"✔ Met","✘ Not Met")</f>
        <v>✔ Met</v>
      </c>
      <c r="M16" s="105" t="str">
        <f aca="false">IF(H16&gt;=0.6,"Sustain",IF(H16&gt;=0.4,"Improve","Urgent Action"))</f>
        <v>Sustain</v>
      </c>
    </row>
    <row r="17" customFormat="false" ht="21.75" hidden="false" customHeight="true" outlineLevel="0" collapsed="false">
      <c r="A17" s="27" t="n">
        <v>10</v>
      </c>
      <c r="B17" s="93" t="s">
        <v>48</v>
      </c>
      <c r="C17" s="31" t="s">
        <v>49</v>
      </c>
      <c r="D17" s="22" t="n">
        <f aca="false">'PO Direct Attainment'!N12</f>
        <v>0.754328213377285</v>
      </c>
      <c r="E17" s="104" t="n">
        <f aca="false">IF(D17&gt;=0.6,3,IF(D17&gt;=0.4,2,1))</f>
        <v>3</v>
      </c>
      <c r="F17" s="23" t="n">
        <f aca="false">'PO Indirect Attainment'!H15</f>
        <v>0.79129</v>
      </c>
      <c r="G17" s="33" t="n">
        <f aca="false">IF(F17&gt;=0.6,3,IF(F17&gt;=0.4,2,1))</f>
        <v>3</v>
      </c>
      <c r="H17" s="16" t="n">
        <f aca="false">D17*$C$5+F17*$D$5</f>
        <v>0.761720570701828</v>
      </c>
      <c r="I17" s="66" t="n">
        <f aca="false">IF(H17&gt;=0.6,3,IF(H17&gt;=0.4,2,1))</f>
        <v>3</v>
      </c>
      <c r="J17" s="24" t="n">
        <f aca="false">$F$5</f>
        <v>0.6</v>
      </c>
      <c r="K17" s="25" t="n">
        <f aca="false">H17-J17</f>
        <v>0.161720570701828</v>
      </c>
      <c r="L17" s="26" t="str">
        <f aca="false">IF(H17&gt;=J17,"✔ Met","✘ Not Met")</f>
        <v>✔ Met</v>
      </c>
      <c r="M17" s="105" t="str">
        <f aca="false">IF(H17&gt;=0.6,"Sustain",IF(H17&gt;=0.4,"Improve","Urgent Action"))</f>
        <v>Sustain</v>
      </c>
    </row>
    <row r="18" customFormat="false" ht="21.75" hidden="false" customHeight="true" outlineLevel="0" collapsed="false">
      <c r="A18" s="12" t="n">
        <v>11</v>
      </c>
      <c r="B18" s="93" t="s">
        <v>50</v>
      </c>
      <c r="C18" s="21" t="s">
        <v>51</v>
      </c>
      <c r="D18" s="22" t="n">
        <f aca="false">'PO Direct Attainment'!O12</f>
        <v>0.148356666666667</v>
      </c>
      <c r="E18" s="104" t="n">
        <f aca="false">IF(D18&gt;=0.6,3,IF(D18&gt;=0.4,2,1))</f>
        <v>1</v>
      </c>
      <c r="F18" s="23" t="n">
        <f aca="false">'PO Indirect Attainment'!H16</f>
        <v>0.71594</v>
      </c>
      <c r="G18" s="33" t="n">
        <f aca="false">IF(F18&gt;=0.6,3,IF(F18&gt;=0.4,2,1))</f>
        <v>3</v>
      </c>
      <c r="H18" s="16" t="n">
        <f aca="false">D18*$C$5+F18*$D$5</f>
        <v>0.261873333333333</v>
      </c>
      <c r="I18" s="66" t="n">
        <f aca="false">IF(H18&gt;=0.6,3,IF(H18&gt;=0.4,2,1))</f>
        <v>1</v>
      </c>
      <c r="J18" s="24" t="n">
        <f aca="false">$F$5</f>
        <v>0.6</v>
      </c>
      <c r="K18" s="25" t="n">
        <f aca="false">H18-J18</f>
        <v>-0.338126666666667</v>
      </c>
      <c r="L18" s="26" t="str">
        <f aca="false">IF(H18&gt;=J18,"✔ Met","✘ Not Met")</f>
        <v>✘ Not Met</v>
      </c>
      <c r="M18" s="105" t="str">
        <f aca="false">IF(H18&gt;=0.6,"Sustain",IF(H18&gt;=0.4,"Improve","Urgent Action"))</f>
        <v>Urgent Action</v>
      </c>
    </row>
    <row r="19" customFormat="false" ht="21.75" hidden="false" customHeight="true" outlineLevel="0" collapsed="false">
      <c r="A19" s="27" t="n">
        <v>12</v>
      </c>
      <c r="B19" s="93" t="s">
        <v>52</v>
      </c>
      <c r="C19" s="31" t="s">
        <v>53</v>
      </c>
      <c r="D19" s="22" t="n">
        <f aca="false">'PO Direct Attainment'!P12</f>
        <v>0.752369144880035</v>
      </c>
      <c r="E19" s="104" t="n">
        <f aca="false">IF(D19&gt;=0.6,3,IF(D19&gt;=0.4,2,1))</f>
        <v>3</v>
      </c>
      <c r="F19" s="23" t="n">
        <f aca="false">'PO Indirect Attainment'!H17</f>
        <v>0.72883</v>
      </c>
      <c r="G19" s="33" t="n">
        <f aca="false">IF(F19&gt;=0.6,3,IF(F19&gt;=0.4,2,1))</f>
        <v>3</v>
      </c>
      <c r="H19" s="16" t="n">
        <f aca="false">D19*$C$5+F19*$D$5</f>
        <v>0.747661315904028</v>
      </c>
      <c r="I19" s="66" t="n">
        <f aca="false">IF(H19&gt;=0.6,3,IF(H19&gt;=0.4,2,1))</f>
        <v>3</v>
      </c>
      <c r="J19" s="24" t="n">
        <f aca="false">$F$5</f>
        <v>0.6</v>
      </c>
      <c r="K19" s="25" t="n">
        <f aca="false">H19-J19</f>
        <v>0.147661315904028</v>
      </c>
      <c r="L19" s="26" t="str">
        <f aca="false">IF(H19&gt;=J19,"✔ Met","✘ Not Met")</f>
        <v>✔ Met</v>
      </c>
      <c r="M19" s="105" t="str">
        <f aca="false">IF(H19&gt;=0.6,"Sustain",IF(H19&gt;=0.4,"Improve","Urgent Action"))</f>
        <v>Sustain</v>
      </c>
    </row>
    <row r="20" customFormat="false" ht="21.75" hidden="false" customHeight="true" outlineLevel="0" collapsed="false">
      <c r="A20" s="12" t="n">
        <v>13</v>
      </c>
      <c r="B20" s="96" t="s">
        <v>54</v>
      </c>
      <c r="C20" s="21" t="s">
        <v>55</v>
      </c>
      <c r="D20" s="22" t="n">
        <f aca="false">'PO Direct Attainment'!Q12</f>
        <v>0.752289638441876</v>
      </c>
      <c r="E20" s="104" t="n">
        <f aca="false">IF(D20&gt;=0.6,3,IF(D20&gt;=0.4,2,1))</f>
        <v>3</v>
      </c>
      <c r="F20" s="23" t="n">
        <f aca="false">'PO Indirect Attainment'!H18</f>
        <v>0.732265</v>
      </c>
      <c r="G20" s="33" t="n">
        <f aca="false">IF(F20&gt;=0.6,3,IF(F20&gt;=0.4,2,1))</f>
        <v>3</v>
      </c>
      <c r="H20" s="16" t="n">
        <f aca="false">D20*$C$5+F20*$D$5</f>
        <v>0.748284710753501</v>
      </c>
      <c r="I20" s="106" t="n">
        <f aca="false">IF(H20&gt;=0.6,3,IF(H20&gt;=0.4,2,1))</f>
        <v>3</v>
      </c>
      <c r="J20" s="24" t="n">
        <f aca="false">$F$5</f>
        <v>0.6</v>
      </c>
      <c r="K20" s="25" t="n">
        <f aca="false">H20-J20</f>
        <v>0.148284710753501</v>
      </c>
      <c r="L20" s="26" t="str">
        <f aca="false">IF(H20&gt;=J20,"✔ Met","✘ Not Met")</f>
        <v>✔ Met</v>
      </c>
      <c r="M20" s="105" t="str">
        <f aca="false">IF(H20&gt;=0.6,"Sustain",IF(H20&gt;=0.4,"Improve","Urgent Action"))</f>
        <v>Sustain</v>
      </c>
    </row>
    <row r="21" customFormat="false" ht="21.75" hidden="false" customHeight="true" outlineLevel="0" collapsed="false">
      <c r="A21" s="27" t="n">
        <v>14</v>
      </c>
      <c r="B21" s="96" t="s">
        <v>56</v>
      </c>
      <c r="C21" s="31" t="s">
        <v>57</v>
      </c>
      <c r="D21" s="22" t="n">
        <f aca="false">'PO Direct Attainment'!R12</f>
        <v>0.752602812013292</v>
      </c>
      <c r="E21" s="104" t="n">
        <f aca="false">IF(D21&gt;=0.6,3,IF(D21&gt;=0.4,2,1))</f>
        <v>3</v>
      </c>
      <c r="F21" s="23" t="n">
        <f aca="false">'PO Indirect Attainment'!H19</f>
        <v>0.7301</v>
      </c>
      <c r="G21" s="33" t="n">
        <f aca="false">IF(F21&gt;=0.6,3,IF(F21&gt;=0.4,2,1))</f>
        <v>3</v>
      </c>
      <c r="H21" s="16" t="n">
        <f aca="false">D21*$C$5+F21*$D$5</f>
        <v>0.748102249610634</v>
      </c>
      <c r="I21" s="106" t="n">
        <f aca="false">IF(H21&gt;=0.6,3,IF(H21&gt;=0.4,2,1))</f>
        <v>3</v>
      </c>
      <c r="J21" s="24" t="n">
        <f aca="false">$F$5</f>
        <v>0.6</v>
      </c>
      <c r="K21" s="25" t="n">
        <f aca="false">H21-J21</f>
        <v>0.148102249610634</v>
      </c>
      <c r="L21" s="26" t="str">
        <f aca="false">IF(H21&gt;=J21,"✔ Met","✘ Not Met")</f>
        <v>✔ Met</v>
      </c>
      <c r="M21" s="105" t="str">
        <f aca="false">IF(H21&gt;=0.6,"Sustain",IF(H21&gt;=0.4,"Improve","Urgent Action"))</f>
        <v>Sustain</v>
      </c>
    </row>
    <row r="22" customFormat="false" ht="21.75" hidden="false" customHeight="true" outlineLevel="0" collapsed="false">
      <c r="A22" s="12" t="n">
        <v>15</v>
      </c>
      <c r="B22" s="96" t="s">
        <v>58</v>
      </c>
      <c r="C22" s="21" t="s">
        <v>59</v>
      </c>
      <c r="D22" s="22" t="n">
        <f aca="false">'PO Direct Attainment'!S12</f>
        <v>0.752495866110492</v>
      </c>
      <c r="E22" s="104" t="n">
        <f aca="false">IF(D22&gt;=0.6,3,IF(D22&gt;=0.4,2,1))</f>
        <v>3</v>
      </c>
      <c r="F22" s="23" t="n">
        <f aca="false">'PO Indirect Attainment'!H20</f>
        <v>0.832785</v>
      </c>
      <c r="G22" s="33" t="n">
        <f aca="false">IF(F22&gt;=0.6,3,IF(F22&gt;=0.4,2,1))</f>
        <v>3</v>
      </c>
      <c r="H22" s="16" t="n">
        <f aca="false">D22*$C$5+F22*$D$5</f>
        <v>0.768553692888393</v>
      </c>
      <c r="I22" s="106" t="n">
        <f aca="false">IF(H22&gt;=0.6,3,IF(H22&gt;=0.4,2,1))</f>
        <v>3</v>
      </c>
      <c r="J22" s="24" t="n">
        <f aca="false">$F$5</f>
        <v>0.6</v>
      </c>
      <c r="K22" s="25" t="n">
        <f aca="false">H22-J22</f>
        <v>0.168553692888393</v>
      </c>
      <c r="L22" s="26" t="str">
        <f aca="false">IF(H22&gt;=J22,"✔ Met","✘ Not Met")</f>
        <v>✔ Met</v>
      </c>
      <c r="M22" s="105" t="str">
        <f aca="false">IF(H22&gt;=0.6,"Sustain",IF(H22&gt;=0.4,"Improve","Urgent Action"))</f>
        <v>Sustain</v>
      </c>
    </row>
    <row r="24" customFormat="false" ht="25.5" hidden="false" customHeight="true" outlineLevel="0" collapsed="false">
      <c r="A24" s="107" t="s">
        <v>169</v>
      </c>
      <c r="B24" s="107"/>
      <c r="C24" s="107"/>
      <c r="D24" s="108" t="n">
        <f aca="false">AVERAGE(D8:D22)</f>
        <v>0.591938312093912</v>
      </c>
      <c r="E24" s="109" t="n">
        <f aca="false">IF(D24&gt;=0.6,3,IF(D24&gt;=0.4,2,1))</f>
        <v>2</v>
      </c>
      <c r="F24" s="110" t="n">
        <f aca="false">AVERAGE(F8:F22)</f>
        <v>0.750768666666667</v>
      </c>
      <c r="G24" s="106" t="n">
        <f aca="false">IF(F24&gt;=0.6,3,IF(F24&gt;=0.4,2,1))</f>
        <v>3</v>
      </c>
      <c r="H24" s="111" t="n">
        <f aca="false">AVERAGE(H8:H22)</f>
        <v>0.623704383008463</v>
      </c>
      <c r="I24" s="112" t="n">
        <f aca="false">IF(H24&gt;=0.6,3,IF(H24&gt;=0.4,2,1))</f>
        <v>3</v>
      </c>
      <c r="J24" s="113" t="n">
        <f aca="false">$F$5</f>
        <v>0.6</v>
      </c>
      <c r="K24" s="114" t="n">
        <f aca="false">H24-J24</f>
        <v>0.0237043830084626</v>
      </c>
      <c r="L24" s="115" t="str">
        <f aca="false">IF(H24&gt;=J24,"✔ Met","✘ Not Met")</f>
        <v>✔ Met</v>
      </c>
      <c r="M24" s="115" t="str">
        <f aca="false">IF(H24&gt;=0.6,"Sustain",IF(H24&gt;=0.4,"Improve","Urgent Action"))</f>
        <v>Sustain</v>
      </c>
    </row>
  </sheetData>
  <mergeCells count="10">
    <mergeCell ref="A1:M1"/>
    <mergeCell ref="A2:M2"/>
    <mergeCell ref="A4:B4"/>
    <mergeCell ref="G4:M4"/>
    <mergeCell ref="A5:B5"/>
    <mergeCell ref="A6:C6"/>
    <mergeCell ref="D6:E6"/>
    <mergeCell ref="F6:G6"/>
    <mergeCell ref="H6:M6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2026-04-25T07:01:48Z</dcterms:created>
  <dc:creator>openpyxl</dc:creator>
  <dc:description/>
  <dc:language>en-US</dc:language>
  <cp:lastModifiedBy/>
  <dcterms:modified xsi:type="dcterms:W3CDTF">2026-04-25T07:01:49Z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