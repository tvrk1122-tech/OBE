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 Framework" sheetId="1" state="visible" r:id="rId3"/>
    <sheet name="Score Entry" sheetId="2" state="visible" r:id="rId4"/>
    <sheet name="Panel Viva (3 Evaluators)" sheetId="3" state="visible" r:id="rId5"/>
    <sheet name="Student Dashboard" sheetId="4" state="visible" r:id="rId6"/>
    <sheet name="Criterion Analysis" sheetId="5" state="visible" r:id="rId7"/>
    <sheet name="CO &amp; PO Attainment" sheetId="6" state="visible" r:id="rId8"/>
    <sheet name="Feedback Repor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<sst xmlns="http://schemas.openxmlformats.org/spreadsheetml/2006/main" count="516" uniqueCount="325">
  <si>
    <t xml:space="preserve">VIVA VOCE ASSESSMENT RUBRIC  —  COMPLETE EVALUATION FRAMEWORK</t>
  </si>
  <si>
    <t xml:space="preserve">Department of Computer Science &amp; Engineering  |  Academic Year 2024-25  |  Reference: Rubrics Guidelines Document — Section 8: Viva Voce Assessment Rubrics</t>
  </si>
  <si>
    <t xml:space="preserve">INTRODUCTION  (From Document Section 8)</t>
  </si>
  <si>
    <t xml:space="preserve">  ✦  Viva voce evaluates → Conceptual clarity, Technical understanding, Spontaneous response ability, Depth of knowledge</t>
  </si>
  <si>
    <t xml:space="preserve">  ✦  Objectives → Standardize oral assessment, Reduce evaluator bias, Improve fairness and consistency</t>
  </si>
  <si>
    <t xml:space="preserve">  ✦  Skills Assessed → Conceptual knowledge, Oral communication, Critical thinking, Technical reasoning</t>
  </si>
  <si>
    <t xml:space="preserve">  ✦  Applications → Lab viva, Internal/External exam viva, Project defence, Research paper Q&amp;A, Internship review</t>
  </si>
  <si>
    <t xml:space="preserve">SCORING SCALE</t>
  </si>
  <si>
    <t xml:space="preserve">4  —  Excellent</t>
  </si>
  <si>
    <t xml:space="preserve">3  —  Good</t>
  </si>
  <si>
    <t xml:space="preserve">2  —  Fair</t>
  </si>
  <si>
    <t xml:space="preserve">1  —  Poor</t>
  </si>
  <si>
    <t xml:space="preserve">Weighted Mark = Score / 4 × Criterion Max  |  Total = Σ Weighted  |  Max = 100M  |  Grade: O≥90  A+≥75  A≥60  B+≥50  B≥40  F&lt;40  |  Level: L3≥75%  L2≥60%  L1≥40%  L0&lt;40%</t>
  </si>
  <si>
    <t xml:space="preserve">#</t>
  </si>
  <si>
    <t xml:space="preserve">Criterion</t>
  </si>
  <si>
    <t xml:space="preserve">Wt%</t>
  </si>
  <si>
    <t xml:space="preserve">Max
Mks</t>
  </si>
  <si>
    <t xml:space="preserve">Bloom's</t>
  </si>
  <si>
    <t xml:space="preserve">Excellent (4)</t>
  </si>
  <si>
    <t xml:space="preserve">Good (3)</t>
  </si>
  <si>
    <t xml:space="preserve">Fair (2)</t>
  </si>
  <si>
    <t xml:space="preserve">Poor (1)</t>
  </si>
  <si>
    <t xml:space="preserve">Skill</t>
  </si>
  <si>
    <t xml:space="preserve">CO</t>
  </si>
  <si>
    <t xml:space="preserve">PO Link</t>
  </si>
  <si>
    <t xml:space="preserve">Conceptual Understanding</t>
  </si>
  <si>
    <t xml:space="preserve">L2 – Understand / L4 – Analyse</t>
  </si>
  <si>
    <t xml:space="preserve">Demonstrates complete, in-depth understanding of concepts; explains underlying principles accurately with no gaps</t>
  </si>
  <si>
    <t xml:space="preserve">Good understanding of core concepts; minor gaps in advanced or peripheral ideas</t>
  </si>
  <si>
    <t xml:space="preserve">Partial understanding; can explain basic concepts but struggles with deeper reasoning</t>
  </si>
  <si>
    <t xml:space="preserve">Weak or incorrect understanding; unable to explain fundamental concepts</t>
  </si>
  <si>
    <t xml:space="preserve">Cognitive / Technical Knowledge</t>
  </si>
  <si>
    <t xml:space="preserve">CO1</t>
  </si>
  <si>
    <t xml:space="preserve">PO1 (Engineering Knowledge), PO2 (Problem Analysis)</t>
  </si>
  <si>
    <t xml:space="preserve">Technical Explanation</t>
  </si>
  <si>
    <t xml:space="preserve">L3 – Apply / L4 – Analyse</t>
  </si>
  <si>
    <t xml:space="preserve">Logical, accurate and structured technical explanation; uses correct terminology; relates concepts to practical applications</t>
  </si>
  <si>
    <t xml:space="preserve">Mostly accurate explanation with minor errors in terminology or logic</t>
  </si>
  <si>
    <t xml:space="preserve">Some confusion in explanation; inaccurate use of technical terms; lacks structured reasoning</t>
  </si>
  <si>
    <t xml:space="preserve">Incorrect or irrelevant explanation; unable to explain technical aspects</t>
  </si>
  <si>
    <t xml:space="preserve">Technical Reasoning</t>
  </si>
  <si>
    <t xml:space="preserve">PO1 (Engineering Knowledge), PO4 (Conduct Investigations)</t>
  </si>
  <si>
    <t xml:space="preserve">Confidence &amp; Composure</t>
  </si>
  <si>
    <t xml:space="preserve">L3 – Apply</t>
  </si>
  <si>
    <t xml:space="preserve">Highly confident; maintains eye contact; composed and assertive under all questioning conditions</t>
  </si>
  <si>
    <t xml:space="preserve">Mostly confident; minor hesitation but recovers quickly and maintains composure</t>
  </si>
  <si>
    <t xml:space="preserve">Moderate confidence; visible nervousness; significant hesitation affecting responses</t>
  </si>
  <si>
    <t xml:space="preserve">Very hesitant; extreme nervousness; unable to sustain composure or deliver answers</t>
  </si>
  <si>
    <t xml:space="preserve">Professional Behavior</t>
  </si>
  <si>
    <t xml:space="preserve">CO3</t>
  </si>
  <si>
    <t xml:space="preserve">PO9 (Individual &amp; Team Work), PO12 (Lifelong Learning)</t>
  </si>
  <si>
    <t xml:space="preserve">Problem-Solving Ability</t>
  </si>
  <si>
    <t xml:space="preserve">L3 – Apply / L5 – Evaluate</t>
  </si>
  <si>
    <t xml:space="preserve">Excellent ability to solve application-based questions; applies concepts creatively; derives logical solutions independently</t>
  </si>
  <si>
    <t xml:space="preserve">Good problem-solving; mostly correct approach with minor errors in application</t>
  </si>
  <si>
    <t xml:space="preserve">Limited problem-solving; requires prompting; partial solutions with errors</t>
  </si>
  <si>
    <t xml:space="preserve">Unable to solve application questions; incorrect approach; relies heavily on hints</t>
  </si>
  <si>
    <t xml:space="preserve">Analytical / Problem-Solving</t>
  </si>
  <si>
    <t xml:space="preserve">CO2</t>
  </si>
  <si>
    <t xml:space="preserve">PO2 (Problem Analysis), PO3 (Design/Development)</t>
  </si>
  <si>
    <t xml:space="preserve">Communication Skills</t>
  </si>
  <si>
    <t xml:space="preserve">Clear, fluent and professional communication; precise language; excellent pace and articulation</t>
  </si>
  <si>
    <t xml:space="preserve">Mostly clear and fluent; minor grammatical or vocabulary lapses</t>
  </si>
  <si>
    <t xml:space="preserve">Limited clarity; noticeable hesitation; restricted vocabulary affecting comprehension</t>
  </si>
  <si>
    <t xml:space="preserve">Poor communication; unclear delivery; very limited vocabulary and fluency</t>
  </si>
  <si>
    <t xml:space="preserve">Verbal Communication</t>
  </si>
  <si>
    <t xml:space="preserve">PO10 (Communication)</t>
  </si>
  <si>
    <t xml:space="preserve">TOTAL</t>
  </si>
  <si>
    <t xml:space="preserve">100%</t>
  </si>
  <si>
    <t xml:space="preserve">100</t>
  </si>
  <si>
    <t xml:space="preserve">TYPES OF VIVA VOCE COVERED BY THIS RUBRIC</t>
  </si>
  <si>
    <t xml:space="preserve">Viva Type</t>
  </si>
  <si>
    <t xml:space="preserve">Typical Marks</t>
  </si>
  <si>
    <t xml:space="preserve">Context / Setting</t>
  </si>
  <si>
    <t xml:space="preserve">Linked COs</t>
  </si>
  <si>
    <t xml:space="preserve">Lab Viva</t>
  </si>
  <si>
    <t xml:space="preserve">20M</t>
  </si>
  <si>
    <t xml:space="preserve">Post-experiment oral examination</t>
  </si>
  <si>
    <t xml:space="preserve">CO3, CO4</t>
  </si>
  <si>
    <t xml:space="preserve">Internal Exam Viva</t>
  </si>
  <si>
    <t xml:space="preserve">10M</t>
  </si>
  <si>
    <t xml:space="preserve">After internal examination to test deeper understanding</t>
  </si>
  <si>
    <t xml:space="preserve">CO1, CO2</t>
  </si>
  <si>
    <t xml:space="preserve">Project Viva</t>
  </si>
  <si>
    <t xml:space="preserve">20–30M</t>
  </si>
  <si>
    <t xml:space="preserve">Mini/Major/Capstone project defence</t>
  </si>
  <si>
    <t xml:space="preserve">All COs</t>
  </si>
  <si>
    <t xml:space="preserve">End-Semester Practical Viva</t>
  </si>
  <si>
    <t xml:space="preserve">Conducted by external examiner alongside practical</t>
  </si>
  <si>
    <t xml:space="preserve">CO1–CO4</t>
  </si>
  <si>
    <t xml:space="preserve">Research Paper Viva</t>
  </si>
  <si>
    <t xml:space="preserve">Variable</t>
  </si>
  <si>
    <t xml:space="preserve">Presentation and Q&amp;A on submitted research</t>
  </si>
  <si>
    <t xml:space="preserve">CO2, CO4</t>
  </si>
  <si>
    <t xml:space="preserve">Internship Viva</t>
  </si>
  <si>
    <t xml:space="preserve">Industry experience review by panel</t>
  </si>
  <si>
    <t xml:space="preserve">CO3, CO5</t>
  </si>
  <si>
    <t xml:space="preserve">COURSE OUTCOMES (COs) — VIVA VOCE</t>
  </si>
  <si>
    <t xml:space="preserve">Description</t>
  </si>
  <si>
    <t xml:space="preserve">Mapped POs</t>
  </si>
  <si>
    <t xml:space="preserve">Assessed By</t>
  </si>
  <si>
    <t xml:space="preserve">Demonstrate conceptual knowledge and explain technical principles accurately</t>
  </si>
  <si>
    <t xml:space="preserve">L2-L4</t>
  </si>
  <si>
    <t xml:space="preserve">PO1, PO2</t>
  </si>
  <si>
    <t xml:space="preserve">Conceptual Understanding, Technical Explanation</t>
  </si>
  <si>
    <t xml:space="preserve">Analyse problems, apply reasoning and arrive at logical technical solutions</t>
  </si>
  <si>
    <t xml:space="preserve">L3-L5</t>
  </si>
  <si>
    <t xml:space="preserve">PO2, PO3</t>
  </si>
  <si>
    <t xml:space="preserve">Communicate technical ideas clearly and confidently under oral examination conditions</t>
  </si>
  <si>
    <t xml:space="preserve">L3</t>
  </si>
  <si>
    <t xml:space="preserve">PO10</t>
  </si>
  <si>
    <t xml:space="preserve">Confidence &amp; Composure, Communication Skills</t>
  </si>
  <si>
    <t xml:space="preserve">CO4</t>
  </si>
  <si>
    <t xml:space="preserve">Respond adaptively to questioning; demonstrate analytical and problem-solving ability</t>
  </si>
  <si>
    <t xml:space="preserve">PO2, PO9, PO12</t>
  </si>
  <si>
    <t xml:space="preserve">—</t>
  </si>
  <si>
    <t xml:space="preserve">VIVA VOCE ASSESSMENT RUBRIC  —  EXAMINER SCORE ENTRY SHEET</t>
  </si>
  <si>
    <t xml:space="preserve">Enter Score (4=Excellent / 3=Good / 2=Fair / 1=Poor) in YELLOW cells per criterion per student  |  Weighted Marks, Total, Grade, Level and Attainment % auto-calculate</t>
  </si>
  <si>
    <t xml:space="preserve">Viva Type:</t>
  </si>
  <si>
    <t xml:space="preserve">Course:</t>
  </si>
  <si>
    <t xml:space="preserve">Evaluator Name:</t>
  </si>
  <si>
    <t xml:space="preserve">Date:</t>
  </si>
  <si>
    <t xml:space="preserve">Score Guide →</t>
  </si>
  <si>
    <t xml:space="preserve">4 = Excellent</t>
  </si>
  <si>
    <t xml:space="preserve">3 = Good</t>
  </si>
  <si>
    <t xml:space="preserve">2 = Fair</t>
  </si>
  <si>
    <t xml:space="preserve">1 = Poor</t>
  </si>
  <si>
    <t xml:space="preserve">Weighted Mark = Score / 4 × Max Marks  |  Level: L3≥75%  L2≥60%  L1≥40%  L0&lt;40%  |  Grade: O≥90  A+≥75  A≥60  B+≥50  B≥40  F&lt;40</t>
  </si>
  <si>
    <t xml:space="preserve">Student
Information</t>
  </si>
  <si>
    <t xml:space="preserve">C1: Conceptual Understanding
(25%  Max:25M  CO1)</t>
  </si>
  <si>
    <t xml:space="preserve">C2: Technical Explanation
(25%  Max:25M  CO1)</t>
  </si>
  <si>
    <t xml:space="preserve">C3: Confidence &amp; Composure
(15%  Max:15M  CO3)</t>
  </si>
  <si>
    <t xml:space="preserve">C4: Problem-Solving Ability
(20%  Max:20M  CO2)</t>
  </si>
  <si>
    <t xml:space="preserve">C5: Communication Skills
(15%  Max:15M  CO3)</t>
  </si>
  <si>
    <t xml:space="preserve">Total
(/100M)</t>
  </si>
  <si>
    <t xml:space="preserve">Grade</t>
  </si>
  <si>
    <t xml:space="preserve">Level
(L0–L3)</t>
  </si>
  <si>
    <t xml:space="preserve">CO
Att%</t>
  </si>
  <si>
    <t xml:space="preserve">Result</t>
  </si>
  <si>
    <t xml:space="preserve">Auto Feedback</t>
  </si>
  <si>
    <t xml:space="preserve">Score
(1–4)</t>
  </si>
  <si>
    <t xml:space="preserve">Wtd
Mks</t>
  </si>
  <si>
    <t xml:space="preserve">/25M</t>
  </si>
  <si>
    <t xml:space="preserve">Max</t>
  </si>
  <si>
    <t xml:space="preserve">/15M</t>
  </si>
  <si>
    <t xml:space="preserve">/20M</t>
  </si>
  <si>
    <t xml:space="preserve">S001</t>
  </si>
  <si>
    <t xml:space="preserve">Aarav Sharma</t>
  </si>
  <si>
    <t xml:space="preserve">S002</t>
  </si>
  <si>
    <t xml:space="preserve">Priya Patel</t>
  </si>
  <si>
    <t xml:space="preserve">S003</t>
  </si>
  <si>
    <t xml:space="preserve">Rohan Mehta</t>
  </si>
  <si>
    <t xml:space="preserve">S004</t>
  </si>
  <si>
    <t xml:space="preserve">Sneha Reddy</t>
  </si>
  <si>
    <t xml:space="preserve">S005</t>
  </si>
  <si>
    <t xml:space="preserve">Vikram Singh</t>
  </si>
  <si>
    <t xml:space="preserve">S006</t>
  </si>
  <si>
    <t xml:space="preserve">Anjali Nair</t>
  </si>
  <si>
    <t xml:space="preserve">S007</t>
  </si>
  <si>
    <t xml:space="preserve">Kiran Kumar</t>
  </si>
  <si>
    <t xml:space="preserve">S008</t>
  </si>
  <si>
    <t xml:space="preserve">Divya Rao</t>
  </si>
  <si>
    <t xml:space="preserve">S009</t>
  </si>
  <si>
    <t xml:space="preserve">Arjun Gupta</t>
  </si>
  <si>
    <t xml:space="preserve">S010</t>
  </si>
  <si>
    <t xml:space="preserve">Pooja Iyer</t>
  </si>
  <si>
    <t xml:space="preserve">S011</t>
  </si>
  <si>
    <t xml:space="preserve">Rahul Verma</t>
  </si>
  <si>
    <t xml:space="preserve">S012</t>
  </si>
  <si>
    <t xml:space="preserve">Meera Joshi</t>
  </si>
  <si>
    <t xml:space="preserve">S013</t>
  </si>
  <si>
    <t xml:space="preserve">Suresh Pillai</t>
  </si>
  <si>
    <t xml:space="preserve">S014</t>
  </si>
  <si>
    <t xml:space="preserve">Kavya Menon</t>
  </si>
  <si>
    <t xml:space="preserve">S015</t>
  </si>
  <si>
    <t xml:space="preserve">Aditya Bhat</t>
  </si>
  <si>
    <t xml:space="preserve">S016</t>
  </si>
  <si>
    <t xml:space="preserve">Lakshmi Das</t>
  </si>
  <si>
    <t xml:space="preserve">S017</t>
  </si>
  <si>
    <t xml:space="preserve">Nikhil Tiwari</t>
  </si>
  <si>
    <t xml:space="preserve">S018</t>
  </si>
  <si>
    <t xml:space="preserve">Riya Shah</t>
  </si>
  <si>
    <t xml:space="preserve">S019</t>
  </si>
  <si>
    <t xml:space="preserve">Manish Yadav</t>
  </si>
  <si>
    <t xml:space="preserve">S020</t>
  </si>
  <si>
    <t xml:space="preserve">Deepa Nambiar</t>
  </si>
  <si>
    <t xml:space="preserve">S021</t>
  </si>
  <si>
    <t xml:space="preserve">Siddharth Roy</t>
  </si>
  <si>
    <t xml:space="preserve">S022</t>
  </si>
  <si>
    <t xml:space="preserve">Revathi Kumar</t>
  </si>
  <si>
    <t xml:space="preserve">S023</t>
  </si>
  <si>
    <t xml:space="preserve">Aakash Jain</t>
  </si>
  <si>
    <t xml:space="preserve">S024</t>
  </si>
  <si>
    <t xml:space="preserve">Bhavana Singh</t>
  </si>
  <si>
    <t xml:space="preserve">S025</t>
  </si>
  <si>
    <t xml:space="preserve">Chetan Rao</t>
  </si>
  <si>
    <t xml:space="preserve">S026</t>
  </si>
  <si>
    <t xml:space="preserve">Divya Nair</t>
  </si>
  <si>
    <t xml:space="preserve">S027</t>
  </si>
  <si>
    <t xml:space="preserve">Eshan Mehta</t>
  </si>
  <si>
    <t xml:space="preserve">S028</t>
  </si>
  <si>
    <t xml:space="preserve">Farah Khan</t>
  </si>
  <si>
    <t xml:space="preserve">S029</t>
  </si>
  <si>
    <t xml:space="preserve">Ganesh Iyer</t>
  </si>
  <si>
    <t xml:space="preserve">S030</t>
  </si>
  <si>
    <t xml:space="preserve">Hema Pillai</t>
  </si>
  <si>
    <t xml:space="preserve">CLASS AVERAGE</t>
  </si>
  <si>
    <t xml:space="preserve">HIGHEST SCORE</t>
  </si>
  <si>
    <t xml:space="preserve">LOWEST SCORE</t>
  </si>
  <si>
    <t xml:space="preserve">PASS COUNT (≥40)</t>
  </si>
  <si>
    <t xml:space="preserve">FAIL COUNT (&lt;40)</t>
  </si>
  <si>
    <t xml:space="preserve">L3 COUNT (≥75)</t>
  </si>
  <si>
    <t xml:space="preserve">CO ATTAINMENT AVG</t>
  </si>
  <si>
    <t xml:space="preserve">GRADE DISTRIBUTION</t>
  </si>
  <si>
    <t xml:space="preserve">O(≥90)</t>
  </si>
  <si>
    <t xml:space="preserve">A+(≥75)</t>
  </si>
  <si>
    <t xml:space="preserve">A(≥60)</t>
  </si>
  <si>
    <t xml:space="preserve">B+(≥50)</t>
  </si>
  <si>
    <t xml:space="preserve">B(≥40)</t>
  </si>
  <si>
    <t xml:space="preserve">F(&lt;40)</t>
  </si>
  <si>
    <t xml:space="preserve">VIVA VOCE — PANEL EVALUATION SHEET  (3 Evaluators → Average Score)</t>
  </si>
  <si>
    <t xml:space="preserve">Each evaluator enters scores independently  |  Panel Average = (E1 Total + E2 Total + E3 Total) / 3  |  Final Grade based on Panel Average</t>
  </si>
  <si>
    <t xml:space="preserve">Student Info</t>
  </si>
  <si>
    <t xml:space="preserve">Internal Examiner 1
(5 criteria × Max 100M)</t>
  </si>
  <si>
    <t xml:space="preserve">Internal Examiner 2
(5 criteria × Max 100M)</t>
  </si>
  <si>
    <t xml:space="preserve">External Examiner
(5 criteria × Max 100M)</t>
  </si>
  <si>
    <t xml:space="preserve">E3
Total</t>
  </si>
  <si>
    <t xml:space="preserve">Panel
Avg /100</t>
  </si>
  <si>
    <t xml:space="preserve">Level</t>
  </si>
  <si>
    <t xml:space="preserve">S.No | Reg No | Name</t>
  </si>
  <si>
    <t xml:space="preserve">C1
Sc</t>
  </si>
  <si>
    <t xml:space="preserve">C1
Wt</t>
  </si>
  <si>
    <t xml:space="preserve">C2
Sc</t>
  </si>
  <si>
    <t xml:space="preserve">C2
Wt</t>
  </si>
  <si>
    <t xml:space="preserve">C3
Sc</t>
  </si>
  <si>
    <t xml:space="preserve">C3
Wt</t>
  </si>
  <si>
    <t xml:space="preserve">C4
Sc</t>
  </si>
  <si>
    <t xml:space="preserve">C4
Wt</t>
  </si>
  <si>
    <t xml:space="preserve">C5
Sc</t>
  </si>
  <si>
    <t xml:space="preserve">C5
Wt</t>
  </si>
  <si>
    <t xml:space="preserve">/100</t>
  </si>
  <si>
    <t xml:space="preserve">VIVA VOCE RUBRIC  —  STUDENT PERFORMANCE DASHBOARD</t>
  </si>
  <si>
    <t xml:space="preserve">All values auto-linked from Score Entry sheet.  Per-criterion scores, totals, grades, CO attainment and level at a glance.</t>
  </si>
  <si>
    <t xml:space="preserve">GRADE / LEVEL →</t>
  </si>
  <si>
    <t xml:space="preserve">O
≥90</t>
  </si>
  <si>
    <t xml:space="preserve">A+
≥75</t>
  </si>
  <si>
    <t xml:space="preserve">A
≥60</t>
  </si>
  <si>
    <t xml:space="preserve">B+
≥50</t>
  </si>
  <si>
    <t xml:space="preserve">B
≥40</t>
  </si>
  <si>
    <t xml:space="preserve">F
&lt;40</t>
  </si>
  <si>
    <t xml:space="preserve">L3
≥75%</t>
  </si>
  <si>
    <t xml:space="preserve">L2
≥60%</t>
  </si>
  <si>
    <t xml:space="preserve">L1
≥40%</t>
  </si>
  <si>
    <t xml:space="preserve">Reg No</t>
  </si>
  <si>
    <t xml:space="preserve">Student Name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</si>
  <si>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</si>
  <si>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</si>
  <si>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</si>
  <si>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</si>
  <si>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</si>
  <si>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Total
/100</t>
  </si>
  <si>
    <t xml:space="preserve">CO Att%</t>
  </si>
  <si>
    <t xml:space="preserve">VIVA VOCE RUBRIC  —  CRITERION-WISE CLASS ANALYSIS</t>
  </si>
  <si>
    <t xml:space="preserve">Statistical breakdown per criterion — all values auto-linked from Score Entry sheet.</t>
  </si>
  <si>
    <t xml:space="preserve">Metric</t>
  </si>
  <si>
    <t xml:space="preserve">C1: Conceptual Understanding
(Max:25M  Wt:25%)</t>
  </si>
  <si>
    <t xml:space="preserve">C2: Technical Explanation
(Max:25M  Wt:25%)</t>
  </si>
  <si>
    <t xml:space="preserve">C3: Confidence &amp; Composure
(Max:15M  Wt:15%)</t>
  </si>
  <si>
    <t xml:space="preserve">C4: Problem-Solving Ability
(Max:20M  Wt:20%)</t>
  </si>
  <si>
    <t xml:space="preserve">C5: Communication Skills
(Max:15M  Wt:15%)</t>
  </si>
  <si>
    <t xml:space="preserve">Overall
Avg</t>
  </si>
  <si>
    <t xml:space="preserve">Crit
Att%</t>
  </si>
  <si>
    <t xml:space="preserve">Average Score (1–4)</t>
  </si>
  <si>
    <t xml:space="preserve">Average Weighted Marks</t>
  </si>
  <si>
    <t xml:space="preserve">Max Score</t>
  </si>
  <si>
    <t xml:space="preserve">Min Score</t>
  </si>
  <si>
    <t xml:space="preserve">Excellent (4) Count</t>
  </si>
  <si>
    <t xml:space="preserve">Good (3) Count</t>
  </si>
  <si>
    <t xml:space="preserve">Fair (2) Count</t>
  </si>
  <si>
    <t xml:space="preserve">Poor (1) Count</t>
  </si>
  <si>
    <t xml:space="preserve">Criterion Attainment %</t>
  </si>
  <si>
    <t xml:space="preserve">Attainment Level</t>
  </si>
  <si>
    <t xml:space="preserve">VIVA VOCE RUBRIC  —  CO &amp; PO ATTAINMENT SUMMARY</t>
  </si>
  <si>
    <t xml:space="preserve">CO Att% = Avg of criterion attainments  |  PO Att% = SUMPRODUCT(CO_Att × Strength) / SUM(Strength)  |  Target ≥ 60%</t>
  </si>
  <si>
    <t xml:space="preserve">SECTION A  —  COURSE OUTCOME ATTAINMENT</t>
  </si>
  <si>
    <t xml:space="preserve">Mapped
Criteria</t>
  </si>
  <si>
    <t xml:space="preserve">Target</t>
  </si>
  <si>
    <t xml:space="preserve">Gap</t>
  </si>
  <si>
    <t xml:space="preserve">Status</t>
  </si>
  <si>
    <t xml:space="preserve">SECTION B  —  PROGRAMME OUTCOME ATTAINMENT</t>
  </si>
  <si>
    <t xml:space="preserve">PO</t>
  </si>
  <si>
    <t xml:space="preserve">Linked COs
(Strength)</t>
  </si>
  <si>
    <t xml:space="preserve">PO
Att%</t>
  </si>
  <si>
    <t xml:space="preserve">PO1</t>
  </si>
  <si>
    <t xml:space="preserve">Engineering Knowledge</t>
  </si>
  <si>
    <t xml:space="preserve">CO1(S3)</t>
  </si>
  <si>
    <t xml:space="preserve">PO2</t>
  </si>
  <si>
    <t xml:space="preserve">Problem Analysis</t>
  </si>
  <si>
    <t xml:space="preserve">CO1(S2), CO2(S3), CO4(S2)</t>
  </si>
  <si>
    <t xml:space="preserve">PO3</t>
  </si>
  <si>
    <t xml:space="preserve">Design/Development of Solutions</t>
  </si>
  <si>
    <t xml:space="preserve">CO2(S2)</t>
  </si>
  <si>
    <t xml:space="preserve">PO4</t>
  </si>
  <si>
    <t xml:space="preserve">Conduct Investigations</t>
  </si>
  <si>
    <t xml:space="preserve">PO5</t>
  </si>
  <si>
    <t xml:space="preserve">Modern Tool Usage</t>
  </si>
  <si>
    <t xml:space="preserve">PO6</t>
  </si>
  <si>
    <t xml:space="preserve">The Engineer and Society</t>
  </si>
  <si>
    <t xml:space="preserve">PO7</t>
  </si>
  <si>
    <t xml:space="preserve">Environment and Sustainability</t>
  </si>
  <si>
    <t xml:space="preserve">PO8</t>
  </si>
  <si>
    <t xml:space="preserve">Ethics</t>
  </si>
  <si>
    <t xml:space="preserve">PO9</t>
  </si>
  <si>
    <t xml:space="preserve">Individual and Team Work</t>
  </si>
  <si>
    <t xml:space="preserve">CO4(S2)</t>
  </si>
  <si>
    <t xml:space="preserve">Communication</t>
  </si>
  <si>
    <t xml:space="preserve">CO3(S3)</t>
  </si>
  <si>
    <t xml:space="preserve">PO11</t>
  </si>
  <si>
    <t xml:space="preserve">Project Management and Finance</t>
  </si>
  <si>
    <t xml:space="preserve">PO12</t>
  </si>
  <si>
    <t xml:space="preserve">Life-long Learning</t>
  </si>
  <si>
    <t xml:space="preserve">VIVA VOCE RUBRIC  —  INDIVIDUAL STUDENT FEEDBACK REPORT</t>
  </si>
  <si>
    <t xml:space="preserve">Auto-generated score labels per criterion + overall feedback text for each student.</t>
  </si>
  <si>
    <t xml:space="preserve">Total</t>
  </si>
  <si>
    <t xml:space="preserve">Overall Viva Feedback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</si>
</sst>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"/>
    <numFmt numFmtId="167" formatCode="0.0"/>
    <numFmt numFmtId="168" formatCode="0.0%"/>
    <numFmt numFmtId="169" formatCode="0.00"/>
    <numFmt numFmtId="170" formatCode="\+0.0;\-0.0;0.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8B0000"/>
      <name val="Arial"/>
      <family val="0"/>
      <charset val="1"/>
    </font>
    <font>
      <i val="true"/>
      <sz val="8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2E75B6"/>
      <name val="Arial"/>
      <family val="0"/>
      <charset val="1"/>
    </font>
    <font>
      <sz val="9"/>
      <color rgb="FFBF8F00"/>
      <name val="Arial"/>
      <family val="0"/>
      <charset val="1"/>
    </font>
    <font>
      <sz val="9"/>
      <color rgb="FF8B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7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sz val="9"/>
      <color rgb="FFAAAAAA"/>
      <name val="Arial"/>
      <family val="0"/>
      <charset val="1"/>
    </font>
    <font>
      <sz val="9"/>
      <color rgb="FFCCCCCC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404040"/>
      </patternFill>
    </fill>
    <fill>
      <patternFill patternType="solid">
        <fgColor rgb="FF00695C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FFE2EFDA"/>
        <bgColor rgb="FFE0F2F1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8DC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CCCCCC"/>
      </patternFill>
    </fill>
    <fill>
      <patternFill patternType="solid">
        <fgColor rgb="FFBF8F00"/>
        <bgColor rgb="FF808000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3FB"/>
      </patternFill>
    </fill>
    <fill>
      <patternFill patternType="solid">
        <fgColor rgb="FFE8EAF6"/>
        <bgColor rgb="FFDEEAF1"/>
      </patternFill>
    </fill>
    <fill>
      <patternFill patternType="solid">
        <fgColor rgb="FFFFFFFF"/>
        <bgColor rgb="FFFFF8DC"/>
      </patternFill>
    </fill>
    <fill>
      <patternFill patternType="solid">
        <fgColor rgb="FFFFF8DC"/>
        <bgColor rgb="FFFFF2CC"/>
      </patternFill>
    </fill>
    <fill>
      <patternFill patternType="solid">
        <fgColor rgb="FFDEEAF1"/>
        <bgColor rgb="FFE8EAF6"/>
      </patternFill>
    </fill>
    <fill>
      <patternFill patternType="solid">
        <fgColor rgb="FF283593"/>
        <bgColor rgb="FF1F3864"/>
      </patternFill>
    </fill>
    <fill>
      <patternFill patternType="solid">
        <fgColor rgb="FFC55A11"/>
        <bgColor rgb="FF993300"/>
      </patternFill>
    </fill>
    <fill>
      <patternFill patternType="solid">
        <fgColor rgb="FF70AD47"/>
        <bgColor rgb="FF99CC00"/>
      </patternFill>
    </fill>
    <fill>
      <patternFill patternType="solid">
        <fgColor rgb="FFE2D9F3"/>
        <bgColor rgb="FFDEEAF1"/>
      </patternFill>
    </fill>
    <fill>
      <patternFill patternType="solid">
        <fgColor rgb="FFE0F2F1"/>
        <bgColor rgb="FFDEEA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E2D9F3"/>
      <rgbColor rgb="FFE8EAF6"/>
      <rgbColor rgb="FFDEEAF1"/>
      <rgbColor rgb="FFFCE4D6"/>
      <rgbColor rgb="FF2E75B6"/>
      <rgbColor rgb="FF33CCCC"/>
      <rgbColor rgb="FF99CC00"/>
      <rgbColor rgb="FFFFCC00"/>
      <rgbColor rgb="FFBF8F00"/>
      <rgbColor rgb="FFC55A11"/>
      <rgbColor rgb="FF595959"/>
      <rgbColor rgb="FFAAAAAA"/>
      <rgbColor rgb="FF1F3864"/>
      <rgbColor rgb="FF70AD47"/>
      <rgbColor rgb="FF003300"/>
      <rgbColor rgb="FF375623"/>
      <rgbColor rgb="FF993300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4" min="3" style="1" width="7"/>
    <col collapsed="false" customWidth="true" hidden="false" outlineLevel="0" max="5" min="5" style="1" width="10"/>
    <col collapsed="false" customWidth="true" hidden="false" outlineLevel="0" max="9" min="6" style="1" width="22"/>
    <col collapsed="false" customWidth="true" hidden="false" outlineLevel="0" max="10" min="10" style="1" width="18"/>
    <col collapsed="false" customWidth="true" hidden="false" outlineLevel="0" max="11" min="11" style="1" width="7"/>
    <col collapsed="false" customWidth="true" hidden="false" outlineLevel="0" max="13" min="12" style="1" width="18"/>
  </cols>
  <sheetData>
    <row r="1" customFormat="false" ht="5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8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8" hidden="false" customHeight="true" outlineLevel="0" collapsed="false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8" hidden="false" customHeight="true" outlineLevel="0" collapsed="false">
      <c r="A7" s="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customFormat="false" ht="18" hidden="false" customHeight="true" outlineLevel="0" collapsed="false">
      <c r="A8" s="8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customFormat="false" ht="6" hidden="false" customHeight="true" outlineLevel="0" collapsed="false"/>
    <row r="10" customFormat="false" ht="25.5" hidden="false" customHeight="true" outlineLevel="0" collapsed="false">
      <c r="A10" s="9" t="s">
        <v>7</v>
      </c>
      <c r="B10" s="9"/>
      <c r="C10" s="10" t="s">
        <v>8</v>
      </c>
      <c r="D10" s="11" t="s">
        <v>9</v>
      </c>
      <c r="E10" s="12" t="s">
        <v>10</v>
      </c>
      <c r="F10" s="13" t="s">
        <v>11</v>
      </c>
      <c r="G10" s="14" t="s">
        <v>12</v>
      </c>
      <c r="H10" s="14"/>
      <c r="I10" s="14"/>
      <c r="J10" s="14"/>
      <c r="K10" s="14"/>
      <c r="L10" s="14"/>
      <c r="M10" s="14"/>
    </row>
    <row r="11" customFormat="false" ht="6" hidden="false" customHeight="true" outlineLevel="0" collapsed="false"/>
    <row r="12" customFormat="false" ht="27.75" hidden="false" customHeight="true" outlineLevel="0" collapsed="false">
      <c r="A12" s="15" t="s">
        <v>13</v>
      </c>
      <c r="B12" s="15" t="s">
        <v>14</v>
      </c>
      <c r="C12" s="16" t="s">
        <v>15</v>
      </c>
      <c r="D12" s="16" t="s">
        <v>16</v>
      </c>
      <c r="E12" s="17" t="s">
        <v>17</v>
      </c>
      <c r="F12" s="18" t="s">
        <v>18</v>
      </c>
      <c r="G12" s="17" t="s">
        <v>19</v>
      </c>
      <c r="H12" s="19" t="s">
        <v>20</v>
      </c>
      <c r="I12" s="20" t="s">
        <v>21</v>
      </c>
      <c r="J12" s="21" t="s">
        <v>22</v>
      </c>
      <c r="K12" s="18" t="s">
        <v>23</v>
      </c>
      <c r="L12" s="22" t="s">
        <v>24</v>
      </c>
      <c r="M12" s="22"/>
    </row>
    <row r="13" customFormat="false" ht="51.75" hidden="false" customHeight="true" outlineLevel="0" collapsed="false">
      <c r="A13" s="23" t="n">
        <v>1</v>
      </c>
      <c r="B13" s="24" t="s">
        <v>25</v>
      </c>
      <c r="C13" s="25" t="n">
        <v>0.25</v>
      </c>
      <c r="D13" s="26" t="n">
        <v>25</v>
      </c>
      <c r="E13" s="27" t="s">
        <v>26</v>
      </c>
      <c r="F13" s="28" t="s">
        <v>27</v>
      </c>
      <c r="G13" s="29" t="s">
        <v>28</v>
      </c>
      <c r="H13" s="30" t="s">
        <v>29</v>
      </c>
      <c r="I13" s="31" t="s">
        <v>30</v>
      </c>
      <c r="J13" s="32" t="s">
        <v>31</v>
      </c>
      <c r="K13" s="33" t="s">
        <v>32</v>
      </c>
      <c r="L13" s="34" t="s">
        <v>33</v>
      </c>
      <c r="M13" s="34"/>
    </row>
    <row r="14" customFormat="false" ht="51.75" hidden="false" customHeight="true" outlineLevel="0" collapsed="false">
      <c r="A14" s="23" t="n">
        <v>2</v>
      </c>
      <c r="B14" s="35" t="s">
        <v>34</v>
      </c>
      <c r="C14" s="25" t="n">
        <v>0.25</v>
      </c>
      <c r="D14" s="26" t="n">
        <v>25</v>
      </c>
      <c r="E14" s="27" t="s">
        <v>35</v>
      </c>
      <c r="F14" s="28" t="s">
        <v>36</v>
      </c>
      <c r="G14" s="29" t="s">
        <v>37</v>
      </c>
      <c r="H14" s="30" t="s">
        <v>38</v>
      </c>
      <c r="I14" s="31" t="s">
        <v>39</v>
      </c>
      <c r="J14" s="32" t="s">
        <v>40</v>
      </c>
      <c r="K14" s="33" t="s">
        <v>32</v>
      </c>
      <c r="L14" s="34" t="s">
        <v>41</v>
      </c>
      <c r="M14" s="34"/>
    </row>
    <row r="15" customFormat="false" ht="51.75" hidden="false" customHeight="true" outlineLevel="0" collapsed="false">
      <c r="A15" s="23" t="n">
        <v>3</v>
      </c>
      <c r="B15" s="24" t="s">
        <v>42</v>
      </c>
      <c r="C15" s="25" t="n">
        <v>0.15</v>
      </c>
      <c r="D15" s="26" t="n">
        <v>15</v>
      </c>
      <c r="E15" s="27" t="s">
        <v>43</v>
      </c>
      <c r="F15" s="28" t="s">
        <v>44</v>
      </c>
      <c r="G15" s="29" t="s">
        <v>45</v>
      </c>
      <c r="H15" s="30" t="s">
        <v>46</v>
      </c>
      <c r="I15" s="31" t="s">
        <v>47</v>
      </c>
      <c r="J15" s="32" t="s">
        <v>48</v>
      </c>
      <c r="K15" s="33" t="s">
        <v>49</v>
      </c>
      <c r="L15" s="34" t="s">
        <v>50</v>
      </c>
      <c r="M15" s="34"/>
    </row>
    <row r="16" customFormat="false" ht="51.75" hidden="false" customHeight="true" outlineLevel="0" collapsed="false">
      <c r="A16" s="23" t="n">
        <v>4</v>
      </c>
      <c r="B16" s="35" t="s">
        <v>51</v>
      </c>
      <c r="C16" s="25" t="n">
        <v>0.2</v>
      </c>
      <c r="D16" s="26" t="n">
        <v>20</v>
      </c>
      <c r="E16" s="27" t="s">
        <v>52</v>
      </c>
      <c r="F16" s="28" t="s">
        <v>53</v>
      </c>
      <c r="G16" s="29" t="s">
        <v>54</v>
      </c>
      <c r="H16" s="30" t="s">
        <v>55</v>
      </c>
      <c r="I16" s="31" t="s">
        <v>56</v>
      </c>
      <c r="J16" s="32" t="s">
        <v>57</v>
      </c>
      <c r="K16" s="33" t="s">
        <v>58</v>
      </c>
      <c r="L16" s="34" t="s">
        <v>59</v>
      </c>
      <c r="M16" s="34"/>
    </row>
    <row r="17" customFormat="false" ht="51.75" hidden="false" customHeight="true" outlineLevel="0" collapsed="false">
      <c r="A17" s="23" t="n">
        <v>5</v>
      </c>
      <c r="B17" s="24" t="s">
        <v>60</v>
      </c>
      <c r="C17" s="25" t="n">
        <v>0.15</v>
      </c>
      <c r="D17" s="26" t="n">
        <v>15</v>
      </c>
      <c r="E17" s="27" t="s">
        <v>43</v>
      </c>
      <c r="F17" s="28" t="s">
        <v>61</v>
      </c>
      <c r="G17" s="29" t="s">
        <v>62</v>
      </c>
      <c r="H17" s="30" t="s">
        <v>63</v>
      </c>
      <c r="I17" s="31" t="s">
        <v>64</v>
      </c>
      <c r="J17" s="32" t="s">
        <v>65</v>
      </c>
      <c r="K17" s="33" t="s">
        <v>49</v>
      </c>
      <c r="L17" s="34" t="s">
        <v>66</v>
      </c>
      <c r="M17" s="34"/>
    </row>
    <row r="18" customFormat="false" ht="21.75" hidden="false" customHeight="true" outlineLevel="0" collapsed="false">
      <c r="A18" s="4" t="s">
        <v>67</v>
      </c>
      <c r="B18" s="4"/>
      <c r="C18" s="36" t="s">
        <v>68</v>
      </c>
      <c r="D18" s="36" t="s">
        <v>69</v>
      </c>
      <c r="E18" s="37"/>
      <c r="F18" s="37"/>
      <c r="G18" s="37"/>
      <c r="H18" s="37"/>
      <c r="I18" s="37"/>
      <c r="J18" s="37"/>
      <c r="K18" s="37"/>
      <c r="L18" s="37"/>
      <c r="M18" s="37"/>
    </row>
    <row r="20" customFormat="false" ht="21.75" hidden="false" customHeight="true" outlineLevel="0" collapsed="false">
      <c r="A20" s="38" t="s">
        <v>70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customFormat="false" ht="19.5" hidden="false" customHeight="true" outlineLevel="0" collapsed="false">
      <c r="A21" s="39" t="s">
        <v>13</v>
      </c>
      <c r="B21" s="39" t="s">
        <v>71</v>
      </c>
      <c r="C21" s="39" t="s">
        <v>72</v>
      </c>
      <c r="D21" s="39" t="s">
        <v>73</v>
      </c>
      <c r="E21" s="39" t="s">
        <v>74</v>
      </c>
      <c r="F21" s="39"/>
      <c r="G21" s="39"/>
      <c r="H21" s="39"/>
      <c r="I21" s="39"/>
      <c r="J21" s="39"/>
      <c r="K21" s="39"/>
      <c r="L21" s="39"/>
      <c r="M21" s="39"/>
    </row>
    <row r="22" customFormat="false" ht="19.5" hidden="false" customHeight="true" outlineLevel="0" collapsed="false">
      <c r="A22" s="40" t="n">
        <v>1</v>
      </c>
      <c r="B22" s="41" t="s">
        <v>75</v>
      </c>
      <c r="C22" s="42" t="s">
        <v>76</v>
      </c>
      <c r="D22" s="43" t="s">
        <v>77</v>
      </c>
      <c r="E22" s="44" t="s">
        <v>78</v>
      </c>
      <c r="F22" s="44"/>
      <c r="G22" s="44"/>
      <c r="H22" s="44"/>
      <c r="I22" s="44"/>
      <c r="J22" s="44"/>
      <c r="K22" s="44"/>
      <c r="L22" s="44"/>
      <c r="M22" s="44"/>
    </row>
    <row r="23" customFormat="false" ht="19.5" hidden="false" customHeight="true" outlineLevel="0" collapsed="false">
      <c r="A23" s="45" t="n">
        <v>2</v>
      </c>
      <c r="B23" s="46" t="s">
        <v>79</v>
      </c>
      <c r="C23" s="42" t="s">
        <v>80</v>
      </c>
      <c r="D23" s="47" t="s">
        <v>81</v>
      </c>
      <c r="E23" s="44" t="s">
        <v>82</v>
      </c>
      <c r="F23" s="44"/>
      <c r="G23" s="44"/>
      <c r="H23" s="44"/>
      <c r="I23" s="44"/>
      <c r="J23" s="44"/>
      <c r="K23" s="44"/>
      <c r="L23" s="44"/>
      <c r="M23" s="44"/>
    </row>
    <row r="24" customFormat="false" ht="19.5" hidden="false" customHeight="true" outlineLevel="0" collapsed="false">
      <c r="A24" s="40" t="n">
        <v>3</v>
      </c>
      <c r="B24" s="41" t="s">
        <v>83</v>
      </c>
      <c r="C24" s="42" t="s">
        <v>84</v>
      </c>
      <c r="D24" s="43" t="s">
        <v>85</v>
      </c>
      <c r="E24" s="44" t="s">
        <v>86</v>
      </c>
      <c r="F24" s="44"/>
      <c r="G24" s="44"/>
      <c r="H24" s="44"/>
      <c r="I24" s="44"/>
      <c r="J24" s="44"/>
      <c r="K24" s="44"/>
      <c r="L24" s="44"/>
      <c r="M24" s="44"/>
    </row>
    <row r="25" customFormat="false" ht="19.5" hidden="false" customHeight="true" outlineLevel="0" collapsed="false">
      <c r="A25" s="45" t="n">
        <v>4</v>
      </c>
      <c r="B25" s="46" t="s">
        <v>87</v>
      </c>
      <c r="C25" s="42" t="s">
        <v>76</v>
      </c>
      <c r="D25" s="47" t="s">
        <v>88</v>
      </c>
      <c r="E25" s="44" t="s">
        <v>89</v>
      </c>
      <c r="F25" s="44"/>
      <c r="G25" s="44"/>
      <c r="H25" s="44"/>
      <c r="I25" s="44"/>
      <c r="J25" s="44"/>
      <c r="K25" s="44"/>
      <c r="L25" s="44"/>
      <c r="M25" s="44"/>
    </row>
    <row r="26" customFormat="false" ht="19.5" hidden="false" customHeight="true" outlineLevel="0" collapsed="false">
      <c r="A26" s="40" t="n">
        <v>5</v>
      </c>
      <c r="B26" s="41" t="s">
        <v>90</v>
      </c>
      <c r="C26" s="42" t="s">
        <v>91</v>
      </c>
      <c r="D26" s="43" t="s">
        <v>92</v>
      </c>
      <c r="E26" s="44" t="s">
        <v>93</v>
      </c>
      <c r="F26" s="44"/>
      <c r="G26" s="44"/>
      <c r="H26" s="44"/>
      <c r="I26" s="44"/>
      <c r="J26" s="44"/>
      <c r="K26" s="44"/>
      <c r="L26" s="44"/>
      <c r="M26" s="44"/>
    </row>
    <row r="27" customFormat="false" ht="19.5" hidden="false" customHeight="true" outlineLevel="0" collapsed="false">
      <c r="A27" s="45" t="n">
        <v>6</v>
      </c>
      <c r="B27" s="46" t="s">
        <v>94</v>
      </c>
      <c r="C27" s="42" t="s">
        <v>91</v>
      </c>
      <c r="D27" s="47" t="s">
        <v>95</v>
      </c>
      <c r="E27" s="44" t="s">
        <v>96</v>
      </c>
      <c r="F27" s="44"/>
      <c r="G27" s="44"/>
      <c r="H27" s="44"/>
      <c r="I27" s="44"/>
      <c r="J27" s="44"/>
      <c r="K27" s="44"/>
      <c r="L27" s="44"/>
      <c r="M27" s="44"/>
    </row>
    <row r="30" customFormat="false" ht="21.75" hidden="false" customHeight="true" outlineLevel="0" collapsed="false">
      <c r="A30" s="48" t="s">
        <v>97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customFormat="false" ht="19.5" hidden="false" customHeight="true" outlineLevel="0" collapsed="false">
      <c r="A31" s="39" t="s">
        <v>23</v>
      </c>
      <c r="B31" s="39" t="s">
        <v>98</v>
      </c>
      <c r="C31" s="39" t="s">
        <v>17</v>
      </c>
      <c r="D31" s="39" t="s">
        <v>99</v>
      </c>
      <c r="E31" s="39" t="s">
        <v>100</v>
      </c>
      <c r="F31" s="49" t="s">
        <v>100</v>
      </c>
      <c r="G31" s="49"/>
      <c r="H31" s="49"/>
      <c r="I31" s="49"/>
      <c r="J31" s="49"/>
      <c r="K31" s="49"/>
      <c r="L31" s="49"/>
      <c r="M31" s="49"/>
    </row>
    <row r="32" customFormat="false" ht="19.5" hidden="false" customHeight="true" outlineLevel="0" collapsed="false">
      <c r="A32" s="23" t="s">
        <v>32</v>
      </c>
      <c r="B32" s="43" t="s">
        <v>101</v>
      </c>
      <c r="C32" s="27" t="s">
        <v>102</v>
      </c>
      <c r="D32" s="50" t="s">
        <v>103</v>
      </c>
      <c r="E32" s="51" t="s">
        <v>104</v>
      </c>
      <c r="F32" s="51"/>
      <c r="G32" s="51"/>
      <c r="H32" s="51"/>
      <c r="I32" s="51"/>
      <c r="J32" s="51"/>
      <c r="K32" s="51"/>
      <c r="L32" s="51"/>
      <c r="M32" s="51"/>
    </row>
    <row r="33" customFormat="false" ht="19.5" hidden="false" customHeight="true" outlineLevel="0" collapsed="false">
      <c r="A33" s="23" t="s">
        <v>58</v>
      </c>
      <c r="B33" s="47" t="s">
        <v>105</v>
      </c>
      <c r="C33" s="27" t="s">
        <v>106</v>
      </c>
      <c r="D33" s="52" t="s">
        <v>107</v>
      </c>
      <c r="E33" s="51" t="s">
        <v>51</v>
      </c>
      <c r="F33" s="51"/>
      <c r="G33" s="51"/>
      <c r="H33" s="51"/>
      <c r="I33" s="51"/>
      <c r="J33" s="51"/>
      <c r="K33" s="51"/>
      <c r="L33" s="51"/>
      <c r="M33" s="51"/>
    </row>
    <row r="34" customFormat="false" ht="19.5" hidden="false" customHeight="true" outlineLevel="0" collapsed="false">
      <c r="A34" s="23" t="s">
        <v>49</v>
      </c>
      <c r="B34" s="43" t="s">
        <v>108</v>
      </c>
      <c r="C34" s="27" t="s">
        <v>109</v>
      </c>
      <c r="D34" s="50" t="s">
        <v>110</v>
      </c>
      <c r="E34" s="51" t="s">
        <v>111</v>
      </c>
      <c r="F34" s="51"/>
      <c r="G34" s="51"/>
      <c r="H34" s="51"/>
      <c r="I34" s="51"/>
      <c r="J34" s="51"/>
      <c r="K34" s="51"/>
      <c r="L34" s="51"/>
      <c r="M34" s="51"/>
    </row>
    <row r="35" customFormat="false" ht="19.5" hidden="false" customHeight="true" outlineLevel="0" collapsed="false">
      <c r="A35" s="23" t="s">
        <v>112</v>
      </c>
      <c r="B35" s="47" t="s">
        <v>113</v>
      </c>
      <c r="C35" s="27" t="s">
        <v>106</v>
      </c>
      <c r="D35" s="52" t="s">
        <v>114</v>
      </c>
      <c r="E35" s="51" t="s">
        <v>115</v>
      </c>
      <c r="F35" s="51"/>
      <c r="G35" s="51"/>
      <c r="H35" s="51"/>
      <c r="I35" s="51"/>
      <c r="J35" s="51"/>
      <c r="K35" s="51"/>
      <c r="L35" s="51"/>
      <c r="M35" s="51"/>
    </row>
  </sheetData>
  <mergeCells count="30">
    <mergeCell ref="A1:M1"/>
    <mergeCell ref="A2:M2"/>
    <mergeCell ref="A4:M4"/>
    <mergeCell ref="A5:M5"/>
    <mergeCell ref="A6:M6"/>
    <mergeCell ref="A7:M7"/>
    <mergeCell ref="A8:M8"/>
    <mergeCell ref="A10:B10"/>
    <mergeCell ref="G10:M10"/>
    <mergeCell ref="L12:M12"/>
    <mergeCell ref="L13:M13"/>
    <mergeCell ref="L14:M14"/>
    <mergeCell ref="L15:M15"/>
    <mergeCell ref="L16:M16"/>
    <mergeCell ref="L17:M17"/>
    <mergeCell ref="A18:B18"/>
    <mergeCell ref="A20:M20"/>
    <mergeCell ref="E21:M21"/>
    <mergeCell ref="E22:M22"/>
    <mergeCell ref="E23:M23"/>
    <mergeCell ref="E24:M24"/>
    <mergeCell ref="E25:M25"/>
    <mergeCell ref="E26:M26"/>
    <mergeCell ref="E27:M27"/>
    <mergeCell ref="A30:M30"/>
    <mergeCell ref="F31:M31"/>
    <mergeCell ref="E32:M32"/>
    <mergeCell ref="E33:M33"/>
    <mergeCell ref="E34:M34"/>
    <mergeCell ref="E35:M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5" min="15" style="1" width="9"/>
    <col collapsed="false" customWidth="true" hidden="false" outlineLevel="0" max="16" min="16" style="1" width="13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40"/>
  </cols>
  <sheetData>
    <row r="1" customFormat="false" ht="43.5" hidden="false" customHeight="true" outlineLevel="0" collapsed="false">
      <c r="A1" s="53" t="s">
        <v>116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customFormat="false" ht="15.75" hidden="false" customHeight="true" outlineLevel="0" collapsed="false">
      <c r="A2" s="54" t="s">
        <v>117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customFormat="false" ht="7.5" hidden="false" customHeight="true" outlineLevel="0" collapsed="false"/>
    <row r="4" customFormat="false" ht="19.5" hidden="false" customHeight="true" outlineLevel="0" collapsed="false">
      <c r="A4" s="55" t="s">
        <v>118</v>
      </c>
      <c r="B4" s="56"/>
      <c r="C4" s="55" t="s">
        <v>119</v>
      </c>
      <c r="D4" s="56"/>
    </row>
    <row r="5" customFormat="false" ht="18" hidden="false" customHeight="true" outlineLevel="0" collapsed="false">
      <c r="A5" s="55" t="s">
        <v>120</v>
      </c>
      <c r="B5" s="56"/>
      <c r="C5" s="55" t="s">
        <v>121</v>
      </c>
      <c r="D5" s="56"/>
    </row>
    <row r="6" customFormat="false" ht="7.5" hidden="false" customHeight="true" outlineLevel="0" collapsed="false"/>
    <row r="7" customFormat="false" ht="19.5" hidden="false" customHeight="true" outlineLevel="0" collapsed="false">
      <c r="A7" s="49" t="s">
        <v>122</v>
      </c>
      <c r="B7" s="49"/>
      <c r="C7" s="49"/>
      <c r="D7" s="57" t="s">
        <v>123</v>
      </c>
      <c r="E7" s="58" t="s">
        <v>124</v>
      </c>
      <c r="F7" s="59" t="s">
        <v>125</v>
      </c>
      <c r="G7" s="60" t="s">
        <v>126</v>
      </c>
      <c r="H7" s="61" t="s">
        <v>127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</row>
    <row r="9" customFormat="false" ht="27.75" hidden="false" customHeight="true" outlineLevel="0" collapsed="false">
      <c r="A9" s="62" t="s">
        <v>128</v>
      </c>
      <c r="B9" s="62"/>
      <c r="C9" s="62"/>
      <c r="D9" s="63" t="s">
        <v>129</v>
      </c>
      <c r="E9" s="63"/>
      <c r="F9" s="63" t="s">
        <v>130</v>
      </c>
      <c r="G9" s="63"/>
      <c r="H9" s="63" t="s">
        <v>131</v>
      </c>
      <c r="I9" s="63"/>
      <c r="J9" s="63" t="s">
        <v>132</v>
      </c>
      <c r="K9" s="63"/>
      <c r="L9" s="63" t="s">
        <v>133</v>
      </c>
      <c r="M9" s="63"/>
      <c r="N9" s="64" t="s">
        <v>134</v>
      </c>
      <c r="O9" s="65" t="s">
        <v>135</v>
      </c>
      <c r="P9" s="66" t="s">
        <v>136</v>
      </c>
      <c r="Q9" s="67" t="s">
        <v>137</v>
      </c>
      <c r="R9" s="68" t="s">
        <v>138</v>
      </c>
      <c r="S9" s="69" t="s">
        <v>139</v>
      </c>
    </row>
    <row r="10" customFormat="false" ht="21.75" hidden="false" customHeight="true" outlineLevel="0" collapsed="false">
      <c r="A10" s="62"/>
      <c r="B10" s="62"/>
      <c r="C10" s="62"/>
      <c r="D10" s="17" t="s">
        <v>140</v>
      </c>
      <c r="E10" s="18" t="s">
        <v>141</v>
      </c>
      <c r="F10" s="17" t="s">
        <v>140</v>
      </c>
      <c r="G10" s="18" t="s">
        <v>141</v>
      </c>
      <c r="H10" s="17" t="s">
        <v>140</v>
      </c>
      <c r="I10" s="18" t="s">
        <v>141</v>
      </c>
      <c r="J10" s="17" t="s">
        <v>140</v>
      </c>
      <c r="K10" s="18" t="s">
        <v>141</v>
      </c>
      <c r="L10" s="17" t="s">
        <v>140</v>
      </c>
      <c r="M10" s="18" t="s">
        <v>141</v>
      </c>
      <c r="N10" s="64"/>
      <c r="O10" s="64"/>
      <c r="P10" s="64"/>
      <c r="Q10" s="64"/>
      <c r="R10" s="64"/>
      <c r="S10" s="64"/>
    </row>
    <row r="11" customFormat="false" ht="13.5" hidden="false" customHeight="true" outlineLevel="0" collapsed="false">
      <c r="A11" s="62"/>
      <c r="B11" s="62"/>
      <c r="C11" s="62"/>
      <c r="D11" s="70" t="s">
        <v>142</v>
      </c>
      <c r="E11" s="70" t="s">
        <v>143</v>
      </c>
      <c r="F11" s="70" t="s">
        <v>142</v>
      </c>
      <c r="G11" s="70" t="s">
        <v>143</v>
      </c>
      <c r="H11" s="70" t="s">
        <v>144</v>
      </c>
      <c r="I11" s="70" t="s">
        <v>143</v>
      </c>
      <c r="J11" s="70" t="s">
        <v>145</v>
      </c>
      <c r="K11" s="70" t="s">
        <v>143</v>
      </c>
      <c r="L11" s="70" t="s">
        <v>144</v>
      </c>
      <c r="M11" s="70" t="s">
        <v>143</v>
      </c>
      <c r="N11" s="64"/>
      <c r="O11" s="64"/>
      <c r="P11" s="64"/>
      <c r="Q11" s="64"/>
      <c r="R11" s="64"/>
      <c r="S11" s="64"/>
    </row>
    <row r="12" customFormat="false" ht="19.5" hidden="false" customHeight="true" outlineLevel="0" collapsed="false">
      <c r="A12" s="40" t="n">
        <v>1</v>
      </c>
      <c r="B12" s="40" t="s">
        <v>146</v>
      </c>
      <c r="C12" s="71" t="s">
        <v>147</v>
      </c>
      <c r="D12" s="72" t="n">
        <v>1</v>
      </c>
      <c r="E12" s="73" t="n">
        <f aca="false">IFERROR(D12/4*25,0)</f>
        <v>6.25</v>
      </c>
      <c r="F12" s="74" t="n">
        <v>4</v>
      </c>
      <c r="G12" s="73" t="n">
        <f aca="false">IFERROR(F12/4*25,0)</f>
        <v>25</v>
      </c>
      <c r="H12" s="75" t="n">
        <v>2</v>
      </c>
      <c r="I12" s="73" t="n">
        <f aca="false">IFERROR(H12/4*15,0)</f>
        <v>7.5</v>
      </c>
      <c r="J12" s="72" t="n">
        <v>1</v>
      </c>
      <c r="K12" s="73" t="n">
        <f aca="false">IFERROR(J12/4*20,0)</f>
        <v>5</v>
      </c>
      <c r="L12" s="76" t="n">
        <v>3</v>
      </c>
      <c r="M12" s="73" t="n">
        <f aca="false">IFERROR(L12/4*15,0)</f>
        <v>11.25</v>
      </c>
      <c r="N12" s="77" t="n">
        <f aca="false">SUM(E12,G12,I12,K12,M12)</f>
        <v>55</v>
      </c>
      <c r="O12" s="78" t="str">
        <f aca="false">IF(N12&gt;=90,"O",IF(N12&gt;=75,"A+",IF(N12&gt;=60,"A",IF(N12&gt;=50,"B+",IF(N12&gt;=40,"B","F")))))</f>
        <v>B+</v>
      </c>
      <c r="P12" s="79" t="str">
        <f aca="false">IF(N12&gt;=75,"L3-High",IF(N12&gt;=60,"L2-Medium",IF(N12&gt;=40,"L1-Low","L0-Below")))</f>
        <v>L1-Low</v>
      </c>
      <c r="Q12" s="80" t="n">
        <f aca="false">N12/100</f>
        <v>0.55</v>
      </c>
      <c r="R12" s="81" t="str">
        <f aca="false">IF(N12&gt;=40,"Pass","Fail")</f>
        <v>Pass</v>
      </c>
      <c r="S12" s="82" t="str">
        <f aca="false">IF(N12&gt;=90,"Outstanding viva performance — exceptional conceptual clarity, technical accuracy, confidence and problem-solving",IF(N12&gt;=75,"Excellent viva — strong technical knowledge and communication; minor areas for refinement",IF(N12&gt;=60,"Good viva — solid understanding demonstrated; improve depth of technical explanation and problem-solving",IF(N12&gt;=40,"Satisfactory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13" customFormat="false" ht="19.5" hidden="false" customHeight="true" outlineLevel="0" collapsed="false">
      <c r="A13" s="45" t="n">
        <v>2</v>
      </c>
      <c r="B13" s="45" t="s">
        <v>148</v>
      </c>
      <c r="C13" s="83" t="s">
        <v>149</v>
      </c>
      <c r="D13" s="74" t="n">
        <v>4</v>
      </c>
      <c r="E13" s="84" t="n">
        <f aca="false">IFERROR(D13/4*25,0)</f>
        <v>25</v>
      </c>
      <c r="F13" s="75" t="n">
        <v>2</v>
      </c>
      <c r="G13" s="84" t="n">
        <f aca="false">IFERROR(F13/4*25,0)</f>
        <v>12.5</v>
      </c>
      <c r="H13" s="72" t="n">
        <v>1</v>
      </c>
      <c r="I13" s="84" t="n">
        <f aca="false">IFERROR(H13/4*15,0)</f>
        <v>3.75</v>
      </c>
      <c r="J13" s="74" t="n">
        <v>4</v>
      </c>
      <c r="K13" s="84" t="n">
        <f aca="false">IFERROR(J13/4*20,0)</f>
        <v>20</v>
      </c>
      <c r="L13" s="74" t="n">
        <v>4</v>
      </c>
      <c r="M13" s="84" t="n">
        <f aca="false">IFERROR(L13/4*15,0)</f>
        <v>15</v>
      </c>
      <c r="N13" s="77" t="n">
        <f aca="false">SUM(E13,G13,I13,K13,M13)</f>
        <v>76.25</v>
      </c>
      <c r="O13" s="78" t="str">
        <f aca="false">IF(N13&gt;=90,"O",IF(N13&gt;=75,"A+",IF(N13&gt;=60,"A",IF(N13&gt;=50,"B+",IF(N13&gt;=40,"B","F")))))</f>
        <v>A+</v>
      </c>
      <c r="P13" s="79" t="str">
        <f aca="false">IF(N13&gt;=75,"L3-High",IF(N13&gt;=60,"L2-Medium",IF(N13&gt;=40,"L1-Low","L0-Below")))</f>
        <v>L3-High</v>
      </c>
      <c r="Q13" s="80" t="n">
        <f aca="false">N13/100</f>
        <v>0.7625</v>
      </c>
      <c r="R13" s="81" t="str">
        <f aca="false">IF(N13&gt;=40,"Pass","Fail")</f>
        <v>Pass</v>
      </c>
      <c r="S13" s="85" t="str">
        <f aca="false">IF(N13&gt;=90,"Outstanding viva performance — exceptional conceptual clarity, technical accuracy, confidence and problem-solving",IF(N13&gt;=75,"Excellent viva — strong technical knowledge and communication; minor areas for refinement",IF(N13&gt;=60,"Good viva — solid understanding demonstrated; improve depth of technical explanation and problem-solving",IF(N13&gt;=40,"Satisfactory — basic concepts understood; significant improvement needed in technical accuracy and confidence","Needs major improvement — revisit core concepts; viva preparation and communication skills require intensive development"))))</f>
        <v>Excellent viva — strong technical knowledge and communication; minor areas for refinement</v>
      </c>
    </row>
    <row r="14" customFormat="false" ht="19.5" hidden="false" customHeight="true" outlineLevel="0" collapsed="false">
      <c r="A14" s="40" t="n">
        <v>3</v>
      </c>
      <c r="B14" s="40" t="s">
        <v>150</v>
      </c>
      <c r="C14" s="71" t="s">
        <v>151</v>
      </c>
      <c r="D14" s="72" t="n">
        <v>1</v>
      </c>
      <c r="E14" s="73" t="n">
        <f aca="false">IFERROR(D14/4*25,0)</f>
        <v>6.25</v>
      </c>
      <c r="F14" s="72" t="n">
        <v>1</v>
      </c>
      <c r="G14" s="73" t="n">
        <f aca="false">IFERROR(F14/4*25,0)</f>
        <v>6.25</v>
      </c>
      <c r="H14" s="72" t="n">
        <v>1</v>
      </c>
      <c r="I14" s="73" t="n">
        <f aca="false">IFERROR(H14/4*15,0)</f>
        <v>3.75</v>
      </c>
      <c r="J14" s="75" t="n">
        <v>2</v>
      </c>
      <c r="K14" s="73" t="n">
        <f aca="false">IFERROR(J14/4*20,0)</f>
        <v>10</v>
      </c>
      <c r="L14" s="74" t="n">
        <v>4</v>
      </c>
      <c r="M14" s="73" t="n">
        <f aca="false">IFERROR(L14/4*15,0)</f>
        <v>15</v>
      </c>
      <c r="N14" s="77" t="n">
        <f aca="false">SUM(E14,G14,I14,K14,M14)</f>
        <v>41.25</v>
      </c>
      <c r="O14" s="78" t="str">
        <f aca="false">IF(N14&gt;=90,"O",IF(N14&gt;=75,"A+",IF(N14&gt;=60,"A",IF(N14&gt;=50,"B+",IF(N14&gt;=40,"B","F")))))</f>
        <v>B</v>
      </c>
      <c r="P14" s="79" t="str">
        <f aca="false">IF(N14&gt;=75,"L3-High",IF(N14&gt;=60,"L2-Medium",IF(N14&gt;=40,"L1-Low","L0-Below")))</f>
        <v>L1-Low</v>
      </c>
      <c r="Q14" s="80" t="n">
        <f aca="false">N14/100</f>
        <v>0.4125</v>
      </c>
      <c r="R14" s="81" t="str">
        <f aca="false">IF(N14&gt;=40,"Pass","Fail")</f>
        <v>Pass</v>
      </c>
      <c r="S14" s="82" t="str">
        <f aca="false">IF(N14&gt;=90,"Outstanding viva performance — exceptional conceptual clarity, technical accuracy, confidence and problem-solving",IF(N14&gt;=75,"Excellent viva — strong technical knowledge and communication; minor areas for refinement",IF(N14&gt;=60,"Good viva — solid understanding demonstrated; improve depth of technical explanation and problem-solving",IF(N14&gt;=40,"Satisfactory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15" customFormat="false" ht="19.5" hidden="false" customHeight="true" outlineLevel="0" collapsed="false">
      <c r="A15" s="45" t="n">
        <v>4</v>
      </c>
      <c r="B15" s="45" t="s">
        <v>152</v>
      </c>
      <c r="C15" s="83" t="s">
        <v>153</v>
      </c>
      <c r="D15" s="72" t="n">
        <v>1</v>
      </c>
      <c r="E15" s="84" t="n">
        <f aca="false">IFERROR(D15/4*25,0)</f>
        <v>6.25</v>
      </c>
      <c r="F15" s="74" t="n">
        <v>4</v>
      </c>
      <c r="G15" s="84" t="n">
        <f aca="false">IFERROR(F15/4*25,0)</f>
        <v>25</v>
      </c>
      <c r="H15" s="72" t="n">
        <v>1</v>
      </c>
      <c r="I15" s="84" t="n">
        <f aca="false">IFERROR(H15/4*15,0)</f>
        <v>3.75</v>
      </c>
      <c r="J15" s="72" t="n">
        <v>1</v>
      </c>
      <c r="K15" s="84" t="n">
        <f aca="false">IFERROR(J15/4*20,0)</f>
        <v>5</v>
      </c>
      <c r="L15" s="72" t="n">
        <v>1</v>
      </c>
      <c r="M15" s="84" t="n">
        <f aca="false">IFERROR(L15/4*15,0)</f>
        <v>3.75</v>
      </c>
      <c r="N15" s="77" t="n">
        <f aca="false">SUM(E15,G15,I15,K15,M15)</f>
        <v>43.75</v>
      </c>
      <c r="O15" s="78" t="str">
        <f aca="false">IF(N15&gt;=90,"O",IF(N15&gt;=75,"A+",IF(N15&gt;=60,"A",IF(N15&gt;=50,"B+",IF(N15&gt;=40,"B","F")))))</f>
        <v>B</v>
      </c>
      <c r="P15" s="79" t="str">
        <f aca="false">IF(N15&gt;=75,"L3-High",IF(N15&gt;=60,"L2-Medium",IF(N15&gt;=40,"L1-Low","L0-Below")))</f>
        <v>L1-Low</v>
      </c>
      <c r="Q15" s="80" t="n">
        <f aca="false">N15/100</f>
        <v>0.4375</v>
      </c>
      <c r="R15" s="81" t="str">
        <f aca="false">IF(N15&gt;=40,"Pass","Fail")</f>
        <v>Pass</v>
      </c>
      <c r="S15" s="85" t="str">
        <f aca="false">IF(N15&gt;=90,"Outstanding viva performance — exceptional conceptual clarity, technical accuracy, confidence and problem-solving",IF(N15&gt;=75,"Excellent viva — strong technical knowledge and communication; minor areas for refinement",IF(N15&gt;=60,"Good viva — solid understanding demonstrated; improve depth of technical explanation and problem-solving",IF(N15&gt;=40,"Satisfactory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16" customFormat="false" ht="19.5" hidden="false" customHeight="true" outlineLevel="0" collapsed="false">
      <c r="A16" s="40" t="n">
        <v>5</v>
      </c>
      <c r="B16" s="40" t="s">
        <v>154</v>
      </c>
      <c r="C16" s="71" t="s">
        <v>155</v>
      </c>
      <c r="D16" s="75" t="n">
        <v>2</v>
      </c>
      <c r="E16" s="73" t="n">
        <f aca="false">IFERROR(D16/4*25,0)</f>
        <v>12.5</v>
      </c>
      <c r="F16" s="75" t="n">
        <v>2</v>
      </c>
      <c r="G16" s="73" t="n">
        <f aca="false">IFERROR(F16/4*25,0)</f>
        <v>12.5</v>
      </c>
      <c r="H16" s="72" t="n">
        <v>1</v>
      </c>
      <c r="I16" s="73" t="n">
        <f aca="false">IFERROR(H16/4*15,0)</f>
        <v>3.75</v>
      </c>
      <c r="J16" s="75" t="n">
        <v>2</v>
      </c>
      <c r="K16" s="73" t="n">
        <f aca="false">IFERROR(J16/4*20,0)</f>
        <v>10</v>
      </c>
      <c r="L16" s="74" t="n">
        <v>4</v>
      </c>
      <c r="M16" s="73" t="n">
        <f aca="false">IFERROR(L16/4*15,0)</f>
        <v>15</v>
      </c>
      <c r="N16" s="77" t="n">
        <f aca="false">SUM(E16,G16,I16,K16,M16)</f>
        <v>53.75</v>
      </c>
      <c r="O16" s="78" t="str">
        <f aca="false">IF(N16&gt;=90,"O",IF(N16&gt;=75,"A+",IF(N16&gt;=60,"A",IF(N16&gt;=50,"B+",IF(N16&gt;=40,"B","F")))))</f>
        <v>B+</v>
      </c>
      <c r="P16" s="79" t="str">
        <f aca="false">IF(N16&gt;=75,"L3-High",IF(N16&gt;=60,"L2-Medium",IF(N16&gt;=40,"L1-Low","L0-Below")))</f>
        <v>L1-Low</v>
      </c>
      <c r="Q16" s="80" t="n">
        <f aca="false">N16/100</f>
        <v>0.5375</v>
      </c>
      <c r="R16" s="81" t="str">
        <f aca="false">IF(N16&gt;=40,"Pass","Fail")</f>
        <v>Pass</v>
      </c>
      <c r="S16" s="82" t="str">
        <f aca="false">IF(N16&gt;=90,"Outstanding viva performance — exceptional conceptual clarity, technical accuracy, confidence and problem-solving",IF(N16&gt;=75,"Excellent viva — strong technical knowledge and communication; minor areas for refinement",IF(N16&gt;=60,"Good viva — solid understanding demonstrated; improve depth of technical explanation and problem-solving",IF(N16&gt;=40,"Satisfactory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17" customFormat="false" ht="19.5" hidden="false" customHeight="true" outlineLevel="0" collapsed="false">
      <c r="A17" s="45" t="n">
        <v>6</v>
      </c>
      <c r="B17" s="45" t="s">
        <v>156</v>
      </c>
      <c r="C17" s="83" t="s">
        <v>157</v>
      </c>
      <c r="D17" s="74" t="n">
        <v>4</v>
      </c>
      <c r="E17" s="84" t="n">
        <f aca="false">IFERROR(D17/4*25,0)</f>
        <v>25</v>
      </c>
      <c r="F17" s="76" t="n">
        <v>3</v>
      </c>
      <c r="G17" s="84" t="n">
        <f aca="false">IFERROR(F17/4*25,0)</f>
        <v>18.75</v>
      </c>
      <c r="H17" s="72" t="n">
        <v>1</v>
      </c>
      <c r="I17" s="84" t="n">
        <f aca="false">IFERROR(H17/4*15,0)</f>
        <v>3.75</v>
      </c>
      <c r="J17" s="72" t="n">
        <v>1</v>
      </c>
      <c r="K17" s="84" t="n">
        <f aca="false">IFERROR(J17/4*20,0)</f>
        <v>5</v>
      </c>
      <c r="L17" s="75" t="n">
        <v>2</v>
      </c>
      <c r="M17" s="84" t="n">
        <f aca="false">IFERROR(L17/4*15,0)</f>
        <v>7.5</v>
      </c>
      <c r="N17" s="77" t="n">
        <f aca="false">SUM(E17,G17,I17,K17,M17)</f>
        <v>60</v>
      </c>
      <c r="O17" s="78" t="str">
        <f aca="false">IF(N17&gt;=90,"O",IF(N17&gt;=75,"A+",IF(N17&gt;=60,"A",IF(N17&gt;=50,"B+",IF(N17&gt;=40,"B","F")))))</f>
        <v>A</v>
      </c>
      <c r="P17" s="79" t="str">
        <f aca="false">IF(N17&gt;=75,"L3-High",IF(N17&gt;=60,"L2-Medium",IF(N17&gt;=40,"L1-Low","L0-Below")))</f>
        <v>L2-Medium</v>
      </c>
      <c r="Q17" s="80" t="n">
        <f aca="false">N17/100</f>
        <v>0.6</v>
      </c>
      <c r="R17" s="81" t="str">
        <f aca="false">IF(N17&gt;=40,"Pass","Fail")</f>
        <v>Pass</v>
      </c>
      <c r="S17" s="85" t="str">
        <f aca="false">IF(N17&gt;=90,"Outstanding viva performance — exceptional conceptual clarity, technical accuracy, confidence and problem-solving",IF(N17&gt;=75,"Excellent viva — strong technical knowledge and communication; minor areas for refinement",IF(N17&gt;=60,"Good viva — solid understanding demonstrated; improve depth of technical explanation and problem-solving",IF(N17&gt;=40,"Satisfactory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18" customFormat="false" ht="19.5" hidden="false" customHeight="true" outlineLevel="0" collapsed="false">
      <c r="A18" s="40" t="n">
        <v>7</v>
      </c>
      <c r="B18" s="40" t="s">
        <v>158</v>
      </c>
      <c r="C18" s="71" t="s">
        <v>159</v>
      </c>
      <c r="D18" s="75" t="n">
        <v>2</v>
      </c>
      <c r="E18" s="73" t="n">
        <f aca="false">IFERROR(D18/4*25,0)</f>
        <v>12.5</v>
      </c>
      <c r="F18" s="72" t="n">
        <v>1</v>
      </c>
      <c r="G18" s="73" t="n">
        <f aca="false">IFERROR(F18/4*25,0)</f>
        <v>6.25</v>
      </c>
      <c r="H18" s="75" t="n">
        <v>2</v>
      </c>
      <c r="I18" s="73" t="n">
        <f aca="false">IFERROR(H18/4*15,0)</f>
        <v>7.5</v>
      </c>
      <c r="J18" s="72" t="n">
        <v>1</v>
      </c>
      <c r="K18" s="73" t="n">
        <f aca="false">IFERROR(J18/4*20,0)</f>
        <v>5</v>
      </c>
      <c r="L18" s="72" t="n">
        <v>1</v>
      </c>
      <c r="M18" s="73" t="n">
        <f aca="false">IFERROR(L18/4*15,0)</f>
        <v>3.75</v>
      </c>
      <c r="N18" s="77" t="n">
        <f aca="false">SUM(E18,G18,I18,K18,M18)</f>
        <v>35</v>
      </c>
      <c r="O18" s="78" t="str">
        <f aca="false">IF(N18&gt;=90,"O",IF(N18&gt;=75,"A+",IF(N18&gt;=60,"A",IF(N18&gt;=50,"B+",IF(N18&gt;=40,"B","F")))))</f>
        <v>F</v>
      </c>
      <c r="P18" s="79" t="str">
        <f aca="false">IF(N18&gt;=75,"L3-High",IF(N18&gt;=60,"L2-Medium",IF(N18&gt;=40,"L1-Low","L0-Below")))</f>
        <v>L0-Below</v>
      </c>
      <c r="Q18" s="80" t="n">
        <f aca="false">N18/100</f>
        <v>0.35</v>
      </c>
      <c r="R18" s="81" t="str">
        <f aca="false">IF(N18&gt;=40,"Pass","Fail")</f>
        <v>Fail</v>
      </c>
      <c r="S18" s="82" t="str">
        <f aca="false">IF(N18&gt;=90,"Outstanding viva performance — exceptional conceptual clarity, technical accuracy, confidence and problem-solving",IF(N18&gt;=75,"Excellent viva — strong technical knowledge and communication; minor areas for refinement",IF(N18&gt;=60,"Good viva — solid understanding demonstrated; improve depth of technical explanation and problem-solving",IF(N18&gt;=40,"Satisfactory — basic concepts understood; significant improvement needed in technical accuracy and confidence","Needs major improvement — revisit core concepts; viva preparation and communication skills require intensive development"))))</f>
        <v>Needs major improvement — revisit core concepts; viva preparation and communication skills require intensive development</v>
      </c>
    </row>
    <row r="19" customFormat="false" ht="19.5" hidden="false" customHeight="true" outlineLevel="0" collapsed="false">
      <c r="A19" s="45" t="n">
        <v>8</v>
      </c>
      <c r="B19" s="45" t="s">
        <v>160</v>
      </c>
      <c r="C19" s="83" t="s">
        <v>161</v>
      </c>
      <c r="D19" s="75" t="n">
        <v>2</v>
      </c>
      <c r="E19" s="84" t="n">
        <f aca="false">IFERROR(D19/4*25,0)</f>
        <v>12.5</v>
      </c>
      <c r="F19" s="76" t="n">
        <v>3</v>
      </c>
      <c r="G19" s="84" t="n">
        <f aca="false">IFERROR(F19/4*25,0)</f>
        <v>18.75</v>
      </c>
      <c r="H19" s="72" t="n">
        <v>1</v>
      </c>
      <c r="I19" s="84" t="n">
        <f aca="false">IFERROR(H19/4*15,0)</f>
        <v>3.75</v>
      </c>
      <c r="J19" s="74" t="n">
        <v>4</v>
      </c>
      <c r="K19" s="84" t="n">
        <f aca="false">IFERROR(J19/4*20,0)</f>
        <v>20</v>
      </c>
      <c r="L19" s="76" t="n">
        <v>3</v>
      </c>
      <c r="M19" s="84" t="n">
        <f aca="false">IFERROR(L19/4*15,0)</f>
        <v>11.25</v>
      </c>
      <c r="N19" s="77" t="n">
        <f aca="false">SUM(E19,G19,I19,K19,M19)</f>
        <v>66.25</v>
      </c>
      <c r="O19" s="78" t="str">
        <f aca="false">IF(N19&gt;=90,"O",IF(N19&gt;=75,"A+",IF(N19&gt;=60,"A",IF(N19&gt;=50,"B+",IF(N19&gt;=40,"B","F")))))</f>
        <v>A</v>
      </c>
      <c r="P19" s="79" t="str">
        <f aca="false">IF(N19&gt;=75,"L3-High",IF(N19&gt;=60,"L2-Medium",IF(N19&gt;=40,"L1-Low","L0-Below")))</f>
        <v>L2-Medium</v>
      </c>
      <c r="Q19" s="80" t="n">
        <f aca="false">N19/100</f>
        <v>0.6625</v>
      </c>
      <c r="R19" s="81" t="str">
        <f aca="false">IF(N19&gt;=40,"Pass","Fail")</f>
        <v>Pass</v>
      </c>
      <c r="S19" s="85" t="str">
        <f aca="false">IF(N19&gt;=90,"Outstanding viva performance — exceptional conceptual clarity, technical accuracy, confidence and problem-solving",IF(N19&gt;=75,"Excellent viva — strong technical knowledge and communication; minor areas for refinement",IF(N19&gt;=60,"Good viva — solid understanding demonstrated; improve depth of technical explanation and problem-solving",IF(N19&gt;=40,"Satisfactory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20" customFormat="false" ht="19.5" hidden="false" customHeight="true" outlineLevel="0" collapsed="false">
      <c r="A20" s="40" t="n">
        <v>9</v>
      </c>
      <c r="B20" s="40" t="s">
        <v>162</v>
      </c>
      <c r="C20" s="71" t="s">
        <v>163</v>
      </c>
      <c r="D20" s="74" t="n">
        <v>4</v>
      </c>
      <c r="E20" s="73" t="n">
        <f aca="false">IFERROR(D20/4*25,0)</f>
        <v>25</v>
      </c>
      <c r="F20" s="75" t="n">
        <v>2</v>
      </c>
      <c r="G20" s="73" t="n">
        <f aca="false">IFERROR(F20/4*25,0)</f>
        <v>12.5</v>
      </c>
      <c r="H20" s="76" t="n">
        <v>3</v>
      </c>
      <c r="I20" s="73" t="n">
        <f aca="false">IFERROR(H20/4*15,0)</f>
        <v>11.25</v>
      </c>
      <c r="J20" s="74" t="n">
        <v>4</v>
      </c>
      <c r="K20" s="73" t="n">
        <f aca="false">IFERROR(J20/4*20,0)</f>
        <v>20</v>
      </c>
      <c r="L20" s="74" t="n">
        <v>4</v>
      </c>
      <c r="M20" s="73" t="n">
        <f aca="false">IFERROR(L20/4*15,0)</f>
        <v>15</v>
      </c>
      <c r="N20" s="77" t="n">
        <f aca="false">SUM(E20,G20,I20,K20,M20)</f>
        <v>83.75</v>
      </c>
      <c r="O20" s="78" t="str">
        <f aca="false">IF(N20&gt;=90,"O",IF(N20&gt;=75,"A+",IF(N20&gt;=60,"A",IF(N20&gt;=50,"B+",IF(N20&gt;=40,"B","F")))))</f>
        <v>A+</v>
      </c>
      <c r="P20" s="79" t="str">
        <f aca="false">IF(N20&gt;=75,"L3-High",IF(N20&gt;=60,"L2-Medium",IF(N20&gt;=40,"L1-Low","L0-Below")))</f>
        <v>L3-High</v>
      </c>
      <c r="Q20" s="80" t="n">
        <f aca="false">N20/100</f>
        <v>0.8375</v>
      </c>
      <c r="R20" s="81" t="str">
        <f aca="false">IF(N20&gt;=40,"Pass","Fail")</f>
        <v>Pass</v>
      </c>
      <c r="S20" s="82" t="str">
        <f aca="false">IF(N20&gt;=90,"Outstanding viva performance — exceptional conceptual clarity, technical accuracy, confidence and problem-solving",IF(N20&gt;=75,"Excellent viva — strong technical knowledge and communication; minor areas for refinement",IF(N20&gt;=60,"Good viva — solid understanding demonstrated; improve depth of technical explanation and problem-solving",IF(N20&gt;=40,"Satisfactory — basic concepts understood; significant improvement needed in technical accuracy and confidence","Needs major improvement — revisit core concepts; viva preparation and communication skills require intensive development"))))</f>
        <v>Excellent viva — strong technical knowledge and communication; minor areas for refinement</v>
      </c>
    </row>
    <row r="21" customFormat="false" ht="19.5" hidden="false" customHeight="true" outlineLevel="0" collapsed="false">
      <c r="A21" s="45" t="n">
        <v>10</v>
      </c>
      <c r="B21" s="45" t="s">
        <v>164</v>
      </c>
      <c r="C21" s="83" t="s">
        <v>165</v>
      </c>
      <c r="D21" s="74" t="n">
        <v>4</v>
      </c>
      <c r="E21" s="84" t="n">
        <f aca="false">IFERROR(D21/4*25,0)</f>
        <v>25</v>
      </c>
      <c r="F21" s="72" t="n">
        <v>1</v>
      </c>
      <c r="G21" s="84" t="n">
        <f aca="false">IFERROR(F21/4*25,0)</f>
        <v>6.25</v>
      </c>
      <c r="H21" s="74" t="n">
        <v>4</v>
      </c>
      <c r="I21" s="84" t="n">
        <f aca="false">IFERROR(H21/4*15,0)</f>
        <v>15</v>
      </c>
      <c r="J21" s="72" t="n">
        <v>1</v>
      </c>
      <c r="K21" s="84" t="n">
        <f aca="false">IFERROR(J21/4*20,0)</f>
        <v>5</v>
      </c>
      <c r="L21" s="76" t="n">
        <v>3</v>
      </c>
      <c r="M21" s="84" t="n">
        <f aca="false">IFERROR(L21/4*15,0)</f>
        <v>11.25</v>
      </c>
      <c r="N21" s="77" t="n">
        <f aca="false">SUM(E21,G21,I21,K21,M21)</f>
        <v>62.5</v>
      </c>
      <c r="O21" s="78" t="str">
        <f aca="false">IF(N21&gt;=90,"O",IF(N21&gt;=75,"A+",IF(N21&gt;=60,"A",IF(N21&gt;=50,"B+",IF(N21&gt;=40,"B","F")))))</f>
        <v>A</v>
      </c>
      <c r="P21" s="79" t="str">
        <f aca="false">IF(N21&gt;=75,"L3-High",IF(N21&gt;=60,"L2-Medium",IF(N21&gt;=40,"L1-Low","L0-Below")))</f>
        <v>L2-Medium</v>
      </c>
      <c r="Q21" s="80" t="n">
        <f aca="false">N21/100</f>
        <v>0.625</v>
      </c>
      <c r="R21" s="81" t="str">
        <f aca="false">IF(N21&gt;=40,"Pass","Fail")</f>
        <v>Pass</v>
      </c>
      <c r="S21" s="85" t="str">
        <f aca="false">IF(N21&gt;=90,"Outstanding viva performance — exceptional conceptual clarity, technical accuracy, confidence and problem-solving",IF(N21&gt;=75,"Excellent viva — strong technical knowledge and communication; minor areas for refinement",IF(N21&gt;=60,"Good viva — solid understanding demonstrated; improve depth of technical explanation and problem-solving",IF(N21&gt;=40,"Satisfactory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22" customFormat="false" ht="19.5" hidden="false" customHeight="true" outlineLevel="0" collapsed="false">
      <c r="A22" s="40" t="n">
        <v>11</v>
      </c>
      <c r="B22" s="40" t="s">
        <v>166</v>
      </c>
      <c r="C22" s="71" t="s">
        <v>167</v>
      </c>
      <c r="D22" s="75" t="n">
        <v>2</v>
      </c>
      <c r="E22" s="73" t="n">
        <f aca="false">IFERROR(D22/4*25,0)</f>
        <v>12.5</v>
      </c>
      <c r="F22" s="76" t="n">
        <v>3</v>
      </c>
      <c r="G22" s="73" t="n">
        <f aca="false">IFERROR(F22/4*25,0)</f>
        <v>18.75</v>
      </c>
      <c r="H22" s="75" t="n">
        <v>2</v>
      </c>
      <c r="I22" s="73" t="n">
        <f aca="false">IFERROR(H22/4*15,0)</f>
        <v>7.5</v>
      </c>
      <c r="J22" s="76" t="n">
        <v>3</v>
      </c>
      <c r="K22" s="73" t="n">
        <f aca="false">IFERROR(J22/4*20,0)</f>
        <v>15</v>
      </c>
      <c r="L22" s="75" t="n">
        <v>2</v>
      </c>
      <c r="M22" s="73" t="n">
        <f aca="false">IFERROR(L22/4*15,0)</f>
        <v>7.5</v>
      </c>
      <c r="N22" s="77" t="n">
        <f aca="false">SUM(E22,G22,I22,K22,M22)</f>
        <v>61.25</v>
      </c>
      <c r="O22" s="78" t="str">
        <f aca="false">IF(N22&gt;=90,"O",IF(N22&gt;=75,"A+",IF(N22&gt;=60,"A",IF(N22&gt;=50,"B+",IF(N22&gt;=40,"B","F")))))</f>
        <v>A</v>
      </c>
      <c r="P22" s="79" t="str">
        <f aca="false">IF(N22&gt;=75,"L3-High",IF(N22&gt;=60,"L2-Medium",IF(N22&gt;=40,"L1-Low","L0-Below")))</f>
        <v>L2-Medium</v>
      </c>
      <c r="Q22" s="80" t="n">
        <f aca="false">N22/100</f>
        <v>0.6125</v>
      </c>
      <c r="R22" s="81" t="str">
        <f aca="false">IF(N22&gt;=40,"Pass","Fail")</f>
        <v>Pass</v>
      </c>
      <c r="S22" s="82" t="str">
        <f aca="false">IF(N22&gt;=90,"Outstanding viva performance — exceptional conceptual clarity, technical accuracy, confidence and problem-solving",IF(N22&gt;=75,"Excellent viva — strong technical knowledge and communication; minor areas for refinement",IF(N22&gt;=60,"Good viva — solid understanding demonstrated; improve depth of technical explanation and problem-solving",IF(N22&gt;=40,"Satisfactory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23" customFormat="false" ht="19.5" hidden="false" customHeight="true" outlineLevel="0" collapsed="false">
      <c r="A23" s="45" t="n">
        <v>12</v>
      </c>
      <c r="B23" s="45" t="s">
        <v>168</v>
      </c>
      <c r="C23" s="83" t="s">
        <v>169</v>
      </c>
      <c r="D23" s="76" t="n">
        <v>3</v>
      </c>
      <c r="E23" s="84" t="n">
        <f aca="false">IFERROR(D23/4*25,0)</f>
        <v>18.75</v>
      </c>
      <c r="F23" s="76" t="n">
        <v>3</v>
      </c>
      <c r="G23" s="84" t="n">
        <f aca="false">IFERROR(F23/4*25,0)</f>
        <v>18.75</v>
      </c>
      <c r="H23" s="76" t="n">
        <v>3</v>
      </c>
      <c r="I23" s="84" t="n">
        <f aca="false">IFERROR(H23/4*15,0)</f>
        <v>11.25</v>
      </c>
      <c r="J23" s="76" t="n">
        <v>3</v>
      </c>
      <c r="K23" s="84" t="n">
        <f aca="false">IFERROR(J23/4*20,0)</f>
        <v>15</v>
      </c>
      <c r="L23" s="72" t="n">
        <v>1</v>
      </c>
      <c r="M23" s="84" t="n">
        <f aca="false">IFERROR(L23/4*15,0)</f>
        <v>3.75</v>
      </c>
      <c r="N23" s="77" t="n">
        <f aca="false">SUM(E23,G23,I23,K23,M23)</f>
        <v>67.5</v>
      </c>
      <c r="O23" s="78" t="str">
        <f aca="false">IF(N23&gt;=90,"O",IF(N23&gt;=75,"A+",IF(N23&gt;=60,"A",IF(N23&gt;=50,"B+",IF(N23&gt;=40,"B","F")))))</f>
        <v>A</v>
      </c>
      <c r="P23" s="79" t="str">
        <f aca="false">IF(N23&gt;=75,"L3-High",IF(N23&gt;=60,"L2-Medium",IF(N23&gt;=40,"L1-Low","L0-Below")))</f>
        <v>L2-Medium</v>
      </c>
      <c r="Q23" s="80" t="n">
        <f aca="false">N23/100</f>
        <v>0.675</v>
      </c>
      <c r="R23" s="81" t="str">
        <f aca="false">IF(N23&gt;=40,"Pass","Fail")</f>
        <v>Pass</v>
      </c>
      <c r="S23" s="85" t="str">
        <f aca="false">IF(N23&gt;=90,"Outstanding viva performance — exceptional conceptual clarity, technical accuracy, confidence and problem-solving",IF(N23&gt;=75,"Excellent viva — strong technical knowledge and communication; minor areas for refinement",IF(N23&gt;=60,"Good viva — solid understanding demonstrated; improve depth of technical explanation and problem-solving",IF(N23&gt;=40,"Satisfactory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24" customFormat="false" ht="19.5" hidden="false" customHeight="true" outlineLevel="0" collapsed="false">
      <c r="A24" s="40" t="n">
        <v>13</v>
      </c>
      <c r="B24" s="40" t="s">
        <v>170</v>
      </c>
      <c r="C24" s="71" t="s">
        <v>171</v>
      </c>
      <c r="D24" s="75" t="n">
        <v>2</v>
      </c>
      <c r="E24" s="73" t="n">
        <f aca="false">IFERROR(D24/4*25,0)</f>
        <v>12.5</v>
      </c>
      <c r="F24" s="76" t="n">
        <v>3</v>
      </c>
      <c r="G24" s="73" t="n">
        <f aca="false">IFERROR(F24/4*25,0)</f>
        <v>18.75</v>
      </c>
      <c r="H24" s="76" t="n">
        <v>3</v>
      </c>
      <c r="I24" s="73" t="n">
        <f aca="false">IFERROR(H24/4*15,0)</f>
        <v>11.25</v>
      </c>
      <c r="J24" s="75" t="n">
        <v>2</v>
      </c>
      <c r="K24" s="73" t="n">
        <f aca="false">IFERROR(J24/4*20,0)</f>
        <v>10</v>
      </c>
      <c r="L24" s="72" t="n">
        <v>1</v>
      </c>
      <c r="M24" s="73" t="n">
        <f aca="false">IFERROR(L24/4*15,0)</f>
        <v>3.75</v>
      </c>
      <c r="N24" s="77" t="n">
        <f aca="false">SUM(E24,G24,I24,K24,M24)</f>
        <v>56.25</v>
      </c>
      <c r="O24" s="78" t="str">
        <f aca="false">IF(N24&gt;=90,"O",IF(N24&gt;=75,"A+",IF(N24&gt;=60,"A",IF(N24&gt;=50,"B+",IF(N24&gt;=40,"B","F")))))</f>
        <v>B+</v>
      </c>
      <c r="P24" s="79" t="str">
        <f aca="false">IF(N24&gt;=75,"L3-High",IF(N24&gt;=60,"L2-Medium",IF(N24&gt;=40,"L1-Low","L0-Below")))</f>
        <v>L1-Low</v>
      </c>
      <c r="Q24" s="80" t="n">
        <f aca="false">N24/100</f>
        <v>0.5625</v>
      </c>
      <c r="R24" s="81" t="str">
        <f aca="false">IF(N24&gt;=40,"Pass","Fail")</f>
        <v>Pass</v>
      </c>
      <c r="S24" s="82" t="str">
        <f aca="false">IF(N24&gt;=90,"Outstanding viva performance — exceptional conceptual clarity, technical accuracy, confidence and problem-solving",IF(N24&gt;=75,"Excellent viva — strong technical knowledge and communication; minor areas for refinement",IF(N24&gt;=60,"Good viva — solid understanding demonstrated; improve depth of technical explanation and problem-solving",IF(N24&gt;=40,"Satisfactory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25" customFormat="false" ht="19.5" hidden="false" customHeight="true" outlineLevel="0" collapsed="false">
      <c r="A25" s="45" t="n">
        <v>14</v>
      </c>
      <c r="B25" s="45" t="s">
        <v>172</v>
      </c>
      <c r="C25" s="83" t="s">
        <v>173</v>
      </c>
      <c r="D25" s="76" t="n">
        <v>3</v>
      </c>
      <c r="E25" s="84" t="n">
        <f aca="false">IFERROR(D25/4*25,0)</f>
        <v>18.75</v>
      </c>
      <c r="F25" s="75" t="n">
        <v>2</v>
      </c>
      <c r="G25" s="84" t="n">
        <f aca="false">IFERROR(F25/4*25,0)</f>
        <v>12.5</v>
      </c>
      <c r="H25" s="74" t="n">
        <v>4</v>
      </c>
      <c r="I25" s="84" t="n">
        <f aca="false">IFERROR(H25/4*15,0)</f>
        <v>15</v>
      </c>
      <c r="J25" s="76" t="n">
        <v>3</v>
      </c>
      <c r="K25" s="84" t="n">
        <f aca="false">IFERROR(J25/4*20,0)</f>
        <v>15</v>
      </c>
      <c r="L25" s="75" t="n">
        <v>2</v>
      </c>
      <c r="M25" s="84" t="n">
        <f aca="false">IFERROR(L25/4*15,0)</f>
        <v>7.5</v>
      </c>
      <c r="N25" s="77" t="n">
        <f aca="false">SUM(E25,G25,I25,K25,M25)</f>
        <v>68.75</v>
      </c>
      <c r="O25" s="78" t="str">
        <f aca="false">IF(N25&gt;=90,"O",IF(N25&gt;=75,"A+",IF(N25&gt;=60,"A",IF(N25&gt;=50,"B+",IF(N25&gt;=40,"B","F")))))</f>
        <v>A</v>
      </c>
      <c r="P25" s="79" t="str">
        <f aca="false">IF(N25&gt;=75,"L3-High",IF(N25&gt;=60,"L2-Medium",IF(N25&gt;=40,"L1-Low","L0-Below")))</f>
        <v>L2-Medium</v>
      </c>
      <c r="Q25" s="80" t="n">
        <f aca="false">N25/100</f>
        <v>0.6875</v>
      </c>
      <c r="R25" s="81" t="str">
        <f aca="false">IF(N25&gt;=40,"Pass","Fail")</f>
        <v>Pass</v>
      </c>
      <c r="S25" s="85" t="str">
        <f aca="false">IF(N25&gt;=90,"Outstanding viva performance — exceptional conceptual clarity, technical accuracy, confidence and problem-solving",IF(N25&gt;=75,"Excellent viva — strong technical knowledge and communication; minor areas for refinement",IF(N25&gt;=60,"Good viva — solid understanding demonstrated; improve depth of technical explanation and problem-solving",IF(N25&gt;=40,"Satisfactory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26" customFormat="false" ht="19.5" hidden="false" customHeight="true" outlineLevel="0" collapsed="false">
      <c r="A26" s="40" t="n">
        <v>15</v>
      </c>
      <c r="B26" s="40" t="s">
        <v>174</v>
      </c>
      <c r="C26" s="71" t="s">
        <v>175</v>
      </c>
      <c r="D26" s="76" t="n">
        <v>3</v>
      </c>
      <c r="E26" s="73" t="n">
        <f aca="false">IFERROR(D26/4*25,0)</f>
        <v>18.75</v>
      </c>
      <c r="F26" s="72" t="n">
        <v>1</v>
      </c>
      <c r="G26" s="73" t="n">
        <f aca="false">IFERROR(F26/4*25,0)</f>
        <v>6.25</v>
      </c>
      <c r="H26" s="74" t="n">
        <v>4</v>
      </c>
      <c r="I26" s="73" t="n">
        <f aca="false">IFERROR(H26/4*15,0)</f>
        <v>15</v>
      </c>
      <c r="J26" s="72" t="n">
        <v>1</v>
      </c>
      <c r="K26" s="73" t="n">
        <f aca="false">IFERROR(J26/4*20,0)</f>
        <v>5</v>
      </c>
      <c r="L26" s="75" t="n">
        <v>2</v>
      </c>
      <c r="M26" s="73" t="n">
        <f aca="false">IFERROR(L26/4*15,0)</f>
        <v>7.5</v>
      </c>
      <c r="N26" s="77" t="n">
        <f aca="false">SUM(E26,G26,I26,K26,M26)</f>
        <v>52.5</v>
      </c>
      <c r="O26" s="78" t="str">
        <f aca="false">IF(N26&gt;=90,"O",IF(N26&gt;=75,"A+",IF(N26&gt;=60,"A",IF(N26&gt;=50,"B+",IF(N26&gt;=40,"B","F")))))</f>
        <v>B+</v>
      </c>
      <c r="P26" s="79" t="str">
        <f aca="false">IF(N26&gt;=75,"L3-High",IF(N26&gt;=60,"L2-Medium",IF(N26&gt;=40,"L1-Low","L0-Below")))</f>
        <v>L1-Low</v>
      </c>
      <c r="Q26" s="80" t="n">
        <f aca="false">N26/100</f>
        <v>0.525</v>
      </c>
      <c r="R26" s="81" t="str">
        <f aca="false">IF(N26&gt;=40,"Pass","Fail")</f>
        <v>Pass</v>
      </c>
      <c r="S26" s="82" t="str">
        <f aca="false">IF(N26&gt;=90,"Outstanding viva performance — exceptional conceptual clarity, technical accuracy, confidence and problem-solving",IF(N26&gt;=75,"Excellent viva — strong technical knowledge and communication; minor areas for refinement",IF(N26&gt;=60,"Good viva — solid understanding demonstrated; improve depth of technical explanation and problem-solving",IF(N26&gt;=40,"Satisfactory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27" customFormat="false" ht="19.5" hidden="false" customHeight="true" outlineLevel="0" collapsed="false">
      <c r="A27" s="45" t="n">
        <v>16</v>
      </c>
      <c r="B27" s="45" t="s">
        <v>176</v>
      </c>
      <c r="C27" s="83" t="s">
        <v>177</v>
      </c>
      <c r="D27" s="75" t="n">
        <v>2</v>
      </c>
      <c r="E27" s="84" t="n">
        <f aca="false">IFERROR(D27/4*25,0)</f>
        <v>12.5</v>
      </c>
      <c r="F27" s="75" t="n">
        <v>2</v>
      </c>
      <c r="G27" s="84" t="n">
        <f aca="false">IFERROR(F27/4*25,0)</f>
        <v>12.5</v>
      </c>
      <c r="H27" s="75" t="n">
        <v>2</v>
      </c>
      <c r="I27" s="84" t="n">
        <f aca="false">IFERROR(H27/4*15,0)</f>
        <v>7.5</v>
      </c>
      <c r="J27" s="75" t="n">
        <v>2</v>
      </c>
      <c r="K27" s="84" t="n">
        <f aca="false">IFERROR(J27/4*20,0)</f>
        <v>10</v>
      </c>
      <c r="L27" s="74" t="n">
        <v>4</v>
      </c>
      <c r="M27" s="84" t="n">
        <f aca="false">IFERROR(L27/4*15,0)</f>
        <v>15</v>
      </c>
      <c r="N27" s="77" t="n">
        <f aca="false">SUM(E27,G27,I27,K27,M27)</f>
        <v>57.5</v>
      </c>
      <c r="O27" s="78" t="str">
        <f aca="false">IF(N27&gt;=90,"O",IF(N27&gt;=75,"A+",IF(N27&gt;=60,"A",IF(N27&gt;=50,"B+",IF(N27&gt;=40,"B","F")))))</f>
        <v>B+</v>
      </c>
      <c r="P27" s="79" t="str">
        <f aca="false">IF(N27&gt;=75,"L3-High",IF(N27&gt;=60,"L2-Medium",IF(N27&gt;=40,"L1-Low","L0-Below")))</f>
        <v>L1-Low</v>
      </c>
      <c r="Q27" s="80" t="n">
        <f aca="false">N27/100</f>
        <v>0.575</v>
      </c>
      <c r="R27" s="81" t="str">
        <f aca="false">IF(N27&gt;=40,"Pass","Fail")</f>
        <v>Pass</v>
      </c>
      <c r="S27" s="85" t="str">
        <f aca="false">IF(N27&gt;=90,"Outstanding viva performance — exceptional conceptual clarity, technical accuracy, confidence and problem-solving",IF(N27&gt;=75,"Excellent viva — strong technical knowledge and communication; minor areas for refinement",IF(N27&gt;=60,"Good viva — solid understanding demonstrated; improve depth of technical explanation and problem-solving",IF(N27&gt;=40,"Satisfactory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28" customFormat="false" ht="19.5" hidden="false" customHeight="true" outlineLevel="0" collapsed="false">
      <c r="A28" s="40" t="n">
        <v>17</v>
      </c>
      <c r="B28" s="40" t="s">
        <v>178</v>
      </c>
      <c r="C28" s="71" t="s">
        <v>179</v>
      </c>
      <c r="D28" s="75" t="n">
        <v>2</v>
      </c>
      <c r="E28" s="73" t="n">
        <f aca="false">IFERROR(D28/4*25,0)</f>
        <v>12.5</v>
      </c>
      <c r="F28" s="76" t="n">
        <v>3</v>
      </c>
      <c r="G28" s="73" t="n">
        <f aca="false">IFERROR(F28/4*25,0)</f>
        <v>18.75</v>
      </c>
      <c r="H28" s="72" t="n">
        <v>1</v>
      </c>
      <c r="I28" s="73" t="n">
        <f aca="false">IFERROR(H28/4*15,0)</f>
        <v>3.75</v>
      </c>
      <c r="J28" s="72" t="n">
        <v>1</v>
      </c>
      <c r="K28" s="73" t="n">
        <f aca="false">IFERROR(J28/4*20,0)</f>
        <v>5</v>
      </c>
      <c r="L28" s="74" t="n">
        <v>4</v>
      </c>
      <c r="M28" s="73" t="n">
        <f aca="false">IFERROR(L28/4*15,0)</f>
        <v>15</v>
      </c>
      <c r="N28" s="77" t="n">
        <f aca="false">SUM(E28,G28,I28,K28,M28)</f>
        <v>55</v>
      </c>
      <c r="O28" s="78" t="str">
        <f aca="false">IF(N28&gt;=90,"O",IF(N28&gt;=75,"A+",IF(N28&gt;=60,"A",IF(N28&gt;=50,"B+",IF(N28&gt;=40,"B","F")))))</f>
        <v>B+</v>
      </c>
      <c r="P28" s="79" t="str">
        <f aca="false">IF(N28&gt;=75,"L3-High",IF(N28&gt;=60,"L2-Medium",IF(N28&gt;=40,"L1-Low","L0-Below")))</f>
        <v>L1-Low</v>
      </c>
      <c r="Q28" s="80" t="n">
        <f aca="false">N28/100</f>
        <v>0.55</v>
      </c>
      <c r="R28" s="81" t="str">
        <f aca="false">IF(N28&gt;=40,"Pass","Fail")</f>
        <v>Pass</v>
      </c>
      <c r="S28" s="82" t="str">
        <f aca="false">IF(N28&gt;=90,"Outstanding viva performance — exceptional conceptual clarity, technical accuracy, confidence and problem-solving",IF(N28&gt;=75,"Excellent viva — strong technical knowledge and communication; minor areas for refinement",IF(N28&gt;=60,"Good viva — solid understanding demonstrated; improve depth of technical explanation and problem-solving",IF(N28&gt;=40,"Satisfactory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29" customFormat="false" ht="19.5" hidden="false" customHeight="true" outlineLevel="0" collapsed="false">
      <c r="A29" s="45" t="n">
        <v>18</v>
      </c>
      <c r="B29" s="45" t="s">
        <v>180</v>
      </c>
      <c r="C29" s="83" t="s">
        <v>181</v>
      </c>
      <c r="D29" s="75" t="n">
        <v>2</v>
      </c>
      <c r="E29" s="84" t="n">
        <f aca="false">IFERROR(D29/4*25,0)</f>
        <v>12.5</v>
      </c>
      <c r="F29" s="75" t="n">
        <v>2</v>
      </c>
      <c r="G29" s="84" t="n">
        <f aca="false">IFERROR(F29/4*25,0)</f>
        <v>12.5</v>
      </c>
      <c r="H29" s="75" t="n">
        <v>2</v>
      </c>
      <c r="I29" s="84" t="n">
        <f aca="false">IFERROR(H29/4*15,0)</f>
        <v>7.5</v>
      </c>
      <c r="J29" s="75" t="n">
        <v>2</v>
      </c>
      <c r="K29" s="84" t="n">
        <f aca="false">IFERROR(J29/4*20,0)</f>
        <v>10</v>
      </c>
      <c r="L29" s="76" t="n">
        <v>3</v>
      </c>
      <c r="M29" s="84" t="n">
        <f aca="false">IFERROR(L29/4*15,0)</f>
        <v>11.25</v>
      </c>
      <c r="N29" s="77" t="n">
        <f aca="false">SUM(E29,G29,I29,K29,M29)</f>
        <v>53.75</v>
      </c>
      <c r="O29" s="78" t="str">
        <f aca="false">IF(N29&gt;=90,"O",IF(N29&gt;=75,"A+",IF(N29&gt;=60,"A",IF(N29&gt;=50,"B+",IF(N29&gt;=40,"B","F")))))</f>
        <v>B+</v>
      </c>
      <c r="P29" s="79" t="str">
        <f aca="false">IF(N29&gt;=75,"L3-High",IF(N29&gt;=60,"L2-Medium",IF(N29&gt;=40,"L1-Low","L0-Below")))</f>
        <v>L1-Low</v>
      </c>
      <c r="Q29" s="80" t="n">
        <f aca="false">N29/100</f>
        <v>0.5375</v>
      </c>
      <c r="R29" s="81" t="str">
        <f aca="false">IF(N29&gt;=40,"Pass","Fail")</f>
        <v>Pass</v>
      </c>
      <c r="S29" s="85" t="str">
        <f aca="false">IF(N29&gt;=90,"Outstanding viva performance — exceptional conceptual clarity, technical accuracy, confidence and problem-solving",IF(N29&gt;=75,"Excellent viva — strong technical knowledge and communication; minor areas for refinement",IF(N29&gt;=60,"Good viva — solid understanding demonstrated; improve depth of technical explanation and problem-solving",IF(N29&gt;=40,"Satisfactory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30" customFormat="false" ht="19.5" hidden="false" customHeight="true" outlineLevel="0" collapsed="false">
      <c r="A30" s="40" t="n">
        <v>19</v>
      </c>
      <c r="B30" s="40" t="s">
        <v>182</v>
      </c>
      <c r="C30" s="71" t="s">
        <v>183</v>
      </c>
      <c r="D30" s="76" t="n">
        <v>3</v>
      </c>
      <c r="E30" s="73" t="n">
        <f aca="false">IFERROR(D30/4*25,0)</f>
        <v>18.75</v>
      </c>
      <c r="F30" s="75" t="n">
        <v>2</v>
      </c>
      <c r="G30" s="73" t="n">
        <f aca="false">IFERROR(F30/4*25,0)</f>
        <v>12.5</v>
      </c>
      <c r="H30" s="76" t="n">
        <v>3</v>
      </c>
      <c r="I30" s="73" t="n">
        <f aca="false">IFERROR(H30/4*15,0)</f>
        <v>11.25</v>
      </c>
      <c r="J30" s="76" t="n">
        <v>3</v>
      </c>
      <c r="K30" s="73" t="n">
        <f aca="false">IFERROR(J30/4*20,0)</f>
        <v>15</v>
      </c>
      <c r="L30" s="75" t="n">
        <v>2</v>
      </c>
      <c r="M30" s="73" t="n">
        <f aca="false">IFERROR(L30/4*15,0)</f>
        <v>7.5</v>
      </c>
      <c r="N30" s="77" t="n">
        <f aca="false">SUM(E30,G30,I30,K30,M30)</f>
        <v>65</v>
      </c>
      <c r="O30" s="78" t="str">
        <f aca="false">IF(N30&gt;=90,"O",IF(N30&gt;=75,"A+",IF(N30&gt;=60,"A",IF(N30&gt;=50,"B+",IF(N30&gt;=40,"B","F")))))</f>
        <v>A</v>
      </c>
      <c r="P30" s="79" t="str">
        <f aca="false">IF(N30&gt;=75,"L3-High",IF(N30&gt;=60,"L2-Medium",IF(N30&gt;=40,"L1-Low","L0-Below")))</f>
        <v>L2-Medium</v>
      </c>
      <c r="Q30" s="80" t="n">
        <f aca="false">N30/100</f>
        <v>0.65</v>
      </c>
      <c r="R30" s="81" t="str">
        <f aca="false">IF(N30&gt;=40,"Pass","Fail")</f>
        <v>Pass</v>
      </c>
      <c r="S30" s="82" t="str">
        <f aca="false">IF(N30&gt;=90,"Outstanding viva performance — exceptional conceptual clarity, technical accuracy, confidence and problem-solving",IF(N30&gt;=75,"Excellent viva — strong technical knowledge and communication; minor areas for refinement",IF(N30&gt;=60,"Good viva — solid understanding demonstrated; improve depth of technical explanation and problem-solving",IF(N30&gt;=40,"Satisfactory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31" customFormat="false" ht="19.5" hidden="false" customHeight="true" outlineLevel="0" collapsed="false">
      <c r="A31" s="45" t="n">
        <v>20</v>
      </c>
      <c r="B31" s="45" t="s">
        <v>184</v>
      </c>
      <c r="C31" s="83" t="s">
        <v>185</v>
      </c>
      <c r="D31" s="74" t="n">
        <v>4</v>
      </c>
      <c r="E31" s="84" t="n">
        <f aca="false">IFERROR(D31/4*25,0)</f>
        <v>25</v>
      </c>
      <c r="F31" s="75" t="n">
        <v>2</v>
      </c>
      <c r="G31" s="84" t="n">
        <f aca="false">IFERROR(F31/4*25,0)</f>
        <v>12.5</v>
      </c>
      <c r="H31" s="74" t="n">
        <v>4</v>
      </c>
      <c r="I31" s="84" t="n">
        <f aca="false">IFERROR(H31/4*15,0)</f>
        <v>15</v>
      </c>
      <c r="J31" s="75" t="n">
        <v>2</v>
      </c>
      <c r="K31" s="84" t="n">
        <f aca="false">IFERROR(J31/4*20,0)</f>
        <v>10</v>
      </c>
      <c r="L31" s="72" t="n">
        <v>1</v>
      </c>
      <c r="M31" s="84" t="n">
        <f aca="false">IFERROR(L31/4*15,0)</f>
        <v>3.75</v>
      </c>
      <c r="N31" s="77" t="n">
        <f aca="false">SUM(E31,G31,I31,K31,M31)</f>
        <v>66.25</v>
      </c>
      <c r="O31" s="78" t="str">
        <f aca="false">IF(N31&gt;=90,"O",IF(N31&gt;=75,"A+",IF(N31&gt;=60,"A",IF(N31&gt;=50,"B+",IF(N31&gt;=40,"B","F")))))</f>
        <v>A</v>
      </c>
      <c r="P31" s="79" t="str">
        <f aca="false">IF(N31&gt;=75,"L3-High",IF(N31&gt;=60,"L2-Medium",IF(N31&gt;=40,"L1-Low","L0-Below")))</f>
        <v>L2-Medium</v>
      </c>
      <c r="Q31" s="80" t="n">
        <f aca="false">N31/100</f>
        <v>0.6625</v>
      </c>
      <c r="R31" s="81" t="str">
        <f aca="false">IF(N31&gt;=40,"Pass","Fail")</f>
        <v>Pass</v>
      </c>
      <c r="S31" s="85" t="str">
        <f aca="false">IF(N31&gt;=90,"Outstanding viva performance — exceptional conceptual clarity, technical accuracy, confidence and problem-solving",IF(N31&gt;=75,"Excellent viva — strong technical knowledge and communication; minor areas for refinement",IF(N31&gt;=60,"Good viva — solid understanding demonstrated; improve depth of technical explanation and problem-solving",IF(N31&gt;=40,"Satisfactory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32" customFormat="false" ht="19.5" hidden="false" customHeight="true" outlineLevel="0" collapsed="false">
      <c r="A32" s="40" t="n">
        <v>21</v>
      </c>
      <c r="B32" s="40" t="s">
        <v>186</v>
      </c>
      <c r="C32" s="71" t="s">
        <v>187</v>
      </c>
      <c r="D32" s="75" t="n">
        <v>2</v>
      </c>
      <c r="E32" s="73" t="n">
        <f aca="false">IFERROR(D32/4*25,0)</f>
        <v>12.5</v>
      </c>
      <c r="F32" s="75" t="n">
        <v>2</v>
      </c>
      <c r="G32" s="73" t="n">
        <f aca="false">IFERROR(F32/4*25,0)</f>
        <v>12.5</v>
      </c>
      <c r="H32" s="74" t="n">
        <v>4</v>
      </c>
      <c r="I32" s="73" t="n">
        <f aca="false">IFERROR(H32/4*15,0)</f>
        <v>15</v>
      </c>
      <c r="J32" s="76" t="n">
        <v>3</v>
      </c>
      <c r="K32" s="73" t="n">
        <f aca="false">IFERROR(J32/4*20,0)</f>
        <v>15</v>
      </c>
      <c r="L32" s="75" t="n">
        <v>2</v>
      </c>
      <c r="M32" s="73" t="n">
        <f aca="false">IFERROR(L32/4*15,0)</f>
        <v>7.5</v>
      </c>
      <c r="N32" s="77" t="n">
        <f aca="false">SUM(E32,G32,I32,K32,M32)</f>
        <v>62.5</v>
      </c>
      <c r="O32" s="78" t="str">
        <f aca="false">IF(N32&gt;=90,"O",IF(N32&gt;=75,"A+",IF(N32&gt;=60,"A",IF(N32&gt;=50,"B+",IF(N32&gt;=40,"B","F")))))</f>
        <v>A</v>
      </c>
      <c r="P32" s="79" t="str">
        <f aca="false">IF(N32&gt;=75,"L3-High",IF(N32&gt;=60,"L2-Medium",IF(N32&gt;=40,"L1-Low","L0-Below")))</f>
        <v>L2-Medium</v>
      </c>
      <c r="Q32" s="80" t="n">
        <f aca="false">N32/100</f>
        <v>0.625</v>
      </c>
      <c r="R32" s="81" t="str">
        <f aca="false">IF(N32&gt;=40,"Pass","Fail")</f>
        <v>Pass</v>
      </c>
      <c r="S32" s="82" t="str">
        <f aca="false">IF(N32&gt;=90,"Outstanding viva performance — exceptional conceptual clarity, technical accuracy, confidence and problem-solving",IF(N32&gt;=75,"Excellent viva — strong technical knowledge and communication; minor areas for refinement",IF(N32&gt;=60,"Good viva — solid understanding demonstrated; improve depth of technical explanation and problem-solving",IF(N32&gt;=40,"Satisfactory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33" customFormat="false" ht="19.5" hidden="false" customHeight="true" outlineLevel="0" collapsed="false">
      <c r="A33" s="45" t="n">
        <v>22</v>
      </c>
      <c r="B33" s="45" t="s">
        <v>188</v>
      </c>
      <c r="C33" s="83" t="s">
        <v>189</v>
      </c>
      <c r="D33" s="72" t="n">
        <v>1</v>
      </c>
      <c r="E33" s="84" t="n">
        <f aca="false">IFERROR(D33/4*25,0)</f>
        <v>6.25</v>
      </c>
      <c r="F33" s="76" t="n">
        <v>3</v>
      </c>
      <c r="G33" s="84" t="n">
        <f aca="false">IFERROR(F33/4*25,0)</f>
        <v>18.75</v>
      </c>
      <c r="H33" s="76" t="n">
        <v>3</v>
      </c>
      <c r="I33" s="84" t="n">
        <f aca="false">IFERROR(H33/4*15,0)</f>
        <v>11.25</v>
      </c>
      <c r="J33" s="76" t="n">
        <v>3</v>
      </c>
      <c r="K33" s="84" t="n">
        <f aca="false">IFERROR(J33/4*20,0)</f>
        <v>15</v>
      </c>
      <c r="L33" s="74" t="n">
        <v>4</v>
      </c>
      <c r="M33" s="84" t="n">
        <f aca="false">IFERROR(L33/4*15,0)</f>
        <v>15</v>
      </c>
      <c r="N33" s="77" t="n">
        <f aca="false">SUM(E33,G33,I33,K33,M33)</f>
        <v>66.25</v>
      </c>
      <c r="O33" s="78" t="str">
        <f aca="false">IF(N33&gt;=90,"O",IF(N33&gt;=75,"A+",IF(N33&gt;=60,"A",IF(N33&gt;=50,"B+",IF(N33&gt;=40,"B","F")))))</f>
        <v>A</v>
      </c>
      <c r="P33" s="79" t="str">
        <f aca="false">IF(N33&gt;=75,"L3-High",IF(N33&gt;=60,"L2-Medium",IF(N33&gt;=40,"L1-Low","L0-Below")))</f>
        <v>L2-Medium</v>
      </c>
      <c r="Q33" s="80" t="n">
        <f aca="false">N33/100</f>
        <v>0.6625</v>
      </c>
      <c r="R33" s="81" t="str">
        <f aca="false">IF(N33&gt;=40,"Pass","Fail")</f>
        <v>Pass</v>
      </c>
      <c r="S33" s="85" t="str">
        <f aca="false">IF(N33&gt;=90,"Outstanding viva performance — exceptional conceptual clarity, technical accuracy, confidence and problem-solving",IF(N33&gt;=75,"Excellent viva — strong technical knowledge and communication; minor areas for refinement",IF(N33&gt;=60,"Good viva — solid understanding demonstrated; improve depth of technical explanation and problem-solving",IF(N33&gt;=40,"Satisfactory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34" customFormat="false" ht="19.5" hidden="false" customHeight="true" outlineLevel="0" collapsed="false">
      <c r="A34" s="40" t="n">
        <v>23</v>
      </c>
      <c r="B34" s="40" t="s">
        <v>190</v>
      </c>
      <c r="C34" s="71" t="s">
        <v>191</v>
      </c>
      <c r="D34" s="76" t="n">
        <v>3</v>
      </c>
      <c r="E34" s="73" t="n">
        <f aca="false">IFERROR(D34/4*25,0)</f>
        <v>18.75</v>
      </c>
      <c r="F34" s="76" t="n">
        <v>3</v>
      </c>
      <c r="G34" s="73" t="n">
        <f aca="false">IFERROR(F34/4*25,0)</f>
        <v>18.75</v>
      </c>
      <c r="H34" s="72" t="n">
        <v>1</v>
      </c>
      <c r="I34" s="73" t="n">
        <f aca="false">IFERROR(H34/4*15,0)</f>
        <v>3.75</v>
      </c>
      <c r="J34" s="75" t="n">
        <v>2</v>
      </c>
      <c r="K34" s="73" t="n">
        <f aca="false">IFERROR(J34/4*20,0)</f>
        <v>10</v>
      </c>
      <c r="L34" s="76" t="n">
        <v>3</v>
      </c>
      <c r="M34" s="73" t="n">
        <f aca="false">IFERROR(L34/4*15,0)</f>
        <v>11.25</v>
      </c>
      <c r="N34" s="77" t="n">
        <f aca="false">SUM(E34,G34,I34,K34,M34)</f>
        <v>62.5</v>
      </c>
      <c r="O34" s="78" t="str">
        <f aca="false">IF(N34&gt;=90,"O",IF(N34&gt;=75,"A+",IF(N34&gt;=60,"A",IF(N34&gt;=50,"B+",IF(N34&gt;=40,"B","F")))))</f>
        <v>A</v>
      </c>
      <c r="P34" s="79" t="str">
        <f aca="false">IF(N34&gt;=75,"L3-High",IF(N34&gt;=60,"L2-Medium",IF(N34&gt;=40,"L1-Low","L0-Below")))</f>
        <v>L2-Medium</v>
      </c>
      <c r="Q34" s="80" t="n">
        <f aca="false">N34/100</f>
        <v>0.625</v>
      </c>
      <c r="R34" s="81" t="str">
        <f aca="false">IF(N34&gt;=40,"Pass","Fail")</f>
        <v>Pass</v>
      </c>
      <c r="S34" s="82" t="str">
        <f aca="false">IF(N34&gt;=90,"Outstanding viva performance — exceptional conceptual clarity, technical accuracy, confidence and problem-solving",IF(N34&gt;=75,"Excellent viva — strong technical knowledge and communication; minor areas for refinement",IF(N34&gt;=60,"Good viva — solid understanding demonstrated; improve depth of technical explanation and problem-solving",IF(N34&gt;=40,"Satisfactory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35" customFormat="false" ht="19.5" hidden="false" customHeight="true" outlineLevel="0" collapsed="false">
      <c r="A35" s="45" t="n">
        <v>24</v>
      </c>
      <c r="B35" s="45" t="s">
        <v>192</v>
      </c>
      <c r="C35" s="83" t="s">
        <v>193</v>
      </c>
      <c r="D35" s="74" t="n">
        <v>4</v>
      </c>
      <c r="E35" s="84" t="n">
        <f aca="false">IFERROR(D35/4*25,0)</f>
        <v>25</v>
      </c>
      <c r="F35" s="74" t="n">
        <v>4</v>
      </c>
      <c r="G35" s="84" t="n">
        <f aca="false">IFERROR(F35/4*25,0)</f>
        <v>25</v>
      </c>
      <c r="H35" s="74" t="n">
        <v>4</v>
      </c>
      <c r="I35" s="84" t="n">
        <f aca="false">IFERROR(H35/4*15,0)</f>
        <v>15</v>
      </c>
      <c r="J35" s="76" t="n">
        <v>3</v>
      </c>
      <c r="K35" s="84" t="n">
        <f aca="false">IFERROR(J35/4*20,0)</f>
        <v>15</v>
      </c>
      <c r="L35" s="76" t="n">
        <v>3</v>
      </c>
      <c r="M35" s="84" t="n">
        <f aca="false">IFERROR(L35/4*15,0)</f>
        <v>11.25</v>
      </c>
      <c r="N35" s="77" t="n">
        <f aca="false">SUM(E35,G35,I35,K35,M35)</f>
        <v>91.25</v>
      </c>
      <c r="O35" s="78" t="str">
        <f aca="false">IF(N35&gt;=90,"O",IF(N35&gt;=75,"A+",IF(N35&gt;=60,"A",IF(N35&gt;=50,"B+",IF(N35&gt;=40,"B","F")))))</f>
        <v>O</v>
      </c>
      <c r="P35" s="79" t="str">
        <f aca="false">IF(N35&gt;=75,"L3-High",IF(N35&gt;=60,"L2-Medium",IF(N35&gt;=40,"L1-Low","L0-Below")))</f>
        <v>L3-High</v>
      </c>
      <c r="Q35" s="80" t="n">
        <f aca="false">N35/100</f>
        <v>0.9125</v>
      </c>
      <c r="R35" s="81" t="str">
        <f aca="false">IF(N35&gt;=40,"Pass","Fail")</f>
        <v>Pass</v>
      </c>
      <c r="S35" s="85" t="str">
        <f aca="false">IF(N35&gt;=90,"Outstanding viva performance — exceptional conceptual clarity, technical accuracy, confidence and problem-solving",IF(N35&gt;=75,"Excellent viva — strong technical knowledge and communication; minor areas for refinement",IF(N35&gt;=60,"Good viva — solid understanding demonstrated; improve depth of technical explanation and problem-solving",IF(N35&gt;=40,"Satisfactory — basic concepts understood; significant improvement needed in technical accuracy and confidence","Needs major improvement — revisit core concepts; viva preparation and communication skills require intensive development"))))</f>
        <v>Outstanding viva performance — exceptional conceptual clarity, technical accuracy, confidence and problem-solving</v>
      </c>
    </row>
    <row r="36" customFormat="false" ht="19.5" hidden="false" customHeight="true" outlineLevel="0" collapsed="false">
      <c r="A36" s="40" t="n">
        <v>25</v>
      </c>
      <c r="B36" s="40" t="s">
        <v>194</v>
      </c>
      <c r="C36" s="71" t="s">
        <v>195</v>
      </c>
      <c r="D36" s="72" t="n">
        <v>1</v>
      </c>
      <c r="E36" s="73" t="n">
        <f aca="false">IFERROR(D36/4*25,0)</f>
        <v>6.25</v>
      </c>
      <c r="F36" s="75" t="n">
        <v>2</v>
      </c>
      <c r="G36" s="73" t="n">
        <f aca="false">IFERROR(F36/4*25,0)</f>
        <v>12.5</v>
      </c>
      <c r="H36" s="75" t="n">
        <v>2</v>
      </c>
      <c r="I36" s="73" t="n">
        <f aca="false">IFERROR(H36/4*15,0)</f>
        <v>7.5</v>
      </c>
      <c r="J36" s="76" t="n">
        <v>3</v>
      </c>
      <c r="K36" s="73" t="n">
        <f aca="false">IFERROR(J36/4*20,0)</f>
        <v>15</v>
      </c>
      <c r="L36" s="72" t="n">
        <v>1</v>
      </c>
      <c r="M36" s="73" t="n">
        <f aca="false">IFERROR(L36/4*15,0)</f>
        <v>3.75</v>
      </c>
      <c r="N36" s="77" t="n">
        <f aca="false">SUM(E36,G36,I36,K36,M36)</f>
        <v>45</v>
      </c>
      <c r="O36" s="78" t="str">
        <f aca="false">IF(N36&gt;=90,"O",IF(N36&gt;=75,"A+",IF(N36&gt;=60,"A",IF(N36&gt;=50,"B+",IF(N36&gt;=40,"B","F")))))</f>
        <v>B</v>
      </c>
      <c r="P36" s="79" t="str">
        <f aca="false">IF(N36&gt;=75,"L3-High",IF(N36&gt;=60,"L2-Medium",IF(N36&gt;=40,"L1-Low","L0-Below")))</f>
        <v>L1-Low</v>
      </c>
      <c r="Q36" s="80" t="n">
        <f aca="false">N36/100</f>
        <v>0.45</v>
      </c>
      <c r="R36" s="81" t="str">
        <f aca="false">IF(N36&gt;=40,"Pass","Fail")</f>
        <v>Pass</v>
      </c>
      <c r="S36" s="82" t="str">
        <f aca="false">IF(N36&gt;=90,"Outstanding viva performance — exceptional conceptual clarity, technical accuracy, confidence and problem-solving",IF(N36&gt;=75,"Excellent viva — strong technical knowledge and communication; minor areas for refinement",IF(N36&gt;=60,"Good viva — solid understanding demonstrated; improve depth of technical explanation and problem-solving",IF(N36&gt;=40,"Satisfactory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37" customFormat="false" ht="19.5" hidden="false" customHeight="true" outlineLevel="0" collapsed="false">
      <c r="A37" s="45" t="n">
        <v>26</v>
      </c>
      <c r="B37" s="45" t="s">
        <v>196</v>
      </c>
      <c r="C37" s="83" t="s">
        <v>197</v>
      </c>
      <c r="D37" s="76" t="n">
        <v>3</v>
      </c>
      <c r="E37" s="84" t="n">
        <f aca="false">IFERROR(D37/4*25,0)</f>
        <v>18.75</v>
      </c>
      <c r="F37" s="75" t="n">
        <v>2</v>
      </c>
      <c r="G37" s="84" t="n">
        <f aca="false">IFERROR(F37/4*25,0)</f>
        <v>12.5</v>
      </c>
      <c r="H37" s="75" t="n">
        <v>2</v>
      </c>
      <c r="I37" s="84" t="n">
        <f aca="false">IFERROR(H37/4*15,0)</f>
        <v>7.5</v>
      </c>
      <c r="J37" s="74" t="n">
        <v>4</v>
      </c>
      <c r="K37" s="84" t="n">
        <f aca="false">IFERROR(J37/4*20,0)</f>
        <v>20</v>
      </c>
      <c r="L37" s="75" t="n">
        <v>2</v>
      </c>
      <c r="M37" s="84" t="n">
        <f aca="false">IFERROR(L37/4*15,0)</f>
        <v>7.5</v>
      </c>
      <c r="N37" s="77" t="n">
        <f aca="false">SUM(E37,G37,I37,K37,M37)</f>
        <v>66.25</v>
      </c>
      <c r="O37" s="78" t="str">
        <f aca="false">IF(N37&gt;=90,"O",IF(N37&gt;=75,"A+",IF(N37&gt;=60,"A",IF(N37&gt;=50,"B+",IF(N37&gt;=40,"B","F")))))</f>
        <v>A</v>
      </c>
      <c r="P37" s="79" t="str">
        <f aca="false">IF(N37&gt;=75,"L3-High",IF(N37&gt;=60,"L2-Medium",IF(N37&gt;=40,"L1-Low","L0-Below")))</f>
        <v>L2-Medium</v>
      </c>
      <c r="Q37" s="80" t="n">
        <f aca="false">N37/100</f>
        <v>0.6625</v>
      </c>
      <c r="R37" s="81" t="str">
        <f aca="false">IF(N37&gt;=40,"Pass","Fail")</f>
        <v>Pass</v>
      </c>
      <c r="S37" s="85" t="str">
        <f aca="false">IF(N37&gt;=90,"Outstanding viva performance — exceptional conceptual clarity, technical accuracy, confidence and problem-solving",IF(N37&gt;=75,"Excellent viva — strong technical knowledge and communication; minor areas for refinement",IF(N37&gt;=60,"Good viva — solid understanding demonstrated; improve depth of technical explanation and problem-solving",IF(N37&gt;=40,"Satisfactory — basic concepts understood; significant improvement needed in technical accuracy and confidence","Needs major improvement — revisit core concepts; viva preparation and communication skills require intensive development"))))</f>
        <v>Good viva — solid understanding demonstrated; improve depth of technical explanation and problem-solving</v>
      </c>
    </row>
    <row r="38" customFormat="false" ht="19.5" hidden="false" customHeight="true" outlineLevel="0" collapsed="false">
      <c r="A38" s="40" t="n">
        <v>27</v>
      </c>
      <c r="B38" s="40" t="s">
        <v>198</v>
      </c>
      <c r="C38" s="71" t="s">
        <v>199</v>
      </c>
      <c r="D38" s="72" t="n">
        <v>1</v>
      </c>
      <c r="E38" s="73" t="n">
        <f aca="false">IFERROR(D38/4*25,0)</f>
        <v>6.25</v>
      </c>
      <c r="F38" s="72" t="n">
        <v>1</v>
      </c>
      <c r="G38" s="73" t="n">
        <f aca="false">IFERROR(F38/4*25,0)</f>
        <v>6.25</v>
      </c>
      <c r="H38" s="75" t="n">
        <v>2</v>
      </c>
      <c r="I38" s="73" t="n">
        <f aca="false">IFERROR(H38/4*15,0)</f>
        <v>7.5</v>
      </c>
      <c r="J38" s="76" t="n">
        <v>3</v>
      </c>
      <c r="K38" s="73" t="n">
        <f aca="false">IFERROR(J38/4*20,0)</f>
        <v>15</v>
      </c>
      <c r="L38" s="76" t="n">
        <v>3</v>
      </c>
      <c r="M38" s="73" t="n">
        <f aca="false">IFERROR(L38/4*15,0)</f>
        <v>11.25</v>
      </c>
      <c r="N38" s="77" t="n">
        <f aca="false">SUM(E38,G38,I38,K38,M38)</f>
        <v>46.25</v>
      </c>
      <c r="O38" s="78" t="str">
        <f aca="false">IF(N38&gt;=90,"O",IF(N38&gt;=75,"A+",IF(N38&gt;=60,"A",IF(N38&gt;=50,"B+",IF(N38&gt;=40,"B","F")))))</f>
        <v>B</v>
      </c>
      <c r="P38" s="79" t="str">
        <f aca="false">IF(N38&gt;=75,"L3-High",IF(N38&gt;=60,"L2-Medium",IF(N38&gt;=40,"L1-Low","L0-Below")))</f>
        <v>L1-Low</v>
      </c>
      <c r="Q38" s="80" t="n">
        <f aca="false">N38/100</f>
        <v>0.4625</v>
      </c>
      <c r="R38" s="81" t="str">
        <f aca="false">IF(N38&gt;=40,"Pass","Fail")</f>
        <v>Pass</v>
      </c>
      <c r="S38" s="82" t="str">
        <f aca="false">IF(N38&gt;=90,"Outstanding viva performance — exceptional conceptual clarity, technical accuracy, confidence and problem-solving",IF(N38&gt;=75,"Excellent viva — strong technical knowledge and communication; minor areas for refinement",IF(N38&gt;=60,"Good viva — solid understanding demonstrated; improve depth of technical explanation and problem-solving",IF(N38&gt;=40,"Satisfactory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39" customFormat="false" ht="19.5" hidden="false" customHeight="true" outlineLevel="0" collapsed="false">
      <c r="A39" s="45" t="n">
        <v>28</v>
      </c>
      <c r="B39" s="45" t="s">
        <v>200</v>
      </c>
      <c r="C39" s="83" t="s">
        <v>201</v>
      </c>
      <c r="D39" s="72" t="n">
        <v>1</v>
      </c>
      <c r="E39" s="84" t="n">
        <f aca="false">IFERROR(D39/4*25,0)</f>
        <v>6.25</v>
      </c>
      <c r="F39" s="72" t="n">
        <v>1</v>
      </c>
      <c r="G39" s="84" t="n">
        <f aca="false">IFERROR(F39/4*25,0)</f>
        <v>6.25</v>
      </c>
      <c r="H39" s="72" t="n">
        <v>1</v>
      </c>
      <c r="I39" s="84" t="n">
        <f aca="false">IFERROR(H39/4*15,0)</f>
        <v>3.75</v>
      </c>
      <c r="J39" s="76" t="n">
        <v>3</v>
      </c>
      <c r="K39" s="84" t="n">
        <f aca="false">IFERROR(J39/4*20,0)</f>
        <v>15</v>
      </c>
      <c r="L39" s="76" t="n">
        <v>3</v>
      </c>
      <c r="M39" s="84" t="n">
        <f aca="false">IFERROR(L39/4*15,0)</f>
        <v>11.25</v>
      </c>
      <c r="N39" s="77" t="n">
        <f aca="false">SUM(E39,G39,I39,K39,M39)</f>
        <v>42.5</v>
      </c>
      <c r="O39" s="78" t="str">
        <f aca="false">IF(N39&gt;=90,"O",IF(N39&gt;=75,"A+",IF(N39&gt;=60,"A",IF(N39&gt;=50,"B+",IF(N39&gt;=40,"B","F")))))</f>
        <v>B</v>
      </c>
      <c r="P39" s="79" t="str">
        <f aca="false">IF(N39&gt;=75,"L3-High",IF(N39&gt;=60,"L2-Medium",IF(N39&gt;=40,"L1-Low","L0-Below")))</f>
        <v>L1-Low</v>
      </c>
      <c r="Q39" s="80" t="n">
        <f aca="false">N39/100</f>
        <v>0.425</v>
      </c>
      <c r="R39" s="81" t="str">
        <f aca="false">IF(N39&gt;=40,"Pass","Fail")</f>
        <v>Pass</v>
      </c>
      <c r="S39" s="85" t="str">
        <f aca="false">IF(N39&gt;=90,"Outstanding viva performance — exceptional conceptual clarity, technical accuracy, confidence and problem-solving",IF(N39&gt;=75,"Excellent viva — strong technical knowledge and communication; minor areas for refinement",IF(N39&gt;=60,"Good viva — solid understanding demonstrated; improve depth of technical explanation and problem-solving",IF(N39&gt;=40,"Satisfactory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40" customFormat="false" ht="19.5" hidden="false" customHeight="true" outlineLevel="0" collapsed="false">
      <c r="A40" s="40" t="n">
        <v>29</v>
      </c>
      <c r="B40" s="40" t="s">
        <v>202</v>
      </c>
      <c r="C40" s="71" t="s">
        <v>203</v>
      </c>
      <c r="D40" s="75" t="n">
        <v>2</v>
      </c>
      <c r="E40" s="73" t="n">
        <f aca="false">IFERROR(D40/4*25,0)</f>
        <v>12.5</v>
      </c>
      <c r="F40" s="76" t="n">
        <v>3</v>
      </c>
      <c r="G40" s="73" t="n">
        <f aca="false">IFERROR(F40/4*25,0)</f>
        <v>18.75</v>
      </c>
      <c r="H40" s="76" t="n">
        <v>3</v>
      </c>
      <c r="I40" s="73" t="n">
        <f aca="false">IFERROR(H40/4*15,0)</f>
        <v>11.25</v>
      </c>
      <c r="J40" s="75" t="n">
        <v>2</v>
      </c>
      <c r="K40" s="73" t="n">
        <f aca="false">IFERROR(J40/4*20,0)</f>
        <v>10</v>
      </c>
      <c r="L40" s="72" t="n">
        <v>1</v>
      </c>
      <c r="M40" s="73" t="n">
        <f aca="false">IFERROR(L40/4*15,0)</f>
        <v>3.75</v>
      </c>
      <c r="N40" s="77" t="n">
        <f aca="false">SUM(E40,G40,I40,K40,M40)</f>
        <v>56.25</v>
      </c>
      <c r="O40" s="78" t="str">
        <f aca="false">IF(N40&gt;=90,"O",IF(N40&gt;=75,"A+",IF(N40&gt;=60,"A",IF(N40&gt;=50,"B+",IF(N40&gt;=40,"B","F")))))</f>
        <v>B+</v>
      </c>
      <c r="P40" s="79" t="str">
        <f aca="false">IF(N40&gt;=75,"L3-High",IF(N40&gt;=60,"L2-Medium",IF(N40&gt;=40,"L1-Low","L0-Below")))</f>
        <v>L1-Low</v>
      </c>
      <c r="Q40" s="80" t="n">
        <f aca="false">N40/100</f>
        <v>0.5625</v>
      </c>
      <c r="R40" s="81" t="str">
        <f aca="false">IF(N40&gt;=40,"Pass","Fail")</f>
        <v>Pass</v>
      </c>
      <c r="S40" s="82" t="str">
        <f aca="false">IF(N40&gt;=90,"Outstanding viva performance — exceptional conceptual clarity, technical accuracy, confidence and problem-solving",IF(N40&gt;=75,"Excellent viva — strong technical knowledge and communication; minor areas for refinement",IF(N40&gt;=60,"Good viva — solid understanding demonstrated; improve depth of technical explanation and problem-solving",IF(N40&gt;=40,"Satisfactory — basic concepts understood; significant improvement needed in technical accuracy and confidence","Needs major improvement — revisit core concepts; viva preparation and communication skills require intensive development"))))</f>
        <v>Satisfactory — basic concepts understood; significant improvement needed in technical accuracy and confidence</v>
      </c>
    </row>
    <row r="41" customFormat="false" ht="19.5" hidden="false" customHeight="true" outlineLevel="0" collapsed="false">
      <c r="A41" s="45" t="n">
        <v>30</v>
      </c>
      <c r="B41" s="45" t="s">
        <v>204</v>
      </c>
      <c r="C41" s="83" t="s">
        <v>205</v>
      </c>
      <c r="D41" s="74" t="n">
        <v>4</v>
      </c>
      <c r="E41" s="84" t="n">
        <f aca="false">IFERROR(D41/4*25,0)</f>
        <v>25</v>
      </c>
      <c r="F41" s="74" t="n">
        <v>4</v>
      </c>
      <c r="G41" s="84" t="n">
        <f aca="false">IFERROR(F41/4*25,0)</f>
        <v>25</v>
      </c>
      <c r="H41" s="76" t="n">
        <v>3</v>
      </c>
      <c r="I41" s="84" t="n">
        <f aca="false">IFERROR(H41/4*15,0)</f>
        <v>11.25</v>
      </c>
      <c r="J41" s="76" t="n">
        <v>3</v>
      </c>
      <c r="K41" s="84" t="n">
        <f aca="false">IFERROR(J41/4*20,0)</f>
        <v>15</v>
      </c>
      <c r="L41" s="76" t="n">
        <v>3</v>
      </c>
      <c r="M41" s="84" t="n">
        <f aca="false">IFERROR(L41/4*15,0)</f>
        <v>11.25</v>
      </c>
      <c r="N41" s="77" t="n">
        <f aca="false">SUM(E41,G41,I41,K41,M41)</f>
        <v>87.5</v>
      </c>
      <c r="O41" s="78" t="str">
        <f aca="false">IF(N41&gt;=90,"O",IF(N41&gt;=75,"A+",IF(N41&gt;=60,"A",IF(N41&gt;=50,"B+",IF(N41&gt;=40,"B","F")))))</f>
        <v>A+</v>
      </c>
      <c r="P41" s="79" t="str">
        <f aca="false">IF(N41&gt;=75,"L3-High",IF(N41&gt;=60,"L2-Medium",IF(N41&gt;=40,"L1-Low","L0-Below")))</f>
        <v>L3-High</v>
      </c>
      <c r="Q41" s="80" t="n">
        <f aca="false">N41/100</f>
        <v>0.875</v>
      </c>
      <c r="R41" s="81" t="str">
        <f aca="false">IF(N41&gt;=40,"Pass","Fail")</f>
        <v>Pass</v>
      </c>
      <c r="S41" s="85" t="str">
        <f aca="false">IF(N41&gt;=90,"Outstanding viva performance — exceptional conceptual clarity, technical accuracy, confidence and problem-solving",IF(N41&gt;=75,"Excellent viva — strong technical knowledge and communication; minor areas for refinement",IF(N41&gt;=60,"Good viva — solid understanding demonstrated; improve depth of technical explanation and problem-solving",IF(N41&gt;=40,"Satisfactory — basic concepts understood; significant improvement needed in technical accuracy and confidence","Needs major improvement — revisit core concepts; viva preparation and communication skills require intensive development"))))</f>
        <v>Excellent viva — strong technical knowledge and communication; minor areas for refinement</v>
      </c>
    </row>
    <row r="43" customFormat="false" ht="21.75" hidden="false" customHeight="true" outlineLevel="0" collapsed="false">
      <c r="A43" s="86" t="s">
        <v>206</v>
      </c>
      <c r="B43" s="86"/>
      <c r="C43" s="86"/>
      <c r="D43" s="87" t="n">
        <f aca="false">AVERAGE(D12:D41)</f>
        <v>2.43333333333333</v>
      </c>
      <c r="E43" s="87" t="n">
        <f aca="false">AVERAGE(E12:E41)</f>
        <v>15.2083333333333</v>
      </c>
      <c r="F43" s="87" t="n">
        <f aca="false">AVERAGE(F12:F41)</f>
        <v>2.36666666666667</v>
      </c>
      <c r="G43" s="87" t="n">
        <f aca="false">AVERAGE(G12:G41)</f>
        <v>14.7916666666667</v>
      </c>
      <c r="H43" s="87" t="n">
        <f aca="false">AVERAGE(H12:H41)</f>
        <v>2.33333333333333</v>
      </c>
      <c r="I43" s="87" t="n">
        <f aca="false">AVERAGE(I12:I41)</f>
        <v>8.75</v>
      </c>
      <c r="J43" s="87" t="n">
        <f aca="false">AVERAGE(J12:J41)</f>
        <v>2.4</v>
      </c>
      <c r="K43" s="87" t="n">
        <f aca="false">AVERAGE(K12:K41)</f>
        <v>12</v>
      </c>
      <c r="L43" s="87" t="n">
        <f aca="false">AVERAGE(L12:L41)</f>
        <v>2.53333333333333</v>
      </c>
      <c r="M43" s="87" t="n">
        <f aca="false">AVERAGE(M12:M41)</f>
        <v>9.5</v>
      </c>
      <c r="N43" s="88" t="n">
        <f aca="false">AVERAGE(N12:N41)</f>
        <v>60.25</v>
      </c>
      <c r="O43" s="37"/>
      <c r="P43" s="37"/>
      <c r="Q43" s="37"/>
      <c r="R43" s="37"/>
      <c r="S43" s="37"/>
    </row>
    <row r="44" customFormat="false" ht="21.75" hidden="false" customHeight="true" outlineLevel="0" collapsed="false">
      <c r="A44" s="89" t="s">
        <v>207</v>
      </c>
      <c r="B44" s="89"/>
      <c r="C44" s="89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1" t="n">
        <f aca="false">MAX(N12:N41)</f>
        <v>91.25</v>
      </c>
      <c r="O44" s="90"/>
      <c r="P44" s="90"/>
      <c r="Q44" s="90"/>
      <c r="R44" s="90"/>
      <c r="S44" s="90"/>
    </row>
    <row r="45" customFormat="false" ht="21.75" hidden="false" customHeight="true" outlineLevel="0" collapsed="false">
      <c r="A45" s="92" t="s">
        <v>208</v>
      </c>
      <c r="B45" s="92"/>
      <c r="C45" s="92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4" t="n">
        <f aca="false">MIN(N12:N41)</f>
        <v>35</v>
      </c>
      <c r="O45" s="93"/>
      <c r="P45" s="93"/>
      <c r="Q45" s="93"/>
      <c r="R45" s="93"/>
      <c r="S45" s="93"/>
    </row>
    <row r="46" customFormat="false" ht="21.75" hidden="false" customHeight="true" outlineLevel="0" collapsed="false">
      <c r="A46" s="95" t="s">
        <v>209</v>
      </c>
      <c r="B46" s="95"/>
      <c r="C46" s="95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7" t="n">
        <f aca="false">COUNTIF(N12:N41,"&gt;=40")</f>
        <v>29</v>
      </c>
      <c r="O46" s="96"/>
      <c r="P46" s="96"/>
      <c r="Q46" s="96"/>
      <c r="R46" s="96"/>
      <c r="S46" s="96"/>
    </row>
    <row r="47" customFormat="false" ht="21.75" hidden="false" customHeight="true" outlineLevel="0" collapsed="false">
      <c r="A47" s="98" t="s">
        <v>210</v>
      </c>
      <c r="B47" s="98"/>
      <c r="C47" s="98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100" t="n">
        <f aca="false">COUNTIF(N12:N41,"&lt;40")</f>
        <v>1</v>
      </c>
      <c r="O47" s="99"/>
      <c r="P47" s="99"/>
      <c r="Q47" s="99"/>
      <c r="R47" s="99"/>
      <c r="S47" s="99"/>
    </row>
    <row r="48" customFormat="false" ht="21.75" hidden="false" customHeight="true" outlineLevel="0" collapsed="false">
      <c r="A48" s="101" t="s">
        <v>211</v>
      </c>
      <c r="B48" s="101"/>
      <c r="C48" s="101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3" t="n">
        <f aca="false">COUNTIF(N12:N41,"&gt;=75")</f>
        <v>4</v>
      </c>
      <c r="O48" s="102"/>
      <c r="P48" s="102"/>
      <c r="Q48" s="102"/>
      <c r="R48" s="102"/>
      <c r="S48" s="102"/>
    </row>
    <row r="49" customFormat="false" ht="21.75" hidden="false" customHeight="true" outlineLevel="0" collapsed="false">
      <c r="A49" s="104" t="s">
        <v>212</v>
      </c>
      <c r="B49" s="104"/>
      <c r="C49" s="104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6" t="n">
        <f aca="false">AVERAGE(Q12:Q41)</f>
        <v>0.6025</v>
      </c>
      <c r="O49" s="105"/>
      <c r="P49" s="105"/>
      <c r="Q49" s="105"/>
      <c r="R49" s="105"/>
      <c r="S49" s="105"/>
    </row>
    <row r="51" customFormat="false" ht="21.75" hidden="false" customHeight="true" outlineLevel="0" collapsed="false">
      <c r="A51" s="86" t="s">
        <v>213</v>
      </c>
      <c r="B51" s="86"/>
      <c r="C51" s="86"/>
      <c r="D51" s="107" t="s">
        <v>214</v>
      </c>
      <c r="E51" s="108" t="n">
        <f aca="false">COUNTIF(N12:N41,"&gt;=90")</f>
        <v>1</v>
      </c>
      <c r="F51" s="107" t="s">
        <v>215</v>
      </c>
      <c r="G51" s="108" t="n">
        <f aca="false">COUNTIF(N12:N41,"&gt;=75")</f>
        <v>4</v>
      </c>
      <c r="H51" s="107" t="s">
        <v>216</v>
      </c>
      <c r="I51" s="108" t="n">
        <f aca="false">COUNTIF(N12:N41,"&gt;=60")</f>
        <v>16</v>
      </c>
      <c r="J51" s="107" t="s">
        <v>217</v>
      </c>
      <c r="K51" s="108" t="n">
        <f aca="false">COUNTIF(N12:N41,"&gt;=50")</f>
        <v>24</v>
      </c>
      <c r="L51" s="107" t="s">
        <v>218</v>
      </c>
      <c r="M51" s="108" t="n">
        <f aca="false">COUNTIF(N12:N41,"&gt;=40")</f>
        <v>29</v>
      </c>
      <c r="N51" s="107" t="s">
        <v>219</v>
      </c>
      <c r="O51" s="108" t="n">
        <f aca="false">COUNTIF(N12:N41,"&lt;40")</f>
        <v>1</v>
      </c>
    </row>
  </sheetData>
  <mergeCells count="24">
    <mergeCell ref="A1:S1"/>
    <mergeCell ref="A2:S2"/>
    <mergeCell ref="A7:C7"/>
    <mergeCell ref="H7:S7"/>
    <mergeCell ref="A9:C11"/>
    <mergeCell ref="D9:E9"/>
    <mergeCell ref="F9:G9"/>
    <mergeCell ref="H9:I9"/>
    <mergeCell ref="J9:K9"/>
    <mergeCell ref="L9:M9"/>
    <mergeCell ref="N9:N11"/>
    <mergeCell ref="O9:O11"/>
    <mergeCell ref="P9:P11"/>
    <mergeCell ref="Q9:Q11"/>
    <mergeCell ref="R9:R11"/>
    <mergeCell ref="S9:S11"/>
    <mergeCell ref="A43:C43"/>
    <mergeCell ref="A44:C44"/>
    <mergeCell ref="A45:C45"/>
    <mergeCell ref="A46:C46"/>
    <mergeCell ref="A47:C47"/>
    <mergeCell ref="A48:C48"/>
    <mergeCell ref="A49:C49"/>
    <mergeCell ref="A51:C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33" min="4" style="1" width="7"/>
    <col collapsed="false" customWidth="true" hidden="false" outlineLevel="0" max="34" min="34" style="1" width="10"/>
    <col collapsed="false" customWidth="true" hidden="false" outlineLevel="0" max="35" min="35" style="1" width="11"/>
    <col collapsed="false" customWidth="true" hidden="false" outlineLevel="0" max="36" min="36" style="1" width="9"/>
    <col collapsed="false" customWidth="true" hidden="false" outlineLevel="0" max="37" min="37" style="1" width="13"/>
    <col collapsed="false" customWidth="true" hidden="false" outlineLevel="0" max="38" min="38" style="1" width="9"/>
  </cols>
  <sheetData>
    <row r="1" customFormat="false" ht="43.5" hidden="false" customHeight="true" outlineLevel="0" collapsed="false">
      <c r="A1" s="109" t="s">
        <v>220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</row>
    <row r="2" customFormat="false" ht="15.75" hidden="false" customHeight="true" outlineLevel="0" collapsed="false">
      <c r="A2" s="54" t="s">
        <v>221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</row>
    <row r="3" customFormat="false" ht="7.5" hidden="false" customHeight="true" outlineLevel="0" collapsed="false"/>
    <row r="4" customFormat="false" ht="24" hidden="false" customHeight="true" outlineLevel="0" collapsed="false">
      <c r="A4" s="49" t="s">
        <v>222</v>
      </c>
      <c r="B4" s="49"/>
      <c r="C4" s="49"/>
      <c r="D4" s="110" t="s">
        <v>223</v>
      </c>
      <c r="E4" s="110"/>
      <c r="F4" s="110"/>
      <c r="G4" s="110"/>
      <c r="H4" s="110"/>
      <c r="I4" s="110"/>
      <c r="J4" s="110"/>
      <c r="K4" s="110"/>
      <c r="L4" s="110"/>
      <c r="M4" s="110"/>
      <c r="N4" s="21" t="s">
        <v>224</v>
      </c>
      <c r="O4" s="21"/>
      <c r="P4" s="21"/>
      <c r="Q4" s="21"/>
      <c r="R4" s="21"/>
      <c r="S4" s="21"/>
      <c r="T4" s="21"/>
      <c r="U4" s="21"/>
      <c r="V4" s="21"/>
      <c r="W4" s="21"/>
      <c r="X4" s="18" t="s">
        <v>225</v>
      </c>
      <c r="Y4" s="18"/>
      <c r="Z4" s="18"/>
      <c r="AA4" s="18"/>
      <c r="AB4" s="18"/>
      <c r="AC4" s="18"/>
      <c r="AD4" s="18"/>
      <c r="AE4" s="18"/>
      <c r="AF4" s="18"/>
      <c r="AG4" s="18"/>
      <c r="AH4" s="18" t="s">
        <v>226</v>
      </c>
      <c r="AI4" s="111" t="s">
        <v>227</v>
      </c>
      <c r="AJ4" s="21" t="s">
        <v>135</v>
      </c>
      <c r="AK4" s="16" t="s">
        <v>228</v>
      </c>
      <c r="AL4" s="112" t="s">
        <v>138</v>
      </c>
    </row>
    <row r="5" customFormat="false" ht="21.75" hidden="false" customHeight="true" outlineLevel="0" collapsed="false">
      <c r="A5" s="49" t="s">
        <v>229</v>
      </c>
      <c r="B5" s="49"/>
      <c r="C5" s="49"/>
      <c r="D5" s="113" t="s">
        <v>230</v>
      </c>
      <c r="E5" s="113" t="s">
        <v>231</v>
      </c>
      <c r="F5" s="113" t="s">
        <v>232</v>
      </c>
      <c r="G5" s="113" t="s">
        <v>233</v>
      </c>
      <c r="H5" s="113" t="s">
        <v>234</v>
      </c>
      <c r="I5" s="113" t="s">
        <v>235</v>
      </c>
      <c r="J5" s="113" t="s">
        <v>236</v>
      </c>
      <c r="K5" s="113" t="s">
        <v>237</v>
      </c>
      <c r="L5" s="113" t="s">
        <v>238</v>
      </c>
      <c r="M5" s="113" t="s">
        <v>239</v>
      </c>
      <c r="N5" s="114" t="s">
        <v>230</v>
      </c>
      <c r="O5" s="114" t="s">
        <v>231</v>
      </c>
      <c r="P5" s="114" t="s">
        <v>232</v>
      </c>
      <c r="Q5" s="114" t="s">
        <v>233</v>
      </c>
      <c r="R5" s="114" t="s">
        <v>234</v>
      </c>
      <c r="S5" s="114" t="s">
        <v>235</v>
      </c>
      <c r="T5" s="114" t="s">
        <v>236</v>
      </c>
      <c r="U5" s="114" t="s">
        <v>237</v>
      </c>
      <c r="V5" s="114" t="s">
        <v>238</v>
      </c>
      <c r="W5" s="114" t="s">
        <v>239</v>
      </c>
      <c r="X5" s="115" t="s">
        <v>230</v>
      </c>
      <c r="Y5" s="115" t="s">
        <v>231</v>
      </c>
      <c r="Z5" s="115" t="s">
        <v>232</v>
      </c>
      <c r="AA5" s="115" t="s">
        <v>233</v>
      </c>
      <c r="AB5" s="115" t="s">
        <v>234</v>
      </c>
      <c r="AC5" s="115" t="s">
        <v>235</v>
      </c>
      <c r="AD5" s="115" t="s">
        <v>236</v>
      </c>
      <c r="AE5" s="115" t="s">
        <v>237</v>
      </c>
      <c r="AF5" s="115" t="s">
        <v>238</v>
      </c>
      <c r="AG5" s="115" t="s">
        <v>239</v>
      </c>
      <c r="AH5" s="116" t="s">
        <v>240</v>
      </c>
      <c r="AI5" s="99"/>
      <c r="AJ5" s="99"/>
      <c r="AK5" s="99"/>
      <c r="AL5" s="99"/>
    </row>
    <row r="6" customFormat="false" ht="19.5" hidden="false" customHeight="true" outlineLevel="0" collapsed="false">
      <c r="A6" s="40" t="n">
        <v>1</v>
      </c>
      <c r="B6" s="40" t="s">
        <v>146</v>
      </c>
      <c r="C6" s="71" t="s">
        <v>147</v>
      </c>
      <c r="D6" s="117" t="n">
        <v>2</v>
      </c>
      <c r="E6" s="73" t="n">
        <f aca="false">IFERROR(D6/4*25,0)</f>
        <v>12.5</v>
      </c>
      <c r="F6" s="118" t="n">
        <v>3</v>
      </c>
      <c r="G6" s="73" t="n">
        <f aca="false">IFERROR(F6/4*25,0)</f>
        <v>18.75</v>
      </c>
      <c r="H6" s="119" t="n">
        <v>4</v>
      </c>
      <c r="I6" s="73" t="n">
        <f aca="false">IFERROR(H6/4*15,0)</f>
        <v>15</v>
      </c>
      <c r="J6" s="120" t="n">
        <v>1</v>
      </c>
      <c r="K6" s="73" t="n">
        <f aca="false">IFERROR(J6/4*20,0)</f>
        <v>5</v>
      </c>
      <c r="L6" s="118" t="n">
        <v>3</v>
      </c>
      <c r="M6" s="73" t="n">
        <f aca="false">IFERROR(L6/4*15,0)</f>
        <v>11.25</v>
      </c>
      <c r="N6" s="120" t="n">
        <v>1</v>
      </c>
      <c r="O6" s="73" t="n">
        <f aca="false">IFERROR(N6/4*25,0)</f>
        <v>6.25</v>
      </c>
      <c r="P6" s="119" t="n">
        <v>4</v>
      </c>
      <c r="Q6" s="73" t="n">
        <f aca="false">IFERROR(P6/4*25,0)</f>
        <v>25</v>
      </c>
      <c r="R6" s="117" t="n">
        <v>2</v>
      </c>
      <c r="S6" s="73" t="n">
        <f aca="false">IFERROR(R6/4*15,0)</f>
        <v>7.5</v>
      </c>
      <c r="T6" s="120" t="n">
        <v>1</v>
      </c>
      <c r="U6" s="73" t="n">
        <f aca="false">IFERROR(T6/4*20,0)</f>
        <v>5</v>
      </c>
      <c r="V6" s="119" t="n">
        <v>4</v>
      </c>
      <c r="W6" s="73" t="n">
        <f aca="false">IFERROR(V6/4*15,0)</f>
        <v>15</v>
      </c>
      <c r="X6" s="119" t="n">
        <v>4</v>
      </c>
      <c r="Y6" s="73" t="n">
        <f aca="false">IFERROR(X6/4*25,0)</f>
        <v>25</v>
      </c>
      <c r="Z6" s="118" t="n">
        <v>3</v>
      </c>
      <c r="AA6" s="73" t="n">
        <f aca="false">IFERROR(Z6/4*25,0)</f>
        <v>18.75</v>
      </c>
      <c r="AB6" s="119" t="n">
        <v>4</v>
      </c>
      <c r="AC6" s="73" t="n">
        <f aca="false">IFERROR(AB6/4*15,0)</f>
        <v>15</v>
      </c>
      <c r="AD6" s="120" t="n">
        <v>1</v>
      </c>
      <c r="AE6" s="73" t="n">
        <f aca="false">IFERROR(AD6/4*20,0)</f>
        <v>5</v>
      </c>
      <c r="AF6" s="120" t="n">
        <v>1</v>
      </c>
      <c r="AG6" s="73" t="n">
        <f aca="false">IFERROR(AF6/4*15,0)</f>
        <v>3.75</v>
      </c>
      <c r="AH6" s="121" t="n">
        <f aca="false">SUM(Y6,AA6,AC6,AE6,AG6)</f>
        <v>67.5</v>
      </c>
      <c r="AI6" s="122" t="n">
        <f aca="false">IFERROR(AVERAGE(N6,X6,AH6),0)</f>
        <v>24.1666666666667</v>
      </c>
      <c r="AJ6" s="33" t="str">
        <f aca="false">IF(AI6&gt;=90,"O",IF(AI6&gt;=75,"A+",IF(AI6&gt;=60,"A",IF(AI6&gt;=50,"B+",IF(AI6&gt;=40,"B","F")))))</f>
        <v>F</v>
      </c>
      <c r="AK6" s="123" t="str">
        <f aca="false">IF(AI6&gt;=75,"L3-High",IF(AI6&gt;=60,"L2-Medium",IF(AI6&gt;=40,"L1-Low","L0-Below")))</f>
        <v>L0-Below</v>
      </c>
      <c r="AL6" s="81" t="str">
        <f aca="false">IF(AI6&gt;=40,"Pass","Fail")</f>
        <v>Fail</v>
      </c>
    </row>
    <row r="7" customFormat="false" ht="19.5" hidden="false" customHeight="true" outlineLevel="0" collapsed="false">
      <c r="A7" s="45" t="n">
        <v>2</v>
      </c>
      <c r="B7" s="45" t="s">
        <v>148</v>
      </c>
      <c r="C7" s="83" t="s">
        <v>149</v>
      </c>
      <c r="D7" s="118" t="n">
        <v>3</v>
      </c>
      <c r="E7" s="84" t="n">
        <f aca="false">IFERROR(D7/4*25,0)</f>
        <v>18.75</v>
      </c>
      <c r="F7" s="120" t="n">
        <v>1</v>
      </c>
      <c r="G7" s="84" t="n">
        <f aca="false">IFERROR(F7/4*25,0)</f>
        <v>6.25</v>
      </c>
      <c r="H7" s="120" t="n">
        <v>1</v>
      </c>
      <c r="I7" s="84" t="n">
        <f aca="false">IFERROR(H7/4*15,0)</f>
        <v>3.75</v>
      </c>
      <c r="J7" s="119" t="n">
        <v>4</v>
      </c>
      <c r="K7" s="84" t="n">
        <f aca="false">IFERROR(J7/4*20,0)</f>
        <v>20</v>
      </c>
      <c r="L7" s="119" t="n">
        <v>4</v>
      </c>
      <c r="M7" s="84" t="n">
        <f aca="false">IFERROR(L7/4*15,0)</f>
        <v>15</v>
      </c>
      <c r="N7" s="118" t="n">
        <v>3</v>
      </c>
      <c r="O7" s="84" t="n">
        <f aca="false">IFERROR(N7/4*25,0)</f>
        <v>18.75</v>
      </c>
      <c r="P7" s="120" t="n">
        <v>1</v>
      </c>
      <c r="Q7" s="84" t="n">
        <f aca="false">IFERROR(P7/4*25,0)</f>
        <v>6.25</v>
      </c>
      <c r="R7" s="118" t="n">
        <v>3</v>
      </c>
      <c r="S7" s="84" t="n">
        <f aca="false">IFERROR(R7/4*15,0)</f>
        <v>11.25</v>
      </c>
      <c r="T7" s="120" t="n">
        <v>1</v>
      </c>
      <c r="U7" s="84" t="n">
        <f aca="false">IFERROR(T7/4*20,0)</f>
        <v>5</v>
      </c>
      <c r="V7" s="118" t="n">
        <v>3</v>
      </c>
      <c r="W7" s="84" t="n">
        <f aca="false">IFERROR(V7/4*15,0)</f>
        <v>11.25</v>
      </c>
      <c r="X7" s="118" t="n">
        <v>3</v>
      </c>
      <c r="Y7" s="84" t="n">
        <f aca="false">IFERROR(X7/4*25,0)</f>
        <v>18.75</v>
      </c>
      <c r="Z7" s="120" t="n">
        <v>1</v>
      </c>
      <c r="AA7" s="84" t="n">
        <f aca="false">IFERROR(Z7/4*25,0)</f>
        <v>6.25</v>
      </c>
      <c r="AB7" s="117" t="n">
        <v>2</v>
      </c>
      <c r="AC7" s="84" t="n">
        <f aca="false">IFERROR(AB7/4*15,0)</f>
        <v>7.5</v>
      </c>
      <c r="AD7" s="119" t="n">
        <v>4</v>
      </c>
      <c r="AE7" s="84" t="n">
        <f aca="false">IFERROR(AD7/4*20,0)</f>
        <v>20</v>
      </c>
      <c r="AF7" s="118" t="n">
        <v>3</v>
      </c>
      <c r="AG7" s="84" t="n">
        <f aca="false">IFERROR(AF7/4*15,0)</f>
        <v>11.25</v>
      </c>
      <c r="AH7" s="121" t="n">
        <f aca="false">SUM(Y7,AA7,AC7,AE7,AG7)</f>
        <v>63.75</v>
      </c>
      <c r="AI7" s="122" t="n">
        <f aca="false">IFERROR(AVERAGE(N7,X7,AH7),0)</f>
        <v>23.25</v>
      </c>
      <c r="AJ7" s="33" t="str">
        <f aca="false">IF(AI7&gt;=90,"O",IF(AI7&gt;=75,"A+",IF(AI7&gt;=60,"A",IF(AI7&gt;=50,"B+",IF(AI7&gt;=40,"B","F")))))</f>
        <v>F</v>
      </c>
      <c r="AK7" s="123" t="str">
        <f aca="false">IF(AI7&gt;=75,"L3-High",IF(AI7&gt;=60,"L2-Medium",IF(AI7&gt;=40,"L1-Low","L0-Below")))</f>
        <v>L0-Below</v>
      </c>
      <c r="AL7" s="81" t="str">
        <f aca="false">IF(AI7&gt;=40,"Pass","Fail")</f>
        <v>Fail</v>
      </c>
    </row>
    <row r="8" customFormat="false" ht="19.5" hidden="false" customHeight="true" outlineLevel="0" collapsed="false">
      <c r="A8" s="40" t="n">
        <v>3</v>
      </c>
      <c r="B8" s="40" t="s">
        <v>150</v>
      </c>
      <c r="C8" s="71" t="s">
        <v>151</v>
      </c>
      <c r="D8" s="120" t="n">
        <v>1</v>
      </c>
      <c r="E8" s="73" t="n">
        <f aca="false">IFERROR(D8/4*25,0)</f>
        <v>6.25</v>
      </c>
      <c r="F8" s="118" t="n">
        <v>3</v>
      </c>
      <c r="G8" s="73" t="n">
        <f aca="false">IFERROR(F8/4*25,0)</f>
        <v>18.75</v>
      </c>
      <c r="H8" s="118" t="n">
        <v>3</v>
      </c>
      <c r="I8" s="73" t="n">
        <f aca="false">IFERROR(H8/4*15,0)</f>
        <v>11.25</v>
      </c>
      <c r="J8" s="118" t="n">
        <v>3</v>
      </c>
      <c r="K8" s="73" t="n">
        <f aca="false">IFERROR(J8/4*20,0)</f>
        <v>15</v>
      </c>
      <c r="L8" s="120" t="n">
        <v>1</v>
      </c>
      <c r="M8" s="73" t="n">
        <f aca="false">IFERROR(L8/4*15,0)</f>
        <v>3.75</v>
      </c>
      <c r="N8" s="119" t="n">
        <v>4</v>
      </c>
      <c r="O8" s="73" t="n">
        <f aca="false">IFERROR(N8/4*25,0)</f>
        <v>25</v>
      </c>
      <c r="P8" s="120" t="n">
        <v>1</v>
      </c>
      <c r="Q8" s="73" t="n">
        <f aca="false">IFERROR(P8/4*25,0)</f>
        <v>6.25</v>
      </c>
      <c r="R8" s="118" t="n">
        <v>3</v>
      </c>
      <c r="S8" s="73" t="n">
        <f aca="false">IFERROR(R8/4*15,0)</f>
        <v>11.25</v>
      </c>
      <c r="T8" s="118" t="n">
        <v>3</v>
      </c>
      <c r="U8" s="73" t="n">
        <f aca="false">IFERROR(T8/4*20,0)</f>
        <v>15</v>
      </c>
      <c r="V8" s="118" t="n">
        <v>3</v>
      </c>
      <c r="W8" s="73" t="n">
        <f aca="false">IFERROR(V8/4*15,0)</f>
        <v>11.25</v>
      </c>
      <c r="X8" s="120" t="n">
        <v>1</v>
      </c>
      <c r="Y8" s="73" t="n">
        <f aca="false">IFERROR(X8/4*25,0)</f>
        <v>6.25</v>
      </c>
      <c r="Z8" s="120" t="n">
        <v>1</v>
      </c>
      <c r="AA8" s="73" t="n">
        <f aca="false">IFERROR(Z8/4*25,0)</f>
        <v>6.25</v>
      </c>
      <c r="AB8" s="120" t="n">
        <v>1</v>
      </c>
      <c r="AC8" s="73" t="n">
        <f aca="false">IFERROR(AB8/4*15,0)</f>
        <v>3.75</v>
      </c>
      <c r="AD8" s="118" t="n">
        <v>3</v>
      </c>
      <c r="AE8" s="73" t="n">
        <f aca="false">IFERROR(AD8/4*20,0)</f>
        <v>15</v>
      </c>
      <c r="AF8" s="118" t="n">
        <v>3</v>
      </c>
      <c r="AG8" s="73" t="n">
        <f aca="false">IFERROR(AF8/4*15,0)</f>
        <v>11.25</v>
      </c>
      <c r="AH8" s="121" t="n">
        <f aca="false">SUM(Y8,AA8,AC8,AE8,AG8)</f>
        <v>42.5</v>
      </c>
      <c r="AI8" s="122" t="n">
        <f aca="false">IFERROR(AVERAGE(N8,X8,AH8),0)</f>
        <v>15.8333333333333</v>
      </c>
      <c r="AJ8" s="33" t="str">
        <f aca="false">IF(AI8&gt;=90,"O",IF(AI8&gt;=75,"A+",IF(AI8&gt;=60,"A",IF(AI8&gt;=50,"B+",IF(AI8&gt;=40,"B","F")))))</f>
        <v>F</v>
      </c>
      <c r="AK8" s="123" t="str">
        <f aca="false">IF(AI8&gt;=75,"L3-High",IF(AI8&gt;=60,"L2-Medium",IF(AI8&gt;=40,"L1-Low","L0-Below")))</f>
        <v>L0-Below</v>
      </c>
      <c r="AL8" s="81" t="str">
        <f aca="false">IF(AI8&gt;=40,"Pass","Fail")</f>
        <v>Fail</v>
      </c>
    </row>
    <row r="9" customFormat="false" ht="19.5" hidden="false" customHeight="true" outlineLevel="0" collapsed="false">
      <c r="A9" s="45" t="n">
        <v>4</v>
      </c>
      <c r="B9" s="45" t="s">
        <v>152</v>
      </c>
      <c r="C9" s="83" t="s">
        <v>153</v>
      </c>
      <c r="D9" s="119" t="n">
        <v>4</v>
      </c>
      <c r="E9" s="84" t="n">
        <f aca="false">IFERROR(D9/4*25,0)</f>
        <v>25</v>
      </c>
      <c r="F9" s="120" t="n">
        <v>1</v>
      </c>
      <c r="G9" s="84" t="n">
        <f aca="false">IFERROR(F9/4*25,0)</f>
        <v>6.25</v>
      </c>
      <c r="H9" s="117" t="n">
        <v>2</v>
      </c>
      <c r="I9" s="84" t="n">
        <f aca="false">IFERROR(H9/4*15,0)</f>
        <v>7.5</v>
      </c>
      <c r="J9" s="118" t="n">
        <v>3</v>
      </c>
      <c r="K9" s="84" t="n">
        <f aca="false">IFERROR(J9/4*20,0)</f>
        <v>15</v>
      </c>
      <c r="L9" s="118" t="n">
        <v>3</v>
      </c>
      <c r="M9" s="84" t="n">
        <f aca="false">IFERROR(L9/4*15,0)</f>
        <v>11.25</v>
      </c>
      <c r="N9" s="118" t="n">
        <v>3</v>
      </c>
      <c r="O9" s="84" t="n">
        <f aca="false">IFERROR(N9/4*25,0)</f>
        <v>18.75</v>
      </c>
      <c r="P9" s="117" t="n">
        <v>2</v>
      </c>
      <c r="Q9" s="84" t="n">
        <f aca="false">IFERROR(P9/4*25,0)</f>
        <v>12.5</v>
      </c>
      <c r="R9" s="117" t="n">
        <v>2</v>
      </c>
      <c r="S9" s="84" t="n">
        <f aca="false">IFERROR(R9/4*15,0)</f>
        <v>7.5</v>
      </c>
      <c r="T9" s="117" t="n">
        <v>2</v>
      </c>
      <c r="U9" s="84" t="n">
        <f aca="false">IFERROR(T9/4*20,0)</f>
        <v>10</v>
      </c>
      <c r="V9" s="117" t="n">
        <v>2</v>
      </c>
      <c r="W9" s="84" t="n">
        <f aca="false">IFERROR(V9/4*15,0)</f>
        <v>7.5</v>
      </c>
      <c r="X9" s="118" t="n">
        <v>3</v>
      </c>
      <c r="Y9" s="84" t="n">
        <f aca="false">IFERROR(X9/4*25,0)</f>
        <v>18.75</v>
      </c>
      <c r="Z9" s="120" t="n">
        <v>1</v>
      </c>
      <c r="AA9" s="84" t="n">
        <f aca="false">IFERROR(Z9/4*25,0)</f>
        <v>6.25</v>
      </c>
      <c r="AB9" s="119" t="n">
        <v>4</v>
      </c>
      <c r="AC9" s="84" t="n">
        <f aca="false">IFERROR(AB9/4*15,0)</f>
        <v>15</v>
      </c>
      <c r="AD9" s="119" t="n">
        <v>4</v>
      </c>
      <c r="AE9" s="84" t="n">
        <f aca="false">IFERROR(AD9/4*20,0)</f>
        <v>20</v>
      </c>
      <c r="AF9" s="119" t="n">
        <v>4</v>
      </c>
      <c r="AG9" s="84" t="n">
        <f aca="false">IFERROR(AF9/4*15,0)</f>
        <v>15</v>
      </c>
      <c r="AH9" s="121" t="n">
        <f aca="false">SUM(Y9,AA9,AC9,AE9,AG9)</f>
        <v>75</v>
      </c>
      <c r="AI9" s="122" t="n">
        <f aca="false">IFERROR(AVERAGE(N9,X9,AH9),0)</f>
        <v>27</v>
      </c>
      <c r="AJ9" s="33" t="str">
        <f aca="false">IF(AI9&gt;=90,"O",IF(AI9&gt;=75,"A+",IF(AI9&gt;=60,"A",IF(AI9&gt;=50,"B+",IF(AI9&gt;=40,"B","F")))))</f>
        <v>F</v>
      </c>
      <c r="AK9" s="123" t="str">
        <f aca="false">IF(AI9&gt;=75,"L3-High",IF(AI9&gt;=60,"L2-Medium",IF(AI9&gt;=40,"L1-Low","L0-Below")))</f>
        <v>L0-Below</v>
      </c>
      <c r="AL9" s="81" t="str">
        <f aca="false">IF(AI9&gt;=40,"Pass","Fail")</f>
        <v>Fail</v>
      </c>
    </row>
    <row r="10" customFormat="false" ht="19.5" hidden="false" customHeight="true" outlineLevel="0" collapsed="false">
      <c r="A10" s="40" t="n">
        <v>5</v>
      </c>
      <c r="B10" s="40" t="s">
        <v>154</v>
      </c>
      <c r="C10" s="71" t="s">
        <v>155</v>
      </c>
      <c r="D10" s="117" t="n">
        <v>2</v>
      </c>
      <c r="E10" s="73" t="n">
        <f aca="false">IFERROR(D10/4*25,0)</f>
        <v>12.5</v>
      </c>
      <c r="F10" s="117" t="n">
        <v>2</v>
      </c>
      <c r="G10" s="73" t="n">
        <f aca="false">IFERROR(F10/4*25,0)</f>
        <v>12.5</v>
      </c>
      <c r="H10" s="117" t="n">
        <v>2</v>
      </c>
      <c r="I10" s="73" t="n">
        <f aca="false">IFERROR(H10/4*15,0)</f>
        <v>7.5</v>
      </c>
      <c r="J10" s="120" t="n">
        <v>1</v>
      </c>
      <c r="K10" s="73" t="n">
        <f aca="false">IFERROR(J10/4*20,0)</f>
        <v>5</v>
      </c>
      <c r="L10" s="119" t="n">
        <v>4</v>
      </c>
      <c r="M10" s="73" t="n">
        <f aca="false">IFERROR(L10/4*15,0)</f>
        <v>15</v>
      </c>
      <c r="N10" s="118" t="n">
        <v>3</v>
      </c>
      <c r="O10" s="73" t="n">
        <f aca="false">IFERROR(N10/4*25,0)</f>
        <v>18.75</v>
      </c>
      <c r="P10" s="117" t="n">
        <v>2</v>
      </c>
      <c r="Q10" s="73" t="n">
        <f aca="false">IFERROR(P10/4*25,0)</f>
        <v>12.5</v>
      </c>
      <c r="R10" s="120" t="n">
        <v>1</v>
      </c>
      <c r="S10" s="73" t="n">
        <f aca="false">IFERROR(R10/4*15,0)</f>
        <v>3.75</v>
      </c>
      <c r="T10" s="118" t="n">
        <v>3</v>
      </c>
      <c r="U10" s="73" t="n">
        <f aca="false">IFERROR(T10/4*20,0)</f>
        <v>15</v>
      </c>
      <c r="V10" s="118" t="n">
        <v>3</v>
      </c>
      <c r="W10" s="73" t="n">
        <f aca="false">IFERROR(V10/4*15,0)</f>
        <v>11.25</v>
      </c>
      <c r="X10" s="117" t="n">
        <v>2</v>
      </c>
      <c r="Y10" s="73" t="n">
        <f aca="false">IFERROR(X10/4*25,0)</f>
        <v>12.5</v>
      </c>
      <c r="Z10" s="120" t="n">
        <v>1</v>
      </c>
      <c r="AA10" s="73" t="n">
        <f aca="false">IFERROR(Z10/4*25,0)</f>
        <v>6.25</v>
      </c>
      <c r="AB10" s="119" t="n">
        <v>4</v>
      </c>
      <c r="AC10" s="73" t="n">
        <f aca="false">IFERROR(AB10/4*15,0)</f>
        <v>15</v>
      </c>
      <c r="AD10" s="117" t="n">
        <v>2</v>
      </c>
      <c r="AE10" s="73" t="n">
        <f aca="false">IFERROR(AD10/4*20,0)</f>
        <v>10</v>
      </c>
      <c r="AF10" s="119" t="n">
        <v>4</v>
      </c>
      <c r="AG10" s="73" t="n">
        <f aca="false">IFERROR(AF10/4*15,0)</f>
        <v>15</v>
      </c>
      <c r="AH10" s="121" t="n">
        <f aca="false">SUM(Y10,AA10,AC10,AE10,AG10)</f>
        <v>58.75</v>
      </c>
      <c r="AI10" s="122" t="n">
        <f aca="false">IFERROR(AVERAGE(N10,X10,AH10),0)</f>
        <v>21.25</v>
      </c>
      <c r="AJ10" s="33" t="str">
        <f aca="false">IF(AI10&gt;=90,"O",IF(AI10&gt;=75,"A+",IF(AI10&gt;=60,"A",IF(AI10&gt;=50,"B+",IF(AI10&gt;=40,"B","F")))))</f>
        <v>F</v>
      </c>
      <c r="AK10" s="123" t="str">
        <f aca="false">IF(AI10&gt;=75,"L3-High",IF(AI10&gt;=60,"L2-Medium",IF(AI10&gt;=40,"L1-Low","L0-Below")))</f>
        <v>L0-Below</v>
      </c>
      <c r="AL10" s="81" t="str">
        <f aca="false">IF(AI10&gt;=40,"Pass","Fail")</f>
        <v>Fail</v>
      </c>
    </row>
    <row r="11" customFormat="false" ht="19.5" hidden="false" customHeight="true" outlineLevel="0" collapsed="false">
      <c r="A11" s="45" t="n">
        <v>6</v>
      </c>
      <c r="B11" s="45" t="s">
        <v>156</v>
      </c>
      <c r="C11" s="83" t="s">
        <v>157</v>
      </c>
      <c r="D11" s="117" t="n">
        <v>2</v>
      </c>
      <c r="E11" s="84" t="n">
        <f aca="false">IFERROR(D11/4*25,0)</f>
        <v>12.5</v>
      </c>
      <c r="F11" s="117" t="n">
        <v>2</v>
      </c>
      <c r="G11" s="84" t="n">
        <f aca="false">IFERROR(F11/4*25,0)</f>
        <v>12.5</v>
      </c>
      <c r="H11" s="120" t="n">
        <v>1</v>
      </c>
      <c r="I11" s="84" t="n">
        <f aca="false">IFERROR(H11/4*15,0)</f>
        <v>3.75</v>
      </c>
      <c r="J11" s="120" t="n">
        <v>1</v>
      </c>
      <c r="K11" s="84" t="n">
        <f aca="false">IFERROR(J11/4*20,0)</f>
        <v>5</v>
      </c>
      <c r="L11" s="118" t="n">
        <v>3</v>
      </c>
      <c r="M11" s="84" t="n">
        <f aca="false">IFERROR(L11/4*15,0)</f>
        <v>11.25</v>
      </c>
      <c r="N11" s="119" t="n">
        <v>4</v>
      </c>
      <c r="O11" s="84" t="n">
        <f aca="false">IFERROR(N11/4*25,0)</f>
        <v>25</v>
      </c>
      <c r="P11" s="118" t="n">
        <v>3</v>
      </c>
      <c r="Q11" s="84" t="n">
        <f aca="false">IFERROR(P11/4*25,0)</f>
        <v>18.75</v>
      </c>
      <c r="R11" s="119" t="n">
        <v>4</v>
      </c>
      <c r="S11" s="84" t="n">
        <f aca="false">IFERROR(R11/4*15,0)</f>
        <v>15</v>
      </c>
      <c r="T11" s="120" t="n">
        <v>1</v>
      </c>
      <c r="U11" s="84" t="n">
        <f aca="false">IFERROR(T11/4*20,0)</f>
        <v>5</v>
      </c>
      <c r="V11" s="120" t="n">
        <v>1</v>
      </c>
      <c r="W11" s="84" t="n">
        <f aca="false">IFERROR(V11/4*15,0)</f>
        <v>3.75</v>
      </c>
      <c r="X11" s="118" t="n">
        <v>3</v>
      </c>
      <c r="Y11" s="84" t="n">
        <f aca="false">IFERROR(X11/4*25,0)</f>
        <v>18.75</v>
      </c>
      <c r="Z11" s="117" t="n">
        <v>2</v>
      </c>
      <c r="AA11" s="84" t="n">
        <f aca="false">IFERROR(Z11/4*25,0)</f>
        <v>12.5</v>
      </c>
      <c r="AB11" s="120" t="n">
        <v>1</v>
      </c>
      <c r="AC11" s="84" t="n">
        <f aca="false">IFERROR(AB11/4*15,0)</f>
        <v>3.75</v>
      </c>
      <c r="AD11" s="117" t="n">
        <v>2</v>
      </c>
      <c r="AE11" s="84" t="n">
        <f aca="false">IFERROR(AD11/4*20,0)</f>
        <v>10</v>
      </c>
      <c r="AF11" s="118" t="n">
        <v>3</v>
      </c>
      <c r="AG11" s="84" t="n">
        <f aca="false">IFERROR(AF11/4*15,0)</f>
        <v>11.25</v>
      </c>
      <c r="AH11" s="121" t="n">
        <f aca="false">SUM(Y11,AA11,AC11,AE11,AG11)</f>
        <v>56.25</v>
      </c>
      <c r="AI11" s="122" t="n">
        <f aca="false">IFERROR(AVERAGE(N11,X11,AH11),0)</f>
        <v>21.0833333333333</v>
      </c>
      <c r="AJ11" s="33" t="str">
        <f aca="false">IF(AI11&gt;=90,"O",IF(AI11&gt;=75,"A+",IF(AI11&gt;=60,"A",IF(AI11&gt;=50,"B+",IF(AI11&gt;=40,"B","F")))))</f>
        <v>F</v>
      </c>
      <c r="AK11" s="123" t="str">
        <f aca="false">IF(AI11&gt;=75,"L3-High",IF(AI11&gt;=60,"L2-Medium",IF(AI11&gt;=40,"L1-Low","L0-Below")))</f>
        <v>L0-Below</v>
      </c>
      <c r="AL11" s="81" t="str">
        <f aca="false">IF(AI11&gt;=40,"Pass","Fail")</f>
        <v>Fail</v>
      </c>
    </row>
    <row r="12" customFormat="false" ht="19.5" hidden="false" customHeight="true" outlineLevel="0" collapsed="false">
      <c r="A12" s="40" t="n">
        <v>7</v>
      </c>
      <c r="B12" s="40" t="s">
        <v>158</v>
      </c>
      <c r="C12" s="71" t="s">
        <v>159</v>
      </c>
      <c r="D12" s="117" t="n">
        <v>2</v>
      </c>
      <c r="E12" s="73" t="n">
        <f aca="false">IFERROR(D12/4*25,0)</f>
        <v>12.5</v>
      </c>
      <c r="F12" s="118" t="n">
        <v>3</v>
      </c>
      <c r="G12" s="73" t="n">
        <f aca="false">IFERROR(F12/4*25,0)</f>
        <v>18.75</v>
      </c>
      <c r="H12" s="118" t="n">
        <v>3</v>
      </c>
      <c r="I12" s="73" t="n">
        <f aca="false">IFERROR(H12/4*15,0)</f>
        <v>11.25</v>
      </c>
      <c r="J12" s="120" t="n">
        <v>1</v>
      </c>
      <c r="K12" s="73" t="n">
        <f aca="false">IFERROR(J12/4*20,0)</f>
        <v>5</v>
      </c>
      <c r="L12" s="117" t="n">
        <v>2</v>
      </c>
      <c r="M12" s="73" t="n">
        <f aca="false">IFERROR(L12/4*15,0)</f>
        <v>7.5</v>
      </c>
      <c r="N12" s="120" t="n">
        <v>1</v>
      </c>
      <c r="O12" s="73" t="n">
        <f aca="false">IFERROR(N12/4*25,0)</f>
        <v>6.25</v>
      </c>
      <c r="P12" s="117" t="n">
        <v>2</v>
      </c>
      <c r="Q12" s="73" t="n">
        <f aca="false">IFERROR(P12/4*25,0)</f>
        <v>12.5</v>
      </c>
      <c r="R12" s="120" t="n">
        <v>1</v>
      </c>
      <c r="S12" s="73" t="n">
        <f aca="false">IFERROR(R12/4*15,0)</f>
        <v>3.75</v>
      </c>
      <c r="T12" s="117" t="n">
        <v>2</v>
      </c>
      <c r="U12" s="73" t="n">
        <f aca="false">IFERROR(T12/4*20,0)</f>
        <v>10</v>
      </c>
      <c r="V12" s="117" t="n">
        <v>2</v>
      </c>
      <c r="W12" s="73" t="n">
        <f aca="false">IFERROR(V12/4*15,0)</f>
        <v>7.5</v>
      </c>
      <c r="X12" s="117" t="n">
        <v>2</v>
      </c>
      <c r="Y12" s="73" t="n">
        <f aca="false">IFERROR(X12/4*25,0)</f>
        <v>12.5</v>
      </c>
      <c r="Z12" s="119" t="n">
        <v>4</v>
      </c>
      <c r="AA12" s="73" t="n">
        <f aca="false">IFERROR(Z12/4*25,0)</f>
        <v>25</v>
      </c>
      <c r="AB12" s="117" t="n">
        <v>2</v>
      </c>
      <c r="AC12" s="73" t="n">
        <f aca="false">IFERROR(AB12/4*15,0)</f>
        <v>7.5</v>
      </c>
      <c r="AD12" s="120" t="n">
        <v>1</v>
      </c>
      <c r="AE12" s="73" t="n">
        <f aca="false">IFERROR(AD12/4*20,0)</f>
        <v>5</v>
      </c>
      <c r="AF12" s="120" t="n">
        <v>1</v>
      </c>
      <c r="AG12" s="73" t="n">
        <f aca="false">IFERROR(AF12/4*15,0)</f>
        <v>3.75</v>
      </c>
      <c r="AH12" s="121" t="n">
        <f aca="false">SUM(Y12,AA12,AC12,AE12,AG12)</f>
        <v>53.75</v>
      </c>
      <c r="AI12" s="122" t="n">
        <f aca="false">IFERROR(AVERAGE(N12,X12,AH12),0)</f>
        <v>18.9166666666667</v>
      </c>
      <c r="AJ12" s="33" t="str">
        <f aca="false">IF(AI12&gt;=90,"O",IF(AI12&gt;=75,"A+",IF(AI12&gt;=60,"A",IF(AI12&gt;=50,"B+",IF(AI12&gt;=40,"B","F")))))</f>
        <v>F</v>
      </c>
      <c r="AK12" s="123" t="str">
        <f aca="false">IF(AI12&gt;=75,"L3-High",IF(AI12&gt;=60,"L2-Medium",IF(AI12&gt;=40,"L1-Low","L0-Below")))</f>
        <v>L0-Below</v>
      </c>
      <c r="AL12" s="81" t="str">
        <f aca="false">IF(AI12&gt;=40,"Pass","Fail")</f>
        <v>Fail</v>
      </c>
    </row>
    <row r="13" customFormat="false" ht="19.5" hidden="false" customHeight="true" outlineLevel="0" collapsed="false">
      <c r="A13" s="45" t="n">
        <v>8</v>
      </c>
      <c r="B13" s="45" t="s">
        <v>160</v>
      </c>
      <c r="C13" s="83" t="s">
        <v>161</v>
      </c>
      <c r="D13" s="117" t="n">
        <v>2</v>
      </c>
      <c r="E13" s="84" t="n">
        <f aca="false">IFERROR(D13/4*25,0)</f>
        <v>12.5</v>
      </c>
      <c r="F13" s="117" t="n">
        <v>2</v>
      </c>
      <c r="G13" s="84" t="n">
        <f aca="false">IFERROR(F13/4*25,0)</f>
        <v>12.5</v>
      </c>
      <c r="H13" s="120" t="n">
        <v>1</v>
      </c>
      <c r="I13" s="84" t="n">
        <f aca="false">IFERROR(H13/4*15,0)</f>
        <v>3.75</v>
      </c>
      <c r="J13" s="120" t="n">
        <v>1</v>
      </c>
      <c r="K13" s="84" t="n">
        <f aca="false">IFERROR(J13/4*20,0)</f>
        <v>5</v>
      </c>
      <c r="L13" s="118" t="n">
        <v>3</v>
      </c>
      <c r="M13" s="84" t="n">
        <f aca="false">IFERROR(L13/4*15,0)</f>
        <v>11.25</v>
      </c>
      <c r="N13" s="117" t="n">
        <v>2</v>
      </c>
      <c r="O13" s="84" t="n">
        <f aca="false">IFERROR(N13/4*25,0)</f>
        <v>12.5</v>
      </c>
      <c r="P13" s="118" t="n">
        <v>3</v>
      </c>
      <c r="Q13" s="84" t="n">
        <f aca="false">IFERROR(P13/4*25,0)</f>
        <v>18.75</v>
      </c>
      <c r="R13" s="117" t="n">
        <v>2</v>
      </c>
      <c r="S13" s="84" t="n">
        <f aca="false">IFERROR(R13/4*15,0)</f>
        <v>7.5</v>
      </c>
      <c r="T13" s="118" t="n">
        <v>3</v>
      </c>
      <c r="U13" s="84" t="n">
        <f aca="false">IFERROR(T13/4*20,0)</f>
        <v>15</v>
      </c>
      <c r="V13" s="119" t="n">
        <v>4</v>
      </c>
      <c r="W13" s="84" t="n">
        <f aca="false">IFERROR(V13/4*15,0)</f>
        <v>15</v>
      </c>
      <c r="X13" s="119" t="n">
        <v>4</v>
      </c>
      <c r="Y13" s="84" t="n">
        <f aca="false">IFERROR(X13/4*25,0)</f>
        <v>25</v>
      </c>
      <c r="Z13" s="117" t="n">
        <v>2</v>
      </c>
      <c r="AA13" s="84" t="n">
        <f aca="false">IFERROR(Z13/4*25,0)</f>
        <v>12.5</v>
      </c>
      <c r="AB13" s="117" t="n">
        <v>2</v>
      </c>
      <c r="AC13" s="84" t="n">
        <f aca="false">IFERROR(AB13/4*15,0)</f>
        <v>7.5</v>
      </c>
      <c r="AD13" s="118" t="n">
        <v>3</v>
      </c>
      <c r="AE13" s="84" t="n">
        <f aca="false">IFERROR(AD13/4*20,0)</f>
        <v>15</v>
      </c>
      <c r="AF13" s="117" t="n">
        <v>2</v>
      </c>
      <c r="AG13" s="84" t="n">
        <f aca="false">IFERROR(AF13/4*15,0)</f>
        <v>7.5</v>
      </c>
      <c r="AH13" s="121" t="n">
        <f aca="false">SUM(Y13,AA13,AC13,AE13,AG13)</f>
        <v>67.5</v>
      </c>
      <c r="AI13" s="122" t="n">
        <f aca="false">IFERROR(AVERAGE(N13,X13,AH13),0)</f>
        <v>24.5</v>
      </c>
      <c r="AJ13" s="33" t="str">
        <f aca="false">IF(AI13&gt;=90,"O",IF(AI13&gt;=75,"A+",IF(AI13&gt;=60,"A",IF(AI13&gt;=50,"B+",IF(AI13&gt;=40,"B","F")))))</f>
        <v>F</v>
      </c>
      <c r="AK13" s="123" t="str">
        <f aca="false">IF(AI13&gt;=75,"L3-High",IF(AI13&gt;=60,"L2-Medium",IF(AI13&gt;=40,"L1-Low","L0-Below")))</f>
        <v>L0-Below</v>
      </c>
      <c r="AL13" s="81" t="str">
        <f aca="false">IF(AI13&gt;=40,"Pass","Fail")</f>
        <v>Fail</v>
      </c>
    </row>
    <row r="14" customFormat="false" ht="19.5" hidden="false" customHeight="true" outlineLevel="0" collapsed="false">
      <c r="A14" s="40" t="n">
        <v>9</v>
      </c>
      <c r="B14" s="40" t="s">
        <v>162</v>
      </c>
      <c r="C14" s="71" t="s">
        <v>163</v>
      </c>
      <c r="D14" s="117" t="n">
        <v>2</v>
      </c>
      <c r="E14" s="73" t="n">
        <f aca="false">IFERROR(D14/4*25,0)</f>
        <v>12.5</v>
      </c>
      <c r="F14" s="118" t="n">
        <v>3</v>
      </c>
      <c r="G14" s="73" t="n">
        <f aca="false">IFERROR(F14/4*25,0)</f>
        <v>18.75</v>
      </c>
      <c r="H14" s="117" t="n">
        <v>2</v>
      </c>
      <c r="I14" s="73" t="n">
        <f aca="false">IFERROR(H14/4*15,0)</f>
        <v>7.5</v>
      </c>
      <c r="J14" s="118" t="n">
        <v>3</v>
      </c>
      <c r="K14" s="73" t="n">
        <f aca="false">IFERROR(J14/4*20,0)</f>
        <v>15</v>
      </c>
      <c r="L14" s="118" t="n">
        <v>3</v>
      </c>
      <c r="M14" s="73" t="n">
        <f aca="false">IFERROR(L14/4*15,0)</f>
        <v>11.25</v>
      </c>
      <c r="N14" s="117" t="n">
        <v>2</v>
      </c>
      <c r="O14" s="73" t="n">
        <f aca="false">IFERROR(N14/4*25,0)</f>
        <v>12.5</v>
      </c>
      <c r="P14" s="119" t="n">
        <v>4</v>
      </c>
      <c r="Q14" s="73" t="n">
        <f aca="false">IFERROR(P14/4*25,0)</f>
        <v>25</v>
      </c>
      <c r="R14" s="118" t="n">
        <v>3</v>
      </c>
      <c r="S14" s="73" t="n">
        <f aca="false">IFERROR(R14/4*15,0)</f>
        <v>11.25</v>
      </c>
      <c r="T14" s="119" t="n">
        <v>4</v>
      </c>
      <c r="U14" s="73" t="n">
        <f aca="false">IFERROR(T14/4*20,0)</f>
        <v>20</v>
      </c>
      <c r="V14" s="120" t="n">
        <v>1</v>
      </c>
      <c r="W14" s="73" t="n">
        <f aca="false">IFERROR(V14/4*15,0)</f>
        <v>3.75</v>
      </c>
      <c r="X14" s="117" t="n">
        <v>2</v>
      </c>
      <c r="Y14" s="73" t="n">
        <f aca="false">IFERROR(X14/4*25,0)</f>
        <v>12.5</v>
      </c>
      <c r="Z14" s="117" t="n">
        <v>2</v>
      </c>
      <c r="AA14" s="73" t="n">
        <f aca="false">IFERROR(Z14/4*25,0)</f>
        <v>12.5</v>
      </c>
      <c r="AB14" s="120" t="n">
        <v>1</v>
      </c>
      <c r="AC14" s="73" t="n">
        <f aca="false">IFERROR(AB14/4*15,0)</f>
        <v>3.75</v>
      </c>
      <c r="AD14" s="117" t="n">
        <v>2</v>
      </c>
      <c r="AE14" s="73" t="n">
        <f aca="false">IFERROR(AD14/4*20,0)</f>
        <v>10</v>
      </c>
      <c r="AF14" s="120" t="n">
        <v>1</v>
      </c>
      <c r="AG14" s="73" t="n">
        <f aca="false">IFERROR(AF14/4*15,0)</f>
        <v>3.75</v>
      </c>
      <c r="AH14" s="121" t="n">
        <f aca="false">SUM(Y14,AA14,AC14,AE14,AG14)</f>
        <v>42.5</v>
      </c>
      <c r="AI14" s="122" t="n">
        <f aca="false">IFERROR(AVERAGE(N14,X14,AH14),0)</f>
        <v>15.5</v>
      </c>
      <c r="AJ14" s="33" t="str">
        <f aca="false">IF(AI14&gt;=90,"O",IF(AI14&gt;=75,"A+",IF(AI14&gt;=60,"A",IF(AI14&gt;=50,"B+",IF(AI14&gt;=40,"B","F")))))</f>
        <v>F</v>
      </c>
      <c r="AK14" s="123" t="str">
        <f aca="false">IF(AI14&gt;=75,"L3-High",IF(AI14&gt;=60,"L2-Medium",IF(AI14&gt;=40,"L1-Low","L0-Below")))</f>
        <v>L0-Below</v>
      </c>
      <c r="AL14" s="81" t="str">
        <f aca="false">IF(AI14&gt;=40,"Pass","Fail")</f>
        <v>Fail</v>
      </c>
    </row>
    <row r="15" customFormat="false" ht="19.5" hidden="false" customHeight="true" outlineLevel="0" collapsed="false">
      <c r="A15" s="45" t="n">
        <v>10</v>
      </c>
      <c r="B15" s="45" t="s">
        <v>164</v>
      </c>
      <c r="C15" s="83" t="s">
        <v>165</v>
      </c>
      <c r="D15" s="118" t="n">
        <v>3</v>
      </c>
      <c r="E15" s="84" t="n">
        <f aca="false">IFERROR(D15/4*25,0)</f>
        <v>18.75</v>
      </c>
      <c r="F15" s="118" t="n">
        <v>3</v>
      </c>
      <c r="G15" s="84" t="n">
        <f aca="false">IFERROR(F15/4*25,0)</f>
        <v>18.75</v>
      </c>
      <c r="H15" s="117" t="n">
        <v>2</v>
      </c>
      <c r="I15" s="84" t="n">
        <f aca="false">IFERROR(H15/4*15,0)</f>
        <v>7.5</v>
      </c>
      <c r="J15" s="117" t="n">
        <v>2</v>
      </c>
      <c r="K15" s="84" t="n">
        <f aca="false">IFERROR(J15/4*20,0)</f>
        <v>10</v>
      </c>
      <c r="L15" s="119" t="n">
        <v>4</v>
      </c>
      <c r="M15" s="84" t="n">
        <f aca="false">IFERROR(L15/4*15,0)</f>
        <v>15</v>
      </c>
      <c r="N15" s="119" t="n">
        <v>4</v>
      </c>
      <c r="O15" s="84" t="n">
        <f aca="false">IFERROR(N15/4*25,0)</f>
        <v>25</v>
      </c>
      <c r="P15" s="119" t="n">
        <v>4</v>
      </c>
      <c r="Q15" s="84" t="n">
        <f aca="false">IFERROR(P15/4*25,0)</f>
        <v>25</v>
      </c>
      <c r="R15" s="120" t="n">
        <v>1</v>
      </c>
      <c r="S15" s="84" t="n">
        <f aca="false">IFERROR(R15/4*15,0)</f>
        <v>3.75</v>
      </c>
      <c r="T15" s="119" t="n">
        <v>4</v>
      </c>
      <c r="U15" s="84" t="n">
        <f aca="false">IFERROR(T15/4*20,0)</f>
        <v>20</v>
      </c>
      <c r="V15" s="118" t="n">
        <v>3</v>
      </c>
      <c r="W15" s="84" t="n">
        <f aca="false">IFERROR(V15/4*15,0)</f>
        <v>11.25</v>
      </c>
      <c r="X15" s="119" t="n">
        <v>4</v>
      </c>
      <c r="Y15" s="84" t="n">
        <f aca="false">IFERROR(X15/4*25,0)</f>
        <v>25</v>
      </c>
      <c r="Z15" s="117" t="n">
        <v>2</v>
      </c>
      <c r="AA15" s="84" t="n">
        <f aca="false">IFERROR(Z15/4*25,0)</f>
        <v>12.5</v>
      </c>
      <c r="AB15" s="120" t="n">
        <v>1</v>
      </c>
      <c r="AC15" s="84" t="n">
        <f aca="false">IFERROR(AB15/4*15,0)</f>
        <v>3.75</v>
      </c>
      <c r="AD15" s="118" t="n">
        <v>3</v>
      </c>
      <c r="AE15" s="84" t="n">
        <f aca="false">IFERROR(AD15/4*20,0)</f>
        <v>15</v>
      </c>
      <c r="AF15" s="117" t="n">
        <v>2</v>
      </c>
      <c r="AG15" s="84" t="n">
        <f aca="false">IFERROR(AF15/4*15,0)</f>
        <v>7.5</v>
      </c>
      <c r="AH15" s="121" t="n">
        <f aca="false">SUM(Y15,AA15,AC15,AE15,AG15)</f>
        <v>63.75</v>
      </c>
      <c r="AI15" s="122" t="n">
        <f aca="false">IFERROR(AVERAGE(N15,X15,AH15),0)</f>
        <v>23.9166666666667</v>
      </c>
      <c r="AJ15" s="33" t="str">
        <f aca="false">IF(AI15&gt;=90,"O",IF(AI15&gt;=75,"A+",IF(AI15&gt;=60,"A",IF(AI15&gt;=50,"B+",IF(AI15&gt;=40,"B","F")))))</f>
        <v>F</v>
      </c>
      <c r="AK15" s="123" t="str">
        <f aca="false">IF(AI15&gt;=75,"L3-High",IF(AI15&gt;=60,"L2-Medium",IF(AI15&gt;=40,"L1-Low","L0-Below")))</f>
        <v>L0-Below</v>
      </c>
      <c r="AL15" s="81" t="str">
        <f aca="false">IF(AI15&gt;=40,"Pass","Fail")</f>
        <v>Fail</v>
      </c>
    </row>
    <row r="16" customFormat="false" ht="19.5" hidden="false" customHeight="true" outlineLevel="0" collapsed="false">
      <c r="A16" s="40" t="n">
        <v>11</v>
      </c>
      <c r="B16" s="40" t="s">
        <v>166</v>
      </c>
      <c r="C16" s="71" t="s">
        <v>167</v>
      </c>
      <c r="D16" s="120" t="n">
        <v>1</v>
      </c>
      <c r="E16" s="73" t="n">
        <f aca="false">IFERROR(D16/4*25,0)</f>
        <v>6.25</v>
      </c>
      <c r="F16" s="118" t="n">
        <v>3</v>
      </c>
      <c r="G16" s="73" t="n">
        <f aca="false">IFERROR(F16/4*25,0)</f>
        <v>18.75</v>
      </c>
      <c r="H16" s="120" t="n">
        <v>1</v>
      </c>
      <c r="I16" s="73" t="n">
        <f aca="false">IFERROR(H16/4*15,0)</f>
        <v>3.75</v>
      </c>
      <c r="J16" s="120" t="n">
        <v>1</v>
      </c>
      <c r="K16" s="73" t="n">
        <f aca="false">IFERROR(J16/4*20,0)</f>
        <v>5</v>
      </c>
      <c r="L16" s="120" t="n">
        <v>1</v>
      </c>
      <c r="M16" s="73" t="n">
        <f aca="false">IFERROR(L16/4*15,0)</f>
        <v>3.75</v>
      </c>
      <c r="N16" s="118" t="n">
        <v>3</v>
      </c>
      <c r="O16" s="73" t="n">
        <f aca="false">IFERROR(N16/4*25,0)</f>
        <v>18.75</v>
      </c>
      <c r="P16" s="120" t="n">
        <v>1</v>
      </c>
      <c r="Q16" s="73" t="n">
        <f aca="false">IFERROR(P16/4*25,0)</f>
        <v>6.25</v>
      </c>
      <c r="R16" s="118" t="n">
        <v>3</v>
      </c>
      <c r="S16" s="73" t="n">
        <f aca="false">IFERROR(R16/4*15,0)</f>
        <v>11.25</v>
      </c>
      <c r="T16" s="118" t="n">
        <v>3</v>
      </c>
      <c r="U16" s="73" t="n">
        <f aca="false">IFERROR(T16/4*20,0)</f>
        <v>15</v>
      </c>
      <c r="V16" s="118" t="n">
        <v>3</v>
      </c>
      <c r="W16" s="73" t="n">
        <f aca="false">IFERROR(V16/4*15,0)</f>
        <v>11.25</v>
      </c>
      <c r="X16" s="117" t="n">
        <v>2</v>
      </c>
      <c r="Y16" s="73" t="n">
        <f aca="false">IFERROR(X16/4*25,0)</f>
        <v>12.5</v>
      </c>
      <c r="Z16" s="120" t="n">
        <v>1</v>
      </c>
      <c r="AA16" s="73" t="n">
        <f aca="false">IFERROR(Z16/4*25,0)</f>
        <v>6.25</v>
      </c>
      <c r="AB16" s="119" t="n">
        <v>4</v>
      </c>
      <c r="AC16" s="73" t="n">
        <f aca="false">IFERROR(AB16/4*15,0)</f>
        <v>15</v>
      </c>
      <c r="AD16" s="120" t="n">
        <v>1</v>
      </c>
      <c r="AE16" s="73" t="n">
        <f aca="false">IFERROR(AD16/4*20,0)</f>
        <v>5</v>
      </c>
      <c r="AF16" s="117" t="n">
        <v>2</v>
      </c>
      <c r="AG16" s="73" t="n">
        <f aca="false">IFERROR(AF16/4*15,0)</f>
        <v>7.5</v>
      </c>
      <c r="AH16" s="121" t="n">
        <f aca="false">SUM(Y16,AA16,AC16,AE16,AG16)</f>
        <v>46.25</v>
      </c>
      <c r="AI16" s="122" t="n">
        <f aca="false">IFERROR(AVERAGE(N16,X16,AH16),0)</f>
        <v>17.0833333333333</v>
      </c>
      <c r="AJ16" s="33" t="str">
        <f aca="false">IF(AI16&gt;=90,"O",IF(AI16&gt;=75,"A+",IF(AI16&gt;=60,"A",IF(AI16&gt;=50,"B+",IF(AI16&gt;=40,"B","F")))))</f>
        <v>F</v>
      </c>
      <c r="AK16" s="123" t="str">
        <f aca="false">IF(AI16&gt;=75,"L3-High",IF(AI16&gt;=60,"L2-Medium",IF(AI16&gt;=40,"L1-Low","L0-Below")))</f>
        <v>L0-Below</v>
      </c>
      <c r="AL16" s="81" t="str">
        <f aca="false">IF(AI16&gt;=40,"Pass","Fail")</f>
        <v>Fail</v>
      </c>
    </row>
    <row r="17" customFormat="false" ht="19.5" hidden="false" customHeight="true" outlineLevel="0" collapsed="false">
      <c r="A17" s="45" t="n">
        <v>12</v>
      </c>
      <c r="B17" s="45" t="s">
        <v>168</v>
      </c>
      <c r="C17" s="83" t="s">
        <v>169</v>
      </c>
      <c r="D17" s="120" t="n">
        <v>1</v>
      </c>
      <c r="E17" s="84" t="n">
        <f aca="false">IFERROR(D17/4*25,0)</f>
        <v>6.25</v>
      </c>
      <c r="F17" s="118" t="n">
        <v>3</v>
      </c>
      <c r="G17" s="84" t="n">
        <f aca="false">IFERROR(F17/4*25,0)</f>
        <v>18.75</v>
      </c>
      <c r="H17" s="117" t="n">
        <v>2</v>
      </c>
      <c r="I17" s="84" t="n">
        <f aca="false">IFERROR(H17/4*15,0)</f>
        <v>7.5</v>
      </c>
      <c r="J17" s="118" t="n">
        <v>3</v>
      </c>
      <c r="K17" s="84" t="n">
        <f aca="false">IFERROR(J17/4*20,0)</f>
        <v>15</v>
      </c>
      <c r="L17" s="118" t="n">
        <v>3</v>
      </c>
      <c r="M17" s="84" t="n">
        <f aca="false">IFERROR(L17/4*15,0)</f>
        <v>11.25</v>
      </c>
      <c r="N17" s="118" t="n">
        <v>3</v>
      </c>
      <c r="O17" s="84" t="n">
        <f aca="false">IFERROR(N17/4*25,0)</f>
        <v>18.75</v>
      </c>
      <c r="P17" s="117" t="n">
        <v>2</v>
      </c>
      <c r="Q17" s="84" t="n">
        <f aca="false">IFERROR(P17/4*25,0)</f>
        <v>12.5</v>
      </c>
      <c r="R17" s="120" t="n">
        <v>1</v>
      </c>
      <c r="S17" s="84" t="n">
        <f aca="false">IFERROR(R17/4*15,0)</f>
        <v>3.75</v>
      </c>
      <c r="T17" s="120" t="n">
        <v>1</v>
      </c>
      <c r="U17" s="84" t="n">
        <f aca="false">IFERROR(T17/4*20,0)</f>
        <v>5</v>
      </c>
      <c r="V17" s="119" t="n">
        <v>4</v>
      </c>
      <c r="W17" s="84" t="n">
        <f aca="false">IFERROR(V17/4*15,0)</f>
        <v>15</v>
      </c>
      <c r="X17" s="117" t="n">
        <v>2</v>
      </c>
      <c r="Y17" s="84" t="n">
        <f aca="false">IFERROR(X17/4*25,0)</f>
        <v>12.5</v>
      </c>
      <c r="Z17" s="120" t="n">
        <v>1</v>
      </c>
      <c r="AA17" s="84" t="n">
        <f aca="false">IFERROR(Z17/4*25,0)</f>
        <v>6.25</v>
      </c>
      <c r="AB17" s="118" t="n">
        <v>3</v>
      </c>
      <c r="AC17" s="84" t="n">
        <f aca="false">IFERROR(AB17/4*15,0)</f>
        <v>11.25</v>
      </c>
      <c r="AD17" s="120" t="n">
        <v>1</v>
      </c>
      <c r="AE17" s="84" t="n">
        <f aca="false">IFERROR(AD17/4*20,0)</f>
        <v>5</v>
      </c>
      <c r="AF17" s="117" t="n">
        <v>2</v>
      </c>
      <c r="AG17" s="84" t="n">
        <f aca="false">IFERROR(AF17/4*15,0)</f>
        <v>7.5</v>
      </c>
      <c r="AH17" s="121" t="n">
        <f aca="false">SUM(Y17,AA17,AC17,AE17,AG17)</f>
        <v>42.5</v>
      </c>
      <c r="AI17" s="122" t="n">
        <f aca="false">IFERROR(AVERAGE(N17,X17,AH17),0)</f>
        <v>15.8333333333333</v>
      </c>
      <c r="AJ17" s="33" t="str">
        <f aca="false">IF(AI17&gt;=90,"O",IF(AI17&gt;=75,"A+",IF(AI17&gt;=60,"A",IF(AI17&gt;=50,"B+",IF(AI17&gt;=40,"B","F")))))</f>
        <v>F</v>
      </c>
      <c r="AK17" s="123" t="str">
        <f aca="false">IF(AI17&gt;=75,"L3-High",IF(AI17&gt;=60,"L2-Medium",IF(AI17&gt;=40,"L1-Low","L0-Below")))</f>
        <v>L0-Below</v>
      </c>
      <c r="AL17" s="81" t="str">
        <f aca="false">IF(AI17&gt;=40,"Pass","Fail")</f>
        <v>Fail</v>
      </c>
    </row>
    <row r="18" customFormat="false" ht="19.5" hidden="false" customHeight="true" outlineLevel="0" collapsed="false">
      <c r="A18" s="40" t="n">
        <v>13</v>
      </c>
      <c r="B18" s="40" t="s">
        <v>170</v>
      </c>
      <c r="C18" s="71" t="s">
        <v>171</v>
      </c>
      <c r="D18" s="117" t="n">
        <v>2</v>
      </c>
      <c r="E18" s="73" t="n">
        <f aca="false">IFERROR(D18/4*25,0)</f>
        <v>12.5</v>
      </c>
      <c r="F18" s="118" t="n">
        <v>3</v>
      </c>
      <c r="G18" s="73" t="n">
        <f aca="false">IFERROR(F18/4*25,0)</f>
        <v>18.75</v>
      </c>
      <c r="H18" s="117" t="n">
        <v>2</v>
      </c>
      <c r="I18" s="73" t="n">
        <f aca="false">IFERROR(H18/4*15,0)</f>
        <v>7.5</v>
      </c>
      <c r="J18" s="119" t="n">
        <v>4</v>
      </c>
      <c r="K18" s="73" t="n">
        <f aca="false">IFERROR(J18/4*20,0)</f>
        <v>20</v>
      </c>
      <c r="L18" s="117" t="n">
        <v>2</v>
      </c>
      <c r="M18" s="73" t="n">
        <f aca="false">IFERROR(L18/4*15,0)</f>
        <v>7.5</v>
      </c>
      <c r="N18" s="119" t="n">
        <v>4</v>
      </c>
      <c r="O18" s="73" t="n">
        <f aca="false">IFERROR(N18/4*25,0)</f>
        <v>25</v>
      </c>
      <c r="P18" s="119" t="n">
        <v>4</v>
      </c>
      <c r="Q18" s="73" t="n">
        <f aca="false">IFERROR(P18/4*25,0)</f>
        <v>25</v>
      </c>
      <c r="R18" s="120" t="n">
        <v>1</v>
      </c>
      <c r="S18" s="73" t="n">
        <f aca="false">IFERROR(R18/4*15,0)</f>
        <v>3.75</v>
      </c>
      <c r="T18" s="118" t="n">
        <v>3</v>
      </c>
      <c r="U18" s="73" t="n">
        <f aca="false">IFERROR(T18/4*20,0)</f>
        <v>15</v>
      </c>
      <c r="V18" s="117" t="n">
        <v>2</v>
      </c>
      <c r="W18" s="73" t="n">
        <f aca="false">IFERROR(V18/4*15,0)</f>
        <v>7.5</v>
      </c>
      <c r="X18" s="117" t="n">
        <v>2</v>
      </c>
      <c r="Y18" s="73" t="n">
        <f aca="false">IFERROR(X18/4*25,0)</f>
        <v>12.5</v>
      </c>
      <c r="Z18" s="117" t="n">
        <v>2</v>
      </c>
      <c r="AA18" s="73" t="n">
        <f aca="false">IFERROR(Z18/4*25,0)</f>
        <v>12.5</v>
      </c>
      <c r="AB18" s="120" t="n">
        <v>1</v>
      </c>
      <c r="AC18" s="73" t="n">
        <f aca="false">IFERROR(AB18/4*15,0)</f>
        <v>3.75</v>
      </c>
      <c r="AD18" s="119" t="n">
        <v>4</v>
      </c>
      <c r="AE18" s="73" t="n">
        <f aca="false">IFERROR(AD18/4*20,0)</f>
        <v>20</v>
      </c>
      <c r="AF18" s="120" t="n">
        <v>1</v>
      </c>
      <c r="AG18" s="73" t="n">
        <f aca="false">IFERROR(AF18/4*15,0)</f>
        <v>3.75</v>
      </c>
      <c r="AH18" s="121" t="n">
        <f aca="false">SUM(Y18,AA18,AC18,AE18,AG18)</f>
        <v>52.5</v>
      </c>
      <c r="AI18" s="122" t="n">
        <f aca="false">IFERROR(AVERAGE(N18,X18,AH18),0)</f>
        <v>19.5</v>
      </c>
      <c r="AJ18" s="33" t="str">
        <f aca="false">IF(AI18&gt;=90,"O",IF(AI18&gt;=75,"A+",IF(AI18&gt;=60,"A",IF(AI18&gt;=50,"B+",IF(AI18&gt;=40,"B","F")))))</f>
        <v>F</v>
      </c>
      <c r="AK18" s="123" t="str">
        <f aca="false">IF(AI18&gt;=75,"L3-High",IF(AI18&gt;=60,"L2-Medium",IF(AI18&gt;=40,"L1-Low","L0-Below")))</f>
        <v>L0-Below</v>
      </c>
      <c r="AL18" s="81" t="str">
        <f aca="false">IF(AI18&gt;=40,"Pass","Fail")</f>
        <v>Fail</v>
      </c>
    </row>
    <row r="19" customFormat="false" ht="19.5" hidden="false" customHeight="true" outlineLevel="0" collapsed="false">
      <c r="A19" s="45" t="n">
        <v>14</v>
      </c>
      <c r="B19" s="45" t="s">
        <v>172</v>
      </c>
      <c r="C19" s="83" t="s">
        <v>173</v>
      </c>
      <c r="D19" s="117" t="n">
        <v>2</v>
      </c>
      <c r="E19" s="84" t="n">
        <f aca="false">IFERROR(D19/4*25,0)</f>
        <v>12.5</v>
      </c>
      <c r="F19" s="118" t="n">
        <v>3</v>
      </c>
      <c r="G19" s="84" t="n">
        <f aca="false">IFERROR(F19/4*25,0)</f>
        <v>18.75</v>
      </c>
      <c r="H19" s="117" t="n">
        <v>2</v>
      </c>
      <c r="I19" s="84" t="n">
        <f aca="false">IFERROR(H19/4*15,0)</f>
        <v>7.5</v>
      </c>
      <c r="J19" s="120" t="n">
        <v>1</v>
      </c>
      <c r="K19" s="84" t="n">
        <f aca="false">IFERROR(J19/4*20,0)</f>
        <v>5</v>
      </c>
      <c r="L19" s="120" t="n">
        <v>1</v>
      </c>
      <c r="M19" s="84" t="n">
        <f aca="false">IFERROR(L19/4*15,0)</f>
        <v>3.75</v>
      </c>
      <c r="N19" s="119" t="n">
        <v>4</v>
      </c>
      <c r="O19" s="84" t="n">
        <f aca="false">IFERROR(N19/4*25,0)</f>
        <v>25</v>
      </c>
      <c r="P19" s="119" t="n">
        <v>4</v>
      </c>
      <c r="Q19" s="84" t="n">
        <f aca="false">IFERROR(P19/4*25,0)</f>
        <v>25</v>
      </c>
      <c r="R19" s="119" t="n">
        <v>4</v>
      </c>
      <c r="S19" s="84" t="n">
        <f aca="false">IFERROR(R19/4*15,0)</f>
        <v>15</v>
      </c>
      <c r="T19" s="119" t="n">
        <v>4</v>
      </c>
      <c r="U19" s="84" t="n">
        <f aca="false">IFERROR(T19/4*20,0)</f>
        <v>20</v>
      </c>
      <c r="V19" s="117" t="n">
        <v>2</v>
      </c>
      <c r="W19" s="84" t="n">
        <f aca="false">IFERROR(V19/4*15,0)</f>
        <v>7.5</v>
      </c>
      <c r="X19" s="118" t="n">
        <v>3</v>
      </c>
      <c r="Y19" s="84" t="n">
        <f aca="false">IFERROR(X19/4*25,0)</f>
        <v>18.75</v>
      </c>
      <c r="Z19" s="118" t="n">
        <v>3</v>
      </c>
      <c r="AA19" s="84" t="n">
        <f aca="false">IFERROR(Z19/4*25,0)</f>
        <v>18.75</v>
      </c>
      <c r="AB19" s="117" t="n">
        <v>2</v>
      </c>
      <c r="AC19" s="84" t="n">
        <f aca="false">IFERROR(AB19/4*15,0)</f>
        <v>7.5</v>
      </c>
      <c r="AD19" s="118" t="n">
        <v>3</v>
      </c>
      <c r="AE19" s="84" t="n">
        <f aca="false">IFERROR(AD19/4*20,0)</f>
        <v>15</v>
      </c>
      <c r="AF19" s="118" t="n">
        <v>3</v>
      </c>
      <c r="AG19" s="84" t="n">
        <f aca="false">IFERROR(AF19/4*15,0)</f>
        <v>11.25</v>
      </c>
      <c r="AH19" s="121" t="n">
        <f aca="false">SUM(Y19,AA19,AC19,AE19,AG19)</f>
        <v>71.25</v>
      </c>
      <c r="AI19" s="122" t="n">
        <f aca="false">IFERROR(AVERAGE(N19,X19,AH19),0)</f>
        <v>26.0833333333333</v>
      </c>
      <c r="AJ19" s="33" t="str">
        <f aca="false">IF(AI19&gt;=90,"O",IF(AI19&gt;=75,"A+",IF(AI19&gt;=60,"A",IF(AI19&gt;=50,"B+",IF(AI19&gt;=40,"B","F")))))</f>
        <v>F</v>
      </c>
      <c r="AK19" s="123" t="str">
        <f aca="false">IF(AI19&gt;=75,"L3-High",IF(AI19&gt;=60,"L2-Medium",IF(AI19&gt;=40,"L1-Low","L0-Below")))</f>
        <v>L0-Below</v>
      </c>
      <c r="AL19" s="81" t="str">
        <f aca="false">IF(AI19&gt;=40,"Pass","Fail")</f>
        <v>Fail</v>
      </c>
    </row>
    <row r="20" customFormat="false" ht="19.5" hidden="false" customHeight="true" outlineLevel="0" collapsed="false">
      <c r="A20" s="40" t="n">
        <v>15</v>
      </c>
      <c r="B20" s="40" t="s">
        <v>174</v>
      </c>
      <c r="C20" s="71" t="s">
        <v>175</v>
      </c>
      <c r="D20" s="120" t="n">
        <v>1</v>
      </c>
      <c r="E20" s="73" t="n">
        <f aca="false">IFERROR(D20/4*25,0)</f>
        <v>6.25</v>
      </c>
      <c r="F20" s="120" t="n">
        <v>1</v>
      </c>
      <c r="G20" s="73" t="n">
        <f aca="false">IFERROR(F20/4*25,0)</f>
        <v>6.25</v>
      </c>
      <c r="H20" s="118" t="n">
        <v>3</v>
      </c>
      <c r="I20" s="73" t="n">
        <f aca="false">IFERROR(H20/4*15,0)</f>
        <v>11.25</v>
      </c>
      <c r="J20" s="118" t="n">
        <v>3</v>
      </c>
      <c r="K20" s="73" t="n">
        <f aca="false">IFERROR(J20/4*20,0)</f>
        <v>15</v>
      </c>
      <c r="L20" s="117" t="n">
        <v>2</v>
      </c>
      <c r="M20" s="73" t="n">
        <f aca="false">IFERROR(L20/4*15,0)</f>
        <v>7.5</v>
      </c>
      <c r="N20" s="119" t="n">
        <v>4</v>
      </c>
      <c r="O20" s="73" t="n">
        <f aca="false">IFERROR(N20/4*25,0)</f>
        <v>25</v>
      </c>
      <c r="P20" s="119" t="n">
        <v>4</v>
      </c>
      <c r="Q20" s="73" t="n">
        <f aca="false">IFERROR(P20/4*25,0)</f>
        <v>25</v>
      </c>
      <c r="R20" s="118" t="n">
        <v>3</v>
      </c>
      <c r="S20" s="73" t="n">
        <f aca="false">IFERROR(R20/4*15,0)</f>
        <v>11.25</v>
      </c>
      <c r="T20" s="117" t="n">
        <v>2</v>
      </c>
      <c r="U20" s="73" t="n">
        <f aca="false">IFERROR(T20/4*20,0)</f>
        <v>10</v>
      </c>
      <c r="V20" s="117" t="n">
        <v>2</v>
      </c>
      <c r="W20" s="73" t="n">
        <f aca="false">IFERROR(V20/4*15,0)</f>
        <v>7.5</v>
      </c>
      <c r="X20" s="119" t="n">
        <v>4</v>
      </c>
      <c r="Y20" s="73" t="n">
        <f aca="false">IFERROR(X20/4*25,0)</f>
        <v>25</v>
      </c>
      <c r="Z20" s="117" t="n">
        <v>2</v>
      </c>
      <c r="AA20" s="73" t="n">
        <f aca="false">IFERROR(Z20/4*25,0)</f>
        <v>12.5</v>
      </c>
      <c r="AB20" s="117" t="n">
        <v>2</v>
      </c>
      <c r="AC20" s="73" t="n">
        <f aca="false">IFERROR(AB20/4*15,0)</f>
        <v>7.5</v>
      </c>
      <c r="AD20" s="117" t="n">
        <v>2</v>
      </c>
      <c r="AE20" s="73" t="n">
        <f aca="false">IFERROR(AD20/4*20,0)</f>
        <v>10</v>
      </c>
      <c r="AF20" s="118" t="n">
        <v>3</v>
      </c>
      <c r="AG20" s="73" t="n">
        <f aca="false">IFERROR(AF20/4*15,0)</f>
        <v>11.25</v>
      </c>
      <c r="AH20" s="121" t="n">
        <f aca="false">SUM(Y20,AA20,AC20,AE20,AG20)</f>
        <v>66.25</v>
      </c>
      <c r="AI20" s="122" t="n">
        <f aca="false">IFERROR(AVERAGE(N20,X20,AH20),0)</f>
        <v>24.75</v>
      </c>
      <c r="AJ20" s="33" t="str">
        <f aca="false">IF(AI20&gt;=90,"O",IF(AI20&gt;=75,"A+",IF(AI20&gt;=60,"A",IF(AI20&gt;=50,"B+",IF(AI20&gt;=40,"B","F")))))</f>
        <v>F</v>
      </c>
      <c r="AK20" s="123" t="str">
        <f aca="false">IF(AI20&gt;=75,"L3-High",IF(AI20&gt;=60,"L2-Medium",IF(AI20&gt;=40,"L1-Low","L0-Below")))</f>
        <v>L0-Below</v>
      </c>
      <c r="AL20" s="81" t="str">
        <f aca="false">IF(AI20&gt;=40,"Pass","Fail")</f>
        <v>Fail</v>
      </c>
    </row>
    <row r="21" customFormat="false" ht="19.5" hidden="false" customHeight="true" outlineLevel="0" collapsed="false">
      <c r="A21" s="45" t="n">
        <v>16</v>
      </c>
      <c r="B21" s="45" t="s">
        <v>176</v>
      </c>
      <c r="C21" s="83" t="s">
        <v>177</v>
      </c>
      <c r="D21" s="120" t="n">
        <v>1</v>
      </c>
      <c r="E21" s="84" t="n">
        <f aca="false">IFERROR(D21/4*25,0)</f>
        <v>6.25</v>
      </c>
      <c r="F21" s="118" t="n">
        <v>3</v>
      </c>
      <c r="G21" s="84" t="n">
        <f aca="false">IFERROR(F21/4*25,0)</f>
        <v>18.75</v>
      </c>
      <c r="H21" s="118" t="n">
        <v>3</v>
      </c>
      <c r="I21" s="84" t="n">
        <f aca="false">IFERROR(H21/4*15,0)</f>
        <v>11.25</v>
      </c>
      <c r="J21" s="120" t="n">
        <v>1</v>
      </c>
      <c r="K21" s="84" t="n">
        <f aca="false">IFERROR(J21/4*20,0)</f>
        <v>5</v>
      </c>
      <c r="L21" s="117" t="n">
        <v>2</v>
      </c>
      <c r="M21" s="84" t="n">
        <f aca="false">IFERROR(L21/4*15,0)</f>
        <v>7.5</v>
      </c>
      <c r="N21" s="118" t="n">
        <v>3</v>
      </c>
      <c r="O21" s="84" t="n">
        <f aca="false">IFERROR(N21/4*25,0)</f>
        <v>18.75</v>
      </c>
      <c r="P21" s="119" t="n">
        <v>4</v>
      </c>
      <c r="Q21" s="84" t="n">
        <f aca="false">IFERROR(P21/4*25,0)</f>
        <v>25</v>
      </c>
      <c r="R21" s="117" t="n">
        <v>2</v>
      </c>
      <c r="S21" s="84" t="n">
        <f aca="false">IFERROR(R21/4*15,0)</f>
        <v>7.5</v>
      </c>
      <c r="T21" s="120" t="n">
        <v>1</v>
      </c>
      <c r="U21" s="84" t="n">
        <f aca="false">IFERROR(T21/4*20,0)</f>
        <v>5</v>
      </c>
      <c r="V21" s="118" t="n">
        <v>3</v>
      </c>
      <c r="W21" s="84" t="n">
        <f aca="false">IFERROR(V21/4*15,0)</f>
        <v>11.25</v>
      </c>
      <c r="X21" s="120" t="n">
        <v>1</v>
      </c>
      <c r="Y21" s="84" t="n">
        <f aca="false">IFERROR(X21/4*25,0)</f>
        <v>6.25</v>
      </c>
      <c r="Z21" s="118" t="n">
        <v>3</v>
      </c>
      <c r="AA21" s="84" t="n">
        <f aca="false">IFERROR(Z21/4*25,0)</f>
        <v>18.75</v>
      </c>
      <c r="AB21" s="118" t="n">
        <v>3</v>
      </c>
      <c r="AC21" s="84" t="n">
        <f aca="false">IFERROR(AB21/4*15,0)</f>
        <v>11.25</v>
      </c>
      <c r="AD21" s="118" t="n">
        <v>3</v>
      </c>
      <c r="AE21" s="84" t="n">
        <f aca="false">IFERROR(AD21/4*20,0)</f>
        <v>15</v>
      </c>
      <c r="AF21" s="118" t="n">
        <v>3</v>
      </c>
      <c r="AG21" s="84" t="n">
        <f aca="false">IFERROR(AF21/4*15,0)</f>
        <v>11.25</v>
      </c>
      <c r="AH21" s="121" t="n">
        <f aca="false">SUM(Y21,AA21,AC21,AE21,AG21)</f>
        <v>62.5</v>
      </c>
      <c r="AI21" s="122" t="n">
        <f aca="false">IFERROR(AVERAGE(N21,X21,AH21),0)</f>
        <v>22.1666666666667</v>
      </c>
      <c r="AJ21" s="33" t="str">
        <f aca="false">IF(AI21&gt;=90,"O",IF(AI21&gt;=75,"A+",IF(AI21&gt;=60,"A",IF(AI21&gt;=50,"B+",IF(AI21&gt;=40,"B","F")))))</f>
        <v>F</v>
      </c>
      <c r="AK21" s="123" t="str">
        <f aca="false">IF(AI21&gt;=75,"L3-High",IF(AI21&gt;=60,"L2-Medium",IF(AI21&gt;=40,"L1-Low","L0-Below")))</f>
        <v>L0-Below</v>
      </c>
      <c r="AL21" s="81" t="str">
        <f aca="false">IF(AI21&gt;=40,"Pass","Fail")</f>
        <v>Fail</v>
      </c>
    </row>
    <row r="22" customFormat="false" ht="19.5" hidden="false" customHeight="true" outlineLevel="0" collapsed="false">
      <c r="A22" s="40" t="n">
        <v>17</v>
      </c>
      <c r="B22" s="40" t="s">
        <v>178</v>
      </c>
      <c r="C22" s="71" t="s">
        <v>179</v>
      </c>
      <c r="D22" s="119" t="n">
        <v>4</v>
      </c>
      <c r="E22" s="73" t="n">
        <f aca="false">IFERROR(D22/4*25,0)</f>
        <v>25</v>
      </c>
      <c r="F22" s="120" t="n">
        <v>1</v>
      </c>
      <c r="G22" s="73" t="n">
        <f aca="false">IFERROR(F22/4*25,0)</f>
        <v>6.25</v>
      </c>
      <c r="H22" s="119" t="n">
        <v>4</v>
      </c>
      <c r="I22" s="73" t="n">
        <f aca="false">IFERROR(H22/4*15,0)</f>
        <v>15</v>
      </c>
      <c r="J22" s="117" t="n">
        <v>2</v>
      </c>
      <c r="K22" s="73" t="n">
        <f aca="false">IFERROR(J22/4*20,0)</f>
        <v>10</v>
      </c>
      <c r="L22" s="119" t="n">
        <v>4</v>
      </c>
      <c r="M22" s="73" t="n">
        <f aca="false">IFERROR(L22/4*15,0)</f>
        <v>15</v>
      </c>
      <c r="N22" s="118" t="n">
        <v>3</v>
      </c>
      <c r="O22" s="73" t="n">
        <f aca="false">IFERROR(N22/4*25,0)</f>
        <v>18.75</v>
      </c>
      <c r="P22" s="119" t="n">
        <v>4</v>
      </c>
      <c r="Q22" s="73" t="n">
        <f aca="false">IFERROR(P22/4*25,0)</f>
        <v>25</v>
      </c>
      <c r="R22" s="120" t="n">
        <v>1</v>
      </c>
      <c r="S22" s="73" t="n">
        <f aca="false">IFERROR(R22/4*15,0)</f>
        <v>3.75</v>
      </c>
      <c r="T22" s="117" t="n">
        <v>2</v>
      </c>
      <c r="U22" s="73" t="n">
        <f aca="false">IFERROR(T22/4*20,0)</f>
        <v>10</v>
      </c>
      <c r="V22" s="119" t="n">
        <v>4</v>
      </c>
      <c r="W22" s="73" t="n">
        <f aca="false">IFERROR(V22/4*15,0)</f>
        <v>15</v>
      </c>
      <c r="X22" s="118" t="n">
        <v>3</v>
      </c>
      <c r="Y22" s="73" t="n">
        <f aca="false">IFERROR(X22/4*25,0)</f>
        <v>18.75</v>
      </c>
      <c r="Z22" s="120" t="n">
        <v>1</v>
      </c>
      <c r="AA22" s="73" t="n">
        <f aca="false">IFERROR(Z22/4*25,0)</f>
        <v>6.25</v>
      </c>
      <c r="AB22" s="118" t="n">
        <v>3</v>
      </c>
      <c r="AC22" s="73" t="n">
        <f aca="false">IFERROR(AB22/4*15,0)</f>
        <v>11.25</v>
      </c>
      <c r="AD22" s="119" t="n">
        <v>4</v>
      </c>
      <c r="AE22" s="73" t="n">
        <f aca="false">IFERROR(AD22/4*20,0)</f>
        <v>20</v>
      </c>
      <c r="AF22" s="118" t="n">
        <v>3</v>
      </c>
      <c r="AG22" s="73" t="n">
        <f aca="false">IFERROR(AF22/4*15,0)</f>
        <v>11.25</v>
      </c>
      <c r="AH22" s="121" t="n">
        <f aca="false">SUM(Y22,AA22,AC22,AE22,AG22)</f>
        <v>67.5</v>
      </c>
      <c r="AI22" s="122" t="n">
        <f aca="false">IFERROR(AVERAGE(N22,X22,AH22),0)</f>
        <v>24.5</v>
      </c>
      <c r="AJ22" s="33" t="str">
        <f aca="false">IF(AI22&gt;=90,"O",IF(AI22&gt;=75,"A+",IF(AI22&gt;=60,"A",IF(AI22&gt;=50,"B+",IF(AI22&gt;=40,"B","F")))))</f>
        <v>F</v>
      </c>
      <c r="AK22" s="123" t="str">
        <f aca="false">IF(AI22&gt;=75,"L3-High",IF(AI22&gt;=60,"L2-Medium",IF(AI22&gt;=40,"L1-Low","L0-Below")))</f>
        <v>L0-Below</v>
      </c>
      <c r="AL22" s="81" t="str">
        <f aca="false">IF(AI22&gt;=40,"Pass","Fail")</f>
        <v>Fail</v>
      </c>
    </row>
    <row r="23" customFormat="false" ht="19.5" hidden="false" customHeight="true" outlineLevel="0" collapsed="false">
      <c r="A23" s="45" t="n">
        <v>18</v>
      </c>
      <c r="B23" s="45" t="s">
        <v>180</v>
      </c>
      <c r="C23" s="83" t="s">
        <v>181</v>
      </c>
      <c r="D23" s="117" t="n">
        <v>2</v>
      </c>
      <c r="E23" s="84" t="n">
        <f aca="false">IFERROR(D23/4*25,0)</f>
        <v>12.5</v>
      </c>
      <c r="F23" s="118" t="n">
        <v>3</v>
      </c>
      <c r="G23" s="84" t="n">
        <f aca="false">IFERROR(F23/4*25,0)</f>
        <v>18.75</v>
      </c>
      <c r="H23" s="119" t="n">
        <v>4</v>
      </c>
      <c r="I23" s="84" t="n">
        <f aca="false">IFERROR(H23/4*15,0)</f>
        <v>15</v>
      </c>
      <c r="J23" s="117" t="n">
        <v>2</v>
      </c>
      <c r="K23" s="84" t="n">
        <f aca="false">IFERROR(J23/4*20,0)</f>
        <v>10</v>
      </c>
      <c r="L23" s="118" t="n">
        <v>3</v>
      </c>
      <c r="M23" s="84" t="n">
        <f aca="false">IFERROR(L23/4*15,0)</f>
        <v>11.25</v>
      </c>
      <c r="N23" s="120" t="n">
        <v>1</v>
      </c>
      <c r="O23" s="84" t="n">
        <f aca="false">IFERROR(N23/4*25,0)</f>
        <v>6.25</v>
      </c>
      <c r="P23" s="119" t="n">
        <v>4</v>
      </c>
      <c r="Q23" s="84" t="n">
        <f aca="false">IFERROR(P23/4*25,0)</f>
        <v>25</v>
      </c>
      <c r="R23" s="120" t="n">
        <v>1</v>
      </c>
      <c r="S23" s="84" t="n">
        <f aca="false">IFERROR(R23/4*15,0)</f>
        <v>3.75</v>
      </c>
      <c r="T23" s="119" t="n">
        <v>4</v>
      </c>
      <c r="U23" s="84" t="n">
        <f aca="false">IFERROR(T23/4*20,0)</f>
        <v>20</v>
      </c>
      <c r="V23" s="117" t="n">
        <v>2</v>
      </c>
      <c r="W23" s="84" t="n">
        <f aca="false">IFERROR(V23/4*15,0)</f>
        <v>7.5</v>
      </c>
      <c r="X23" s="120" t="n">
        <v>1</v>
      </c>
      <c r="Y23" s="84" t="n">
        <f aca="false">IFERROR(X23/4*25,0)</f>
        <v>6.25</v>
      </c>
      <c r="Z23" s="119" t="n">
        <v>4</v>
      </c>
      <c r="AA23" s="84" t="n">
        <f aca="false">IFERROR(Z23/4*25,0)</f>
        <v>25</v>
      </c>
      <c r="AB23" s="118" t="n">
        <v>3</v>
      </c>
      <c r="AC23" s="84" t="n">
        <f aca="false">IFERROR(AB23/4*15,0)</f>
        <v>11.25</v>
      </c>
      <c r="AD23" s="119" t="n">
        <v>4</v>
      </c>
      <c r="AE23" s="84" t="n">
        <f aca="false">IFERROR(AD23/4*20,0)</f>
        <v>20</v>
      </c>
      <c r="AF23" s="119" t="n">
        <v>4</v>
      </c>
      <c r="AG23" s="84" t="n">
        <f aca="false">IFERROR(AF23/4*15,0)</f>
        <v>15</v>
      </c>
      <c r="AH23" s="121" t="n">
        <f aca="false">SUM(Y23,AA23,AC23,AE23,AG23)</f>
        <v>77.5</v>
      </c>
      <c r="AI23" s="122" t="n">
        <f aca="false">IFERROR(AVERAGE(N23,X23,AH23),0)</f>
        <v>26.5</v>
      </c>
      <c r="AJ23" s="33" t="str">
        <f aca="false">IF(AI23&gt;=90,"O",IF(AI23&gt;=75,"A+",IF(AI23&gt;=60,"A",IF(AI23&gt;=50,"B+",IF(AI23&gt;=40,"B","F")))))</f>
        <v>F</v>
      </c>
      <c r="AK23" s="123" t="str">
        <f aca="false">IF(AI23&gt;=75,"L3-High",IF(AI23&gt;=60,"L2-Medium",IF(AI23&gt;=40,"L1-Low","L0-Below")))</f>
        <v>L0-Below</v>
      </c>
      <c r="AL23" s="81" t="str">
        <f aca="false">IF(AI23&gt;=40,"Pass","Fail")</f>
        <v>Fail</v>
      </c>
    </row>
    <row r="24" customFormat="false" ht="19.5" hidden="false" customHeight="true" outlineLevel="0" collapsed="false">
      <c r="A24" s="40" t="n">
        <v>19</v>
      </c>
      <c r="B24" s="40" t="s">
        <v>182</v>
      </c>
      <c r="C24" s="71" t="s">
        <v>183</v>
      </c>
      <c r="D24" s="119" t="n">
        <v>4</v>
      </c>
      <c r="E24" s="73" t="n">
        <f aca="false">IFERROR(D24/4*25,0)</f>
        <v>25</v>
      </c>
      <c r="F24" s="119" t="n">
        <v>4</v>
      </c>
      <c r="G24" s="73" t="n">
        <f aca="false">IFERROR(F24/4*25,0)</f>
        <v>25</v>
      </c>
      <c r="H24" s="117" t="n">
        <v>2</v>
      </c>
      <c r="I24" s="73" t="n">
        <f aca="false">IFERROR(H24/4*15,0)</f>
        <v>7.5</v>
      </c>
      <c r="J24" s="120" t="n">
        <v>1</v>
      </c>
      <c r="K24" s="73" t="n">
        <f aca="false">IFERROR(J24/4*20,0)</f>
        <v>5</v>
      </c>
      <c r="L24" s="118" t="n">
        <v>3</v>
      </c>
      <c r="M24" s="73" t="n">
        <f aca="false">IFERROR(L24/4*15,0)</f>
        <v>11.25</v>
      </c>
      <c r="N24" s="117" t="n">
        <v>2</v>
      </c>
      <c r="O24" s="73" t="n">
        <f aca="false">IFERROR(N24/4*25,0)</f>
        <v>12.5</v>
      </c>
      <c r="P24" s="120" t="n">
        <v>1</v>
      </c>
      <c r="Q24" s="73" t="n">
        <f aca="false">IFERROR(P24/4*25,0)</f>
        <v>6.25</v>
      </c>
      <c r="R24" s="120" t="n">
        <v>1</v>
      </c>
      <c r="S24" s="73" t="n">
        <f aca="false">IFERROR(R24/4*15,0)</f>
        <v>3.75</v>
      </c>
      <c r="T24" s="119" t="n">
        <v>4</v>
      </c>
      <c r="U24" s="73" t="n">
        <f aca="false">IFERROR(T24/4*20,0)</f>
        <v>20</v>
      </c>
      <c r="V24" s="120" t="n">
        <v>1</v>
      </c>
      <c r="W24" s="73" t="n">
        <f aca="false">IFERROR(V24/4*15,0)</f>
        <v>3.75</v>
      </c>
      <c r="X24" s="120" t="n">
        <v>1</v>
      </c>
      <c r="Y24" s="73" t="n">
        <f aca="false">IFERROR(X24/4*25,0)</f>
        <v>6.25</v>
      </c>
      <c r="Z24" s="117" t="n">
        <v>2</v>
      </c>
      <c r="AA24" s="73" t="n">
        <f aca="false">IFERROR(Z24/4*25,0)</f>
        <v>12.5</v>
      </c>
      <c r="AB24" s="120" t="n">
        <v>1</v>
      </c>
      <c r="AC24" s="73" t="n">
        <f aca="false">IFERROR(AB24/4*15,0)</f>
        <v>3.75</v>
      </c>
      <c r="AD24" s="118" t="n">
        <v>3</v>
      </c>
      <c r="AE24" s="73" t="n">
        <f aca="false">IFERROR(AD24/4*20,0)</f>
        <v>15</v>
      </c>
      <c r="AF24" s="118" t="n">
        <v>3</v>
      </c>
      <c r="AG24" s="73" t="n">
        <f aca="false">IFERROR(AF24/4*15,0)</f>
        <v>11.25</v>
      </c>
      <c r="AH24" s="121" t="n">
        <f aca="false">SUM(Y24,AA24,AC24,AE24,AG24)</f>
        <v>48.75</v>
      </c>
      <c r="AI24" s="122" t="n">
        <f aca="false">IFERROR(AVERAGE(N24,X24,AH24),0)</f>
        <v>17.25</v>
      </c>
      <c r="AJ24" s="33" t="str">
        <f aca="false">IF(AI24&gt;=90,"O",IF(AI24&gt;=75,"A+",IF(AI24&gt;=60,"A",IF(AI24&gt;=50,"B+",IF(AI24&gt;=40,"B","F")))))</f>
        <v>F</v>
      </c>
      <c r="AK24" s="123" t="str">
        <f aca="false">IF(AI24&gt;=75,"L3-High",IF(AI24&gt;=60,"L2-Medium",IF(AI24&gt;=40,"L1-Low","L0-Below")))</f>
        <v>L0-Below</v>
      </c>
      <c r="AL24" s="81" t="str">
        <f aca="false">IF(AI24&gt;=40,"Pass","Fail")</f>
        <v>Fail</v>
      </c>
    </row>
    <row r="25" customFormat="false" ht="19.5" hidden="false" customHeight="true" outlineLevel="0" collapsed="false">
      <c r="A25" s="45" t="n">
        <v>20</v>
      </c>
      <c r="B25" s="45" t="s">
        <v>184</v>
      </c>
      <c r="C25" s="83" t="s">
        <v>185</v>
      </c>
      <c r="D25" s="119" t="n">
        <v>4</v>
      </c>
      <c r="E25" s="84" t="n">
        <f aca="false">IFERROR(D25/4*25,0)</f>
        <v>25</v>
      </c>
      <c r="F25" s="119" t="n">
        <v>4</v>
      </c>
      <c r="G25" s="84" t="n">
        <f aca="false">IFERROR(F25/4*25,0)</f>
        <v>25</v>
      </c>
      <c r="H25" s="120" t="n">
        <v>1</v>
      </c>
      <c r="I25" s="84" t="n">
        <f aca="false">IFERROR(H25/4*15,0)</f>
        <v>3.75</v>
      </c>
      <c r="J25" s="118" t="n">
        <v>3</v>
      </c>
      <c r="K25" s="84" t="n">
        <f aca="false">IFERROR(J25/4*20,0)</f>
        <v>15</v>
      </c>
      <c r="L25" s="119" t="n">
        <v>4</v>
      </c>
      <c r="M25" s="84" t="n">
        <f aca="false">IFERROR(L25/4*15,0)</f>
        <v>15</v>
      </c>
      <c r="N25" s="117" t="n">
        <v>2</v>
      </c>
      <c r="O25" s="84" t="n">
        <f aca="false">IFERROR(N25/4*25,0)</f>
        <v>12.5</v>
      </c>
      <c r="P25" s="119" t="n">
        <v>4</v>
      </c>
      <c r="Q25" s="84" t="n">
        <f aca="false">IFERROR(P25/4*25,0)</f>
        <v>25</v>
      </c>
      <c r="R25" s="117" t="n">
        <v>2</v>
      </c>
      <c r="S25" s="84" t="n">
        <f aca="false">IFERROR(R25/4*15,0)</f>
        <v>7.5</v>
      </c>
      <c r="T25" s="117" t="n">
        <v>2</v>
      </c>
      <c r="U25" s="84" t="n">
        <f aca="false">IFERROR(T25/4*20,0)</f>
        <v>10</v>
      </c>
      <c r="V25" s="119" t="n">
        <v>4</v>
      </c>
      <c r="W25" s="84" t="n">
        <f aca="false">IFERROR(V25/4*15,0)</f>
        <v>15</v>
      </c>
      <c r="X25" s="118" t="n">
        <v>3</v>
      </c>
      <c r="Y25" s="84" t="n">
        <f aca="false">IFERROR(X25/4*25,0)</f>
        <v>18.75</v>
      </c>
      <c r="Z25" s="117" t="n">
        <v>2</v>
      </c>
      <c r="AA25" s="84" t="n">
        <f aca="false">IFERROR(Z25/4*25,0)</f>
        <v>12.5</v>
      </c>
      <c r="AB25" s="119" t="n">
        <v>4</v>
      </c>
      <c r="AC25" s="84" t="n">
        <f aca="false">IFERROR(AB25/4*15,0)</f>
        <v>15</v>
      </c>
      <c r="AD25" s="119" t="n">
        <v>4</v>
      </c>
      <c r="AE25" s="84" t="n">
        <f aca="false">IFERROR(AD25/4*20,0)</f>
        <v>20</v>
      </c>
      <c r="AF25" s="120" t="n">
        <v>1</v>
      </c>
      <c r="AG25" s="84" t="n">
        <f aca="false">IFERROR(AF25/4*15,0)</f>
        <v>3.75</v>
      </c>
      <c r="AH25" s="121" t="n">
        <f aca="false">SUM(Y25,AA25,AC25,AE25,AG25)</f>
        <v>70</v>
      </c>
      <c r="AI25" s="122" t="n">
        <f aca="false">IFERROR(AVERAGE(N25,X25,AH25),0)</f>
        <v>25</v>
      </c>
      <c r="AJ25" s="33" t="str">
        <f aca="false">IF(AI25&gt;=90,"O",IF(AI25&gt;=75,"A+",IF(AI25&gt;=60,"A",IF(AI25&gt;=50,"B+",IF(AI25&gt;=40,"B","F")))))</f>
        <v>F</v>
      </c>
      <c r="AK25" s="123" t="str">
        <f aca="false">IF(AI25&gt;=75,"L3-High",IF(AI25&gt;=60,"L2-Medium",IF(AI25&gt;=40,"L1-Low","L0-Below")))</f>
        <v>L0-Below</v>
      </c>
      <c r="AL25" s="81" t="str">
        <f aca="false">IF(AI25&gt;=40,"Pass","Fail")</f>
        <v>Fail</v>
      </c>
    </row>
    <row r="26" customFormat="false" ht="19.5" hidden="false" customHeight="true" outlineLevel="0" collapsed="false">
      <c r="A26" s="40" t="n">
        <v>21</v>
      </c>
      <c r="B26" s="40" t="s">
        <v>186</v>
      </c>
      <c r="C26" s="71" t="s">
        <v>187</v>
      </c>
      <c r="D26" s="119" t="n">
        <v>4</v>
      </c>
      <c r="E26" s="73" t="n">
        <f aca="false">IFERROR(D26/4*25,0)</f>
        <v>25</v>
      </c>
      <c r="F26" s="117" t="n">
        <v>2</v>
      </c>
      <c r="G26" s="73" t="n">
        <f aca="false">IFERROR(F26/4*25,0)</f>
        <v>12.5</v>
      </c>
      <c r="H26" s="118" t="n">
        <v>3</v>
      </c>
      <c r="I26" s="73" t="n">
        <f aca="false">IFERROR(H26/4*15,0)</f>
        <v>11.25</v>
      </c>
      <c r="J26" s="119" t="n">
        <v>4</v>
      </c>
      <c r="K26" s="73" t="n">
        <f aca="false">IFERROR(J26/4*20,0)</f>
        <v>20</v>
      </c>
      <c r="L26" s="119" t="n">
        <v>4</v>
      </c>
      <c r="M26" s="73" t="n">
        <f aca="false">IFERROR(L26/4*15,0)</f>
        <v>15</v>
      </c>
      <c r="N26" s="118" t="n">
        <v>3</v>
      </c>
      <c r="O26" s="73" t="n">
        <f aca="false">IFERROR(N26/4*25,0)</f>
        <v>18.75</v>
      </c>
      <c r="P26" s="117" t="n">
        <v>2</v>
      </c>
      <c r="Q26" s="73" t="n">
        <f aca="false">IFERROR(P26/4*25,0)</f>
        <v>12.5</v>
      </c>
      <c r="R26" s="117" t="n">
        <v>2</v>
      </c>
      <c r="S26" s="73" t="n">
        <f aca="false">IFERROR(R26/4*15,0)</f>
        <v>7.5</v>
      </c>
      <c r="T26" s="119" t="n">
        <v>4</v>
      </c>
      <c r="U26" s="73" t="n">
        <f aca="false">IFERROR(T26/4*20,0)</f>
        <v>20</v>
      </c>
      <c r="V26" s="118" t="n">
        <v>3</v>
      </c>
      <c r="W26" s="73" t="n">
        <f aca="false">IFERROR(V26/4*15,0)</f>
        <v>11.25</v>
      </c>
      <c r="X26" s="119" t="n">
        <v>4</v>
      </c>
      <c r="Y26" s="73" t="n">
        <f aca="false">IFERROR(X26/4*25,0)</f>
        <v>25</v>
      </c>
      <c r="Z26" s="117" t="n">
        <v>2</v>
      </c>
      <c r="AA26" s="73" t="n">
        <f aca="false">IFERROR(Z26/4*25,0)</f>
        <v>12.5</v>
      </c>
      <c r="AB26" s="119" t="n">
        <v>4</v>
      </c>
      <c r="AC26" s="73" t="n">
        <f aca="false">IFERROR(AB26/4*15,0)</f>
        <v>15</v>
      </c>
      <c r="AD26" s="119" t="n">
        <v>4</v>
      </c>
      <c r="AE26" s="73" t="n">
        <f aca="false">IFERROR(AD26/4*20,0)</f>
        <v>20</v>
      </c>
      <c r="AF26" s="120" t="n">
        <v>1</v>
      </c>
      <c r="AG26" s="73" t="n">
        <f aca="false">IFERROR(AF26/4*15,0)</f>
        <v>3.75</v>
      </c>
      <c r="AH26" s="121" t="n">
        <f aca="false">SUM(Y26,AA26,AC26,AE26,AG26)</f>
        <v>76.25</v>
      </c>
      <c r="AI26" s="122" t="n">
        <f aca="false">IFERROR(AVERAGE(N26,X26,AH26),0)</f>
        <v>27.75</v>
      </c>
      <c r="AJ26" s="33" t="str">
        <f aca="false">IF(AI26&gt;=90,"O",IF(AI26&gt;=75,"A+",IF(AI26&gt;=60,"A",IF(AI26&gt;=50,"B+",IF(AI26&gt;=40,"B","F")))))</f>
        <v>F</v>
      </c>
      <c r="AK26" s="123" t="str">
        <f aca="false">IF(AI26&gt;=75,"L3-High",IF(AI26&gt;=60,"L2-Medium",IF(AI26&gt;=40,"L1-Low","L0-Below")))</f>
        <v>L0-Below</v>
      </c>
      <c r="AL26" s="81" t="str">
        <f aca="false">IF(AI26&gt;=40,"Pass","Fail")</f>
        <v>Fail</v>
      </c>
    </row>
    <row r="27" customFormat="false" ht="19.5" hidden="false" customHeight="true" outlineLevel="0" collapsed="false">
      <c r="A27" s="45" t="n">
        <v>22</v>
      </c>
      <c r="B27" s="45" t="s">
        <v>188</v>
      </c>
      <c r="C27" s="83" t="s">
        <v>189</v>
      </c>
      <c r="D27" s="119" t="n">
        <v>4</v>
      </c>
      <c r="E27" s="84" t="n">
        <f aca="false">IFERROR(D27/4*25,0)</f>
        <v>25</v>
      </c>
      <c r="F27" s="117" t="n">
        <v>2</v>
      </c>
      <c r="G27" s="84" t="n">
        <f aca="false">IFERROR(F27/4*25,0)</f>
        <v>12.5</v>
      </c>
      <c r="H27" s="120" t="n">
        <v>1</v>
      </c>
      <c r="I27" s="84" t="n">
        <f aca="false">IFERROR(H27/4*15,0)</f>
        <v>3.75</v>
      </c>
      <c r="J27" s="119" t="n">
        <v>4</v>
      </c>
      <c r="K27" s="84" t="n">
        <f aca="false">IFERROR(J27/4*20,0)</f>
        <v>20</v>
      </c>
      <c r="L27" s="117" t="n">
        <v>2</v>
      </c>
      <c r="M27" s="84" t="n">
        <f aca="false">IFERROR(L27/4*15,0)</f>
        <v>7.5</v>
      </c>
      <c r="N27" s="119" t="n">
        <v>4</v>
      </c>
      <c r="O27" s="84" t="n">
        <f aca="false">IFERROR(N27/4*25,0)</f>
        <v>25</v>
      </c>
      <c r="P27" s="119" t="n">
        <v>4</v>
      </c>
      <c r="Q27" s="84" t="n">
        <f aca="false">IFERROR(P27/4*25,0)</f>
        <v>25</v>
      </c>
      <c r="R27" s="120" t="n">
        <v>1</v>
      </c>
      <c r="S27" s="84" t="n">
        <f aca="false">IFERROR(R27/4*15,0)</f>
        <v>3.75</v>
      </c>
      <c r="T27" s="117" t="n">
        <v>2</v>
      </c>
      <c r="U27" s="84" t="n">
        <f aca="false">IFERROR(T27/4*20,0)</f>
        <v>10</v>
      </c>
      <c r="V27" s="120" t="n">
        <v>1</v>
      </c>
      <c r="W27" s="84" t="n">
        <f aca="false">IFERROR(V27/4*15,0)</f>
        <v>3.75</v>
      </c>
      <c r="X27" s="120" t="n">
        <v>1</v>
      </c>
      <c r="Y27" s="84" t="n">
        <f aca="false">IFERROR(X27/4*25,0)</f>
        <v>6.25</v>
      </c>
      <c r="Z27" s="120" t="n">
        <v>1</v>
      </c>
      <c r="AA27" s="84" t="n">
        <f aca="false">IFERROR(Z27/4*25,0)</f>
        <v>6.25</v>
      </c>
      <c r="AB27" s="118" t="n">
        <v>3</v>
      </c>
      <c r="AC27" s="84" t="n">
        <f aca="false">IFERROR(AB27/4*15,0)</f>
        <v>11.25</v>
      </c>
      <c r="AD27" s="118" t="n">
        <v>3</v>
      </c>
      <c r="AE27" s="84" t="n">
        <f aca="false">IFERROR(AD27/4*20,0)</f>
        <v>15</v>
      </c>
      <c r="AF27" s="120" t="n">
        <v>1</v>
      </c>
      <c r="AG27" s="84" t="n">
        <f aca="false">IFERROR(AF27/4*15,0)</f>
        <v>3.75</v>
      </c>
      <c r="AH27" s="121" t="n">
        <f aca="false">SUM(Y27,AA27,AC27,AE27,AG27)</f>
        <v>42.5</v>
      </c>
      <c r="AI27" s="122" t="n">
        <f aca="false">IFERROR(AVERAGE(N27,X27,AH27),0)</f>
        <v>15.8333333333333</v>
      </c>
      <c r="AJ27" s="33" t="str">
        <f aca="false">IF(AI27&gt;=90,"O",IF(AI27&gt;=75,"A+",IF(AI27&gt;=60,"A",IF(AI27&gt;=50,"B+",IF(AI27&gt;=40,"B","F")))))</f>
        <v>F</v>
      </c>
      <c r="AK27" s="123" t="str">
        <f aca="false">IF(AI27&gt;=75,"L3-High",IF(AI27&gt;=60,"L2-Medium",IF(AI27&gt;=40,"L1-Low","L0-Below")))</f>
        <v>L0-Below</v>
      </c>
      <c r="AL27" s="81" t="str">
        <f aca="false">IF(AI27&gt;=40,"Pass","Fail")</f>
        <v>Fail</v>
      </c>
    </row>
    <row r="28" customFormat="false" ht="19.5" hidden="false" customHeight="true" outlineLevel="0" collapsed="false">
      <c r="A28" s="40" t="n">
        <v>23</v>
      </c>
      <c r="B28" s="40" t="s">
        <v>190</v>
      </c>
      <c r="C28" s="71" t="s">
        <v>191</v>
      </c>
      <c r="D28" s="117" t="n">
        <v>2</v>
      </c>
      <c r="E28" s="73" t="n">
        <f aca="false">IFERROR(D28/4*25,0)</f>
        <v>12.5</v>
      </c>
      <c r="F28" s="118" t="n">
        <v>3</v>
      </c>
      <c r="G28" s="73" t="n">
        <f aca="false">IFERROR(F28/4*25,0)</f>
        <v>18.75</v>
      </c>
      <c r="H28" s="117" t="n">
        <v>2</v>
      </c>
      <c r="I28" s="73" t="n">
        <f aca="false">IFERROR(H28/4*15,0)</f>
        <v>7.5</v>
      </c>
      <c r="J28" s="118" t="n">
        <v>3</v>
      </c>
      <c r="K28" s="73" t="n">
        <f aca="false">IFERROR(J28/4*20,0)</f>
        <v>15</v>
      </c>
      <c r="L28" s="118" t="n">
        <v>3</v>
      </c>
      <c r="M28" s="73" t="n">
        <f aca="false">IFERROR(L28/4*15,0)</f>
        <v>11.25</v>
      </c>
      <c r="N28" s="119" t="n">
        <v>4</v>
      </c>
      <c r="O28" s="73" t="n">
        <f aca="false">IFERROR(N28/4*25,0)</f>
        <v>25</v>
      </c>
      <c r="P28" s="118" t="n">
        <v>3</v>
      </c>
      <c r="Q28" s="73" t="n">
        <f aca="false">IFERROR(P28/4*25,0)</f>
        <v>18.75</v>
      </c>
      <c r="R28" s="118" t="n">
        <v>3</v>
      </c>
      <c r="S28" s="73" t="n">
        <f aca="false">IFERROR(R28/4*15,0)</f>
        <v>11.25</v>
      </c>
      <c r="T28" s="120" t="n">
        <v>1</v>
      </c>
      <c r="U28" s="73" t="n">
        <f aca="false">IFERROR(T28/4*20,0)</f>
        <v>5</v>
      </c>
      <c r="V28" s="118" t="n">
        <v>3</v>
      </c>
      <c r="W28" s="73" t="n">
        <f aca="false">IFERROR(V28/4*15,0)</f>
        <v>11.25</v>
      </c>
      <c r="X28" s="119" t="n">
        <v>4</v>
      </c>
      <c r="Y28" s="73" t="n">
        <f aca="false">IFERROR(X28/4*25,0)</f>
        <v>25</v>
      </c>
      <c r="Z28" s="118" t="n">
        <v>3</v>
      </c>
      <c r="AA28" s="73" t="n">
        <f aca="false">IFERROR(Z28/4*25,0)</f>
        <v>18.75</v>
      </c>
      <c r="AB28" s="118" t="n">
        <v>3</v>
      </c>
      <c r="AC28" s="73" t="n">
        <f aca="false">IFERROR(AB28/4*15,0)</f>
        <v>11.25</v>
      </c>
      <c r="AD28" s="117" t="n">
        <v>2</v>
      </c>
      <c r="AE28" s="73" t="n">
        <f aca="false">IFERROR(AD28/4*20,0)</f>
        <v>10</v>
      </c>
      <c r="AF28" s="119" t="n">
        <v>4</v>
      </c>
      <c r="AG28" s="73" t="n">
        <f aca="false">IFERROR(AF28/4*15,0)</f>
        <v>15</v>
      </c>
      <c r="AH28" s="121" t="n">
        <f aca="false">SUM(Y28,AA28,AC28,AE28,AG28)</f>
        <v>80</v>
      </c>
      <c r="AI28" s="122" t="n">
        <f aca="false">IFERROR(AVERAGE(N28,X28,AH28),0)</f>
        <v>29.3333333333333</v>
      </c>
      <c r="AJ28" s="33" t="str">
        <f aca="false">IF(AI28&gt;=90,"O",IF(AI28&gt;=75,"A+",IF(AI28&gt;=60,"A",IF(AI28&gt;=50,"B+",IF(AI28&gt;=40,"B","F")))))</f>
        <v>F</v>
      </c>
      <c r="AK28" s="123" t="str">
        <f aca="false">IF(AI28&gt;=75,"L3-High",IF(AI28&gt;=60,"L2-Medium",IF(AI28&gt;=40,"L1-Low","L0-Below")))</f>
        <v>L0-Below</v>
      </c>
      <c r="AL28" s="81" t="str">
        <f aca="false">IF(AI28&gt;=40,"Pass","Fail")</f>
        <v>Fail</v>
      </c>
    </row>
    <row r="29" customFormat="false" ht="19.5" hidden="false" customHeight="true" outlineLevel="0" collapsed="false">
      <c r="A29" s="45" t="n">
        <v>24</v>
      </c>
      <c r="B29" s="45" t="s">
        <v>192</v>
      </c>
      <c r="C29" s="83" t="s">
        <v>193</v>
      </c>
      <c r="D29" s="117" t="n">
        <v>2</v>
      </c>
      <c r="E29" s="84" t="n">
        <f aca="false">IFERROR(D29/4*25,0)</f>
        <v>12.5</v>
      </c>
      <c r="F29" s="119" t="n">
        <v>4</v>
      </c>
      <c r="G29" s="84" t="n">
        <f aca="false">IFERROR(F29/4*25,0)</f>
        <v>25</v>
      </c>
      <c r="H29" s="118" t="n">
        <v>3</v>
      </c>
      <c r="I29" s="84" t="n">
        <f aca="false">IFERROR(H29/4*15,0)</f>
        <v>11.25</v>
      </c>
      <c r="J29" s="117" t="n">
        <v>2</v>
      </c>
      <c r="K29" s="84" t="n">
        <f aca="false">IFERROR(J29/4*20,0)</f>
        <v>10</v>
      </c>
      <c r="L29" s="119" t="n">
        <v>4</v>
      </c>
      <c r="M29" s="84" t="n">
        <f aca="false">IFERROR(L29/4*15,0)</f>
        <v>15</v>
      </c>
      <c r="N29" s="118" t="n">
        <v>3</v>
      </c>
      <c r="O29" s="84" t="n">
        <f aca="false">IFERROR(N29/4*25,0)</f>
        <v>18.75</v>
      </c>
      <c r="P29" s="119" t="n">
        <v>4</v>
      </c>
      <c r="Q29" s="84" t="n">
        <f aca="false">IFERROR(P29/4*25,0)</f>
        <v>25</v>
      </c>
      <c r="R29" s="120" t="n">
        <v>1</v>
      </c>
      <c r="S29" s="84" t="n">
        <f aca="false">IFERROR(R29/4*15,0)</f>
        <v>3.75</v>
      </c>
      <c r="T29" s="118" t="n">
        <v>3</v>
      </c>
      <c r="U29" s="84" t="n">
        <f aca="false">IFERROR(T29/4*20,0)</f>
        <v>15</v>
      </c>
      <c r="V29" s="120" t="n">
        <v>1</v>
      </c>
      <c r="W29" s="84" t="n">
        <f aca="false">IFERROR(V29/4*15,0)</f>
        <v>3.75</v>
      </c>
      <c r="X29" s="119" t="n">
        <v>4</v>
      </c>
      <c r="Y29" s="84" t="n">
        <f aca="false">IFERROR(X29/4*25,0)</f>
        <v>25</v>
      </c>
      <c r="Z29" s="118" t="n">
        <v>3</v>
      </c>
      <c r="AA29" s="84" t="n">
        <f aca="false">IFERROR(Z29/4*25,0)</f>
        <v>18.75</v>
      </c>
      <c r="AB29" s="117" t="n">
        <v>2</v>
      </c>
      <c r="AC29" s="84" t="n">
        <f aca="false">IFERROR(AB29/4*15,0)</f>
        <v>7.5</v>
      </c>
      <c r="AD29" s="117" t="n">
        <v>2</v>
      </c>
      <c r="AE29" s="84" t="n">
        <f aca="false">IFERROR(AD29/4*20,0)</f>
        <v>10</v>
      </c>
      <c r="AF29" s="118" t="n">
        <v>3</v>
      </c>
      <c r="AG29" s="84" t="n">
        <f aca="false">IFERROR(AF29/4*15,0)</f>
        <v>11.25</v>
      </c>
      <c r="AH29" s="121" t="n">
        <f aca="false">SUM(Y29,AA29,AC29,AE29,AG29)</f>
        <v>72.5</v>
      </c>
      <c r="AI29" s="122" t="n">
        <f aca="false">IFERROR(AVERAGE(N29,X29,AH29),0)</f>
        <v>26.5</v>
      </c>
      <c r="AJ29" s="33" t="str">
        <f aca="false">IF(AI29&gt;=90,"O",IF(AI29&gt;=75,"A+",IF(AI29&gt;=60,"A",IF(AI29&gt;=50,"B+",IF(AI29&gt;=40,"B","F")))))</f>
        <v>F</v>
      </c>
      <c r="AK29" s="123" t="str">
        <f aca="false">IF(AI29&gt;=75,"L3-High",IF(AI29&gt;=60,"L2-Medium",IF(AI29&gt;=40,"L1-Low","L0-Below")))</f>
        <v>L0-Below</v>
      </c>
      <c r="AL29" s="81" t="str">
        <f aca="false">IF(AI29&gt;=40,"Pass","Fail")</f>
        <v>Fail</v>
      </c>
    </row>
    <row r="30" customFormat="false" ht="19.5" hidden="false" customHeight="true" outlineLevel="0" collapsed="false">
      <c r="A30" s="40" t="n">
        <v>25</v>
      </c>
      <c r="B30" s="40" t="s">
        <v>194</v>
      </c>
      <c r="C30" s="71" t="s">
        <v>195</v>
      </c>
      <c r="D30" s="120" t="n">
        <v>1</v>
      </c>
      <c r="E30" s="73" t="n">
        <f aca="false">IFERROR(D30/4*25,0)</f>
        <v>6.25</v>
      </c>
      <c r="F30" s="117" t="n">
        <v>2</v>
      </c>
      <c r="G30" s="73" t="n">
        <f aca="false">IFERROR(F30/4*25,0)</f>
        <v>12.5</v>
      </c>
      <c r="H30" s="119" t="n">
        <v>4</v>
      </c>
      <c r="I30" s="73" t="n">
        <f aca="false">IFERROR(H30/4*15,0)</f>
        <v>15</v>
      </c>
      <c r="J30" s="117" t="n">
        <v>2</v>
      </c>
      <c r="K30" s="73" t="n">
        <f aca="false">IFERROR(J30/4*20,0)</f>
        <v>10</v>
      </c>
      <c r="L30" s="120" t="n">
        <v>1</v>
      </c>
      <c r="M30" s="73" t="n">
        <f aca="false">IFERROR(L30/4*15,0)</f>
        <v>3.75</v>
      </c>
      <c r="N30" s="117" t="n">
        <v>2</v>
      </c>
      <c r="O30" s="73" t="n">
        <f aca="false">IFERROR(N30/4*25,0)</f>
        <v>12.5</v>
      </c>
      <c r="P30" s="120" t="n">
        <v>1</v>
      </c>
      <c r="Q30" s="73" t="n">
        <f aca="false">IFERROR(P30/4*25,0)</f>
        <v>6.25</v>
      </c>
      <c r="R30" s="120" t="n">
        <v>1</v>
      </c>
      <c r="S30" s="73" t="n">
        <f aca="false">IFERROR(R30/4*15,0)</f>
        <v>3.75</v>
      </c>
      <c r="T30" s="120" t="n">
        <v>1</v>
      </c>
      <c r="U30" s="73" t="n">
        <f aca="false">IFERROR(T30/4*20,0)</f>
        <v>5</v>
      </c>
      <c r="V30" s="118" t="n">
        <v>3</v>
      </c>
      <c r="W30" s="73" t="n">
        <f aca="false">IFERROR(V30/4*15,0)</f>
        <v>11.25</v>
      </c>
      <c r="X30" s="120" t="n">
        <v>1</v>
      </c>
      <c r="Y30" s="73" t="n">
        <f aca="false">IFERROR(X30/4*25,0)</f>
        <v>6.25</v>
      </c>
      <c r="Z30" s="120" t="n">
        <v>1</v>
      </c>
      <c r="AA30" s="73" t="n">
        <f aca="false">IFERROR(Z30/4*25,0)</f>
        <v>6.25</v>
      </c>
      <c r="AB30" s="120" t="n">
        <v>1</v>
      </c>
      <c r="AC30" s="73" t="n">
        <f aca="false">IFERROR(AB30/4*15,0)</f>
        <v>3.75</v>
      </c>
      <c r="AD30" s="117" t="n">
        <v>2</v>
      </c>
      <c r="AE30" s="73" t="n">
        <f aca="false">IFERROR(AD30/4*20,0)</f>
        <v>10</v>
      </c>
      <c r="AF30" s="120" t="n">
        <v>1</v>
      </c>
      <c r="AG30" s="73" t="n">
        <f aca="false">IFERROR(AF30/4*15,0)</f>
        <v>3.75</v>
      </c>
      <c r="AH30" s="121" t="n">
        <f aca="false">SUM(Y30,AA30,AC30,AE30,AG30)</f>
        <v>30</v>
      </c>
      <c r="AI30" s="122" t="n">
        <f aca="false">IFERROR(AVERAGE(N30,X30,AH30),0)</f>
        <v>11</v>
      </c>
      <c r="AJ30" s="33" t="str">
        <f aca="false">IF(AI30&gt;=90,"O",IF(AI30&gt;=75,"A+",IF(AI30&gt;=60,"A",IF(AI30&gt;=50,"B+",IF(AI30&gt;=40,"B","F")))))</f>
        <v>F</v>
      </c>
      <c r="AK30" s="123" t="str">
        <f aca="false">IF(AI30&gt;=75,"L3-High",IF(AI30&gt;=60,"L2-Medium",IF(AI30&gt;=40,"L1-Low","L0-Below")))</f>
        <v>L0-Below</v>
      </c>
      <c r="AL30" s="81" t="str">
        <f aca="false">IF(AI30&gt;=40,"Pass","Fail")</f>
        <v>Fail</v>
      </c>
    </row>
    <row r="31" customFormat="false" ht="19.5" hidden="false" customHeight="true" outlineLevel="0" collapsed="false">
      <c r="A31" s="45" t="n">
        <v>26</v>
      </c>
      <c r="B31" s="45" t="s">
        <v>196</v>
      </c>
      <c r="C31" s="83" t="s">
        <v>197</v>
      </c>
      <c r="D31" s="117" t="n">
        <v>2</v>
      </c>
      <c r="E31" s="84" t="n">
        <f aca="false">IFERROR(D31/4*25,0)</f>
        <v>12.5</v>
      </c>
      <c r="F31" s="119" t="n">
        <v>4</v>
      </c>
      <c r="G31" s="84" t="n">
        <f aca="false">IFERROR(F31/4*25,0)</f>
        <v>25</v>
      </c>
      <c r="H31" s="119" t="n">
        <v>4</v>
      </c>
      <c r="I31" s="84" t="n">
        <f aca="false">IFERROR(H31/4*15,0)</f>
        <v>15</v>
      </c>
      <c r="J31" s="117" t="n">
        <v>2</v>
      </c>
      <c r="K31" s="84" t="n">
        <f aca="false">IFERROR(J31/4*20,0)</f>
        <v>10</v>
      </c>
      <c r="L31" s="119" t="n">
        <v>4</v>
      </c>
      <c r="M31" s="84" t="n">
        <f aca="false">IFERROR(L31/4*15,0)</f>
        <v>15</v>
      </c>
      <c r="N31" s="117" t="n">
        <v>2</v>
      </c>
      <c r="O31" s="84" t="n">
        <f aca="false">IFERROR(N31/4*25,0)</f>
        <v>12.5</v>
      </c>
      <c r="P31" s="120" t="n">
        <v>1</v>
      </c>
      <c r="Q31" s="84" t="n">
        <f aca="false">IFERROR(P31/4*25,0)</f>
        <v>6.25</v>
      </c>
      <c r="R31" s="119" t="n">
        <v>4</v>
      </c>
      <c r="S31" s="84" t="n">
        <f aca="false">IFERROR(R31/4*15,0)</f>
        <v>15</v>
      </c>
      <c r="T31" s="117" t="n">
        <v>2</v>
      </c>
      <c r="U31" s="84" t="n">
        <f aca="false">IFERROR(T31/4*20,0)</f>
        <v>10</v>
      </c>
      <c r="V31" s="119" t="n">
        <v>4</v>
      </c>
      <c r="W31" s="84" t="n">
        <f aca="false">IFERROR(V31/4*15,0)</f>
        <v>15</v>
      </c>
      <c r="X31" s="118" t="n">
        <v>3</v>
      </c>
      <c r="Y31" s="84" t="n">
        <f aca="false">IFERROR(X31/4*25,0)</f>
        <v>18.75</v>
      </c>
      <c r="Z31" s="118" t="n">
        <v>3</v>
      </c>
      <c r="AA31" s="84" t="n">
        <f aca="false">IFERROR(Z31/4*25,0)</f>
        <v>18.75</v>
      </c>
      <c r="AB31" s="120" t="n">
        <v>1</v>
      </c>
      <c r="AC31" s="84" t="n">
        <f aca="false">IFERROR(AB31/4*15,0)</f>
        <v>3.75</v>
      </c>
      <c r="AD31" s="117" t="n">
        <v>2</v>
      </c>
      <c r="AE31" s="84" t="n">
        <f aca="false">IFERROR(AD31/4*20,0)</f>
        <v>10</v>
      </c>
      <c r="AF31" s="118" t="n">
        <v>3</v>
      </c>
      <c r="AG31" s="84" t="n">
        <f aca="false">IFERROR(AF31/4*15,0)</f>
        <v>11.25</v>
      </c>
      <c r="AH31" s="121" t="n">
        <f aca="false">SUM(Y31,AA31,AC31,AE31,AG31)</f>
        <v>62.5</v>
      </c>
      <c r="AI31" s="122" t="n">
        <f aca="false">IFERROR(AVERAGE(N31,X31,AH31),0)</f>
        <v>22.5</v>
      </c>
      <c r="AJ31" s="33" t="str">
        <f aca="false">IF(AI31&gt;=90,"O",IF(AI31&gt;=75,"A+",IF(AI31&gt;=60,"A",IF(AI31&gt;=50,"B+",IF(AI31&gt;=40,"B","F")))))</f>
        <v>F</v>
      </c>
      <c r="AK31" s="123" t="str">
        <f aca="false">IF(AI31&gt;=75,"L3-High",IF(AI31&gt;=60,"L2-Medium",IF(AI31&gt;=40,"L1-Low","L0-Below")))</f>
        <v>L0-Below</v>
      </c>
      <c r="AL31" s="81" t="str">
        <f aca="false">IF(AI31&gt;=40,"Pass","Fail")</f>
        <v>Fail</v>
      </c>
    </row>
    <row r="32" customFormat="false" ht="19.5" hidden="false" customHeight="true" outlineLevel="0" collapsed="false">
      <c r="A32" s="40" t="n">
        <v>27</v>
      </c>
      <c r="B32" s="40" t="s">
        <v>198</v>
      </c>
      <c r="C32" s="71" t="s">
        <v>199</v>
      </c>
      <c r="D32" s="118" t="n">
        <v>3</v>
      </c>
      <c r="E32" s="73" t="n">
        <f aca="false">IFERROR(D32/4*25,0)</f>
        <v>18.75</v>
      </c>
      <c r="F32" s="120" t="n">
        <v>1</v>
      </c>
      <c r="G32" s="73" t="n">
        <f aca="false">IFERROR(F32/4*25,0)</f>
        <v>6.25</v>
      </c>
      <c r="H32" s="117" t="n">
        <v>2</v>
      </c>
      <c r="I32" s="73" t="n">
        <f aca="false">IFERROR(H32/4*15,0)</f>
        <v>7.5</v>
      </c>
      <c r="J32" s="120" t="n">
        <v>1</v>
      </c>
      <c r="K32" s="73" t="n">
        <f aca="false">IFERROR(J32/4*20,0)</f>
        <v>5</v>
      </c>
      <c r="L32" s="119" t="n">
        <v>4</v>
      </c>
      <c r="M32" s="73" t="n">
        <f aca="false">IFERROR(L32/4*15,0)</f>
        <v>15</v>
      </c>
      <c r="N32" s="120" t="n">
        <v>1</v>
      </c>
      <c r="O32" s="73" t="n">
        <f aca="false">IFERROR(N32/4*25,0)</f>
        <v>6.25</v>
      </c>
      <c r="P32" s="118" t="n">
        <v>3</v>
      </c>
      <c r="Q32" s="73" t="n">
        <f aca="false">IFERROR(P32/4*25,0)</f>
        <v>18.75</v>
      </c>
      <c r="R32" s="117" t="n">
        <v>2</v>
      </c>
      <c r="S32" s="73" t="n">
        <f aca="false">IFERROR(R32/4*15,0)</f>
        <v>7.5</v>
      </c>
      <c r="T32" s="118" t="n">
        <v>3</v>
      </c>
      <c r="U32" s="73" t="n">
        <f aca="false">IFERROR(T32/4*20,0)</f>
        <v>15</v>
      </c>
      <c r="V32" s="118" t="n">
        <v>3</v>
      </c>
      <c r="W32" s="73" t="n">
        <f aca="false">IFERROR(V32/4*15,0)</f>
        <v>11.25</v>
      </c>
      <c r="X32" s="119" t="n">
        <v>4</v>
      </c>
      <c r="Y32" s="73" t="n">
        <f aca="false">IFERROR(X32/4*25,0)</f>
        <v>25</v>
      </c>
      <c r="Z32" s="118" t="n">
        <v>3</v>
      </c>
      <c r="AA32" s="73" t="n">
        <f aca="false">IFERROR(Z32/4*25,0)</f>
        <v>18.75</v>
      </c>
      <c r="AB32" s="118" t="n">
        <v>3</v>
      </c>
      <c r="AC32" s="73" t="n">
        <f aca="false">IFERROR(AB32/4*15,0)</f>
        <v>11.25</v>
      </c>
      <c r="AD32" s="120" t="n">
        <v>1</v>
      </c>
      <c r="AE32" s="73" t="n">
        <f aca="false">IFERROR(AD32/4*20,0)</f>
        <v>5</v>
      </c>
      <c r="AF32" s="118" t="n">
        <v>3</v>
      </c>
      <c r="AG32" s="73" t="n">
        <f aca="false">IFERROR(AF32/4*15,0)</f>
        <v>11.25</v>
      </c>
      <c r="AH32" s="121" t="n">
        <f aca="false">SUM(Y32,AA32,AC32,AE32,AG32)</f>
        <v>71.25</v>
      </c>
      <c r="AI32" s="122" t="n">
        <f aca="false">IFERROR(AVERAGE(N32,X32,AH32),0)</f>
        <v>25.4166666666667</v>
      </c>
      <c r="AJ32" s="33" t="str">
        <f aca="false">IF(AI32&gt;=90,"O",IF(AI32&gt;=75,"A+",IF(AI32&gt;=60,"A",IF(AI32&gt;=50,"B+",IF(AI32&gt;=40,"B","F")))))</f>
        <v>F</v>
      </c>
      <c r="AK32" s="123" t="str">
        <f aca="false">IF(AI32&gt;=75,"L3-High",IF(AI32&gt;=60,"L2-Medium",IF(AI32&gt;=40,"L1-Low","L0-Below")))</f>
        <v>L0-Below</v>
      </c>
      <c r="AL32" s="81" t="str">
        <f aca="false">IF(AI32&gt;=40,"Pass","Fail")</f>
        <v>Fail</v>
      </c>
    </row>
    <row r="33" customFormat="false" ht="19.5" hidden="false" customHeight="true" outlineLevel="0" collapsed="false">
      <c r="A33" s="45" t="n">
        <v>28</v>
      </c>
      <c r="B33" s="45" t="s">
        <v>200</v>
      </c>
      <c r="C33" s="83" t="s">
        <v>201</v>
      </c>
      <c r="D33" s="117" t="n">
        <v>2</v>
      </c>
      <c r="E33" s="84" t="n">
        <f aca="false">IFERROR(D33/4*25,0)</f>
        <v>12.5</v>
      </c>
      <c r="F33" s="119" t="n">
        <v>4</v>
      </c>
      <c r="G33" s="84" t="n">
        <f aca="false">IFERROR(F33/4*25,0)</f>
        <v>25</v>
      </c>
      <c r="H33" s="118" t="n">
        <v>3</v>
      </c>
      <c r="I33" s="84" t="n">
        <f aca="false">IFERROR(H33/4*15,0)</f>
        <v>11.25</v>
      </c>
      <c r="J33" s="119" t="n">
        <v>4</v>
      </c>
      <c r="K33" s="84" t="n">
        <f aca="false">IFERROR(J33/4*20,0)</f>
        <v>20</v>
      </c>
      <c r="L33" s="117" t="n">
        <v>2</v>
      </c>
      <c r="M33" s="84" t="n">
        <f aca="false">IFERROR(L33/4*15,0)</f>
        <v>7.5</v>
      </c>
      <c r="N33" s="120" t="n">
        <v>1</v>
      </c>
      <c r="O33" s="84" t="n">
        <f aca="false">IFERROR(N33/4*25,0)</f>
        <v>6.25</v>
      </c>
      <c r="P33" s="120" t="n">
        <v>1</v>
      </c>
      <c r="Q33" s="84" t="n">
        <f aca="false">IFERROR(P33/4*25,0)</f>
        <v>6.25</v>
      </c>
      <c r="R33" s="117" t="n">
        <v>2</v>
      </c>
      <c r="S33" s="84" t="n">
        <f aca="false">IFERROR(R33/4*15,0)</f>
        <v>7.5</v>
      </c>
      <c r="T33" s="119" t="n">
        <v>4</v>
      </c>
      <c r="U33" s="84" t="n">
        <f aca="false">IFERROR(T33/4*20,0)</f>
        <v>20</v>
      </c>
      <c r="V33" s="119" t="n">
        <v>4</v>
      </c>
      <c r="W33" s="84" t="n">
        <f aca="false">IFERROR(V33/4*15,0)</f>
        <v>15</v>
      </c>
      <c r="X33" s="118" t="n">
        <v>3</v>
      </c>
      <c r="Y33" s="84" t="n">
        <f aca="false">IFERROR(X33/4*25,0)</f>
        <v>18.75</v>
      </c>
      <c r="Z33" s="117" t="n">
        <v>2</v>
      </c>
      <c r="AA33" s="84" t="n">
        <f aca="false">IFERROR(Z33/4*25,0)</f>
        <v>12.5</v>
      </c>
      <c r="AB33" s="119" t="n">
        <v>4</v>
      </c>
      <c r="AC33" s="84" t="n">
        <f aca="false">IFERROR(AB33/4*15,0)</f>
        <v>15</v>
      </c>
      <c r="AD33" s="117" t="n">
        <v>2</v>
      </c>
      <c r="AE33" s="84" t="n">
        <f aca="false">IFERROR(AD33/4*20,0)</f>
        <v>10</v>
      </c>
      <c r="AF33" s="119" t="n">
        <v>4</v>
      </c>
      <c r="AG33" s="84" t="n">
        <f aca="false">IFERROR(AF33/4*15,0)</f>
        <v>15</v>
      </c>
      <c r="AH33" s="121" t="n">
        <f aca="false">SUM(Y33,AA33,AC33,AE33,AG33)</f>
        <v>71.25</v>
      </c>
      <c r="AI33" s="122" t="n">
        <f aca="false">IFERROR(AVERAGE(N33,X33,AH33),0)</f>
        <v>25.0833333333333</v>
      </c>
      <c r="AJ33" s="33" t="str">
        <f aca="false">IF(AI33&gt;=90,"O",IF(AI33&gt;=75,"A+",IF(AI33&gt;=60,"A",IF(AI33&gt;=50,"B+",IF(AI33&gt;=40,"B","F")))))</f>
        <v>F</v>
      </c>
      <c r="AK33" s="123" t="str">
        <f aca="false">IF(AI33&gt;=75,"L3-High",IF(AI33&gt;=60,"L2-Medium",IF(AI33&gt;=40,"L1-Low","L0-Below")))</f>
        <v>L0-Below</v>
      </c>
      <c r="AL33" s="81" t="str">
        <f aca="false">IF(AI33&gt;=40,"Pass","Fail")</f>
        <v>Fail</v>
      </c>
    </row>
    <row r="34" customFormat="false" ht="19.5" hidden="false" customHeight="true" outlineLevel="0" collapsed="false">
      <c r="A34" s="40" t="n">
        <v>29</v>
      </c>
      <c r="B34" s="40" t="s">
        <v>202</v>
      </c>
      <c r="C34" s="71" t="s">
        <v>203</v>
      </c>
      <c r="D34" s="120" t="n">
        <v>1</v>
      </c>
      <c r="E34" s="73" t="n">
        <f aca="false">IFERROR(D34/4*25,0)</f>
        <v>6.25</v>
      </c>
      <c r="F34" s="119" t="n">
        <v>4</v>
      </c>
      <c r="G34" s="73" t="n">
        <f aca="false">IFERROR(F34/4*25,0)</f>
        <v>25</v>
      </c>
      <c r="H34" s="120" t="n">
        <v>1</v>
      </c>
      <c r="I34" s="73" t="n">
        <f aca="false">IFERROR(H34/4*15,0)</f>
        <v>3.75</v>
      </c>
      <c r="J34" s="119" t="n">
        <v>4</v>
      </c>
      <c r="K34" s="73" t="n">
        <f aca="false">IFERROR(J34/4*20,0)</f>
        <v>20</v>
      </c>
      <c r="L34" s="120" t="n">
        <v>1</v>
      </c>
      <c r="M34" s="73" t="n">
        <f aca="false">IFERROR(L34/4*15,0)</f>
        <v>3.75</v>
      </c>
      <c r="N34" s="117" t="n">
        <v>2</v>
      </c>
      <c r="O34" s="73" t="n">
        <f aca="false">IFERROR(N34/4*25,0)</f>
        <v>12.5</v>
      </c>
      <c r="P34" s="120" t="n">
        <v>1</v>
      </c>
      <c r="Q34" s="73" t="n">
        <f aca="false">IFERROR(P34/4*25,0)</f>
        <v>6.25</v>
      </c>
      <c r="R34" s="118" t="n">
        <v>3</v>
      </c>
      <c r="S34" s="73" t="n">
        <f aca="false">IFERROR(R34/4*15,0)</f>
        <v>11.25</v>
      </c>
      <c r="T34" s="117" t="n">
        <v>2</v>
      </c>
      <c r="U34" s="73" t="n">
        <f aca="false">IFERROR(T34/4*20,0)</f>
        <v>10</v>
      </c>
      <c r="V34" s="118" t="n">
        <v>3</v>
      </c>
      <c r="W34" s="73" t="n">
        <f aca="false">IFERROR(V34/4*15,0)</f>
        <v>11.25</v>
      </c>
      <c r="X34" s="118" t="n">
        <v>3</v>
      </c>
      <c r="Y34" s="73" t="n">
        <f aca="false">IFERROR(X34/4*25,0)</f>
        <v>18.75</v>
      </c>
      <c r="Z34" s="119" t="n">
        <v>4</v>
      </c>
      <c r="AA34" s="73" t="n">
        <f aca="false">IFERROR(Z34/4*25,0)</f>
        <v>25</v>
      </c>
      <c r="AB34" s="118" t="n">
        <v>3</v>
      </c>
      <c r="AC34" s="73" t="n">
        <f aca="false">IFERROR(AB34/4*15,0)</f>
        <v>11.25</v>
      </c>
      <c r="AD34" s="120" t="n">
        <v>1</v>
      </c>
      <c r="AE34" s="73" t="n">
        <f aca="false">IFERROR(AD34/4*20,0)</f>
        <v>5</v>
      </c>
      <c r="AF34" s="117" t="n">
        <v>2</v>
      </c>
      <c r="AG34" s="73" t="n">
        <f aca="false">IFERROR(AF34/4*15,0)</f>
        <v>7.5</v>
      </c>
      <c r="AH34" s="121" t="n">
        <f aca="false">SUM(Y34,AA34,AC34,AE34,AG34)</f>
        <v>67.5</v>
      </c>
      <c r="AI34" s="122" t="n">
        <f aca="false">IFERROR(AVERAGE(N34,X34,AH34),0)</f>
        <v>24.1666666666667</v>
      </c>
      <c r="AJ34" s="33" t="str">
        <f aca="false">IF(AI34&gt;=90,"O",IF(AI34&gt;=75,"A+",IF(AI34&gt;=60,"A",IF(AI34&gt;=50,"B+",IF(AI34&gt;=40,"B","F")))))</f>
        <v>F</v>
      </c>
      <c r="AK34" s="123" t="str">
        <f aca="false">IF(AI34&gt;=75,"L3-High",IF(AI34&gt;=60,"L2-Medium",IF(AI34&gt;=40,"L1-Low","L0-Below")))</f>
        <v>L0-Below</v>
      </c>
      <c r="AL34" s="81" t="str">
        <f aca="false">IF(AI34&gt;=40,"Pass","Fail")</f>
        <v>Fail</v>
      </c>
    </row>
    <row r="35" customFormat="false" ht="19.5" hidden="false" customHeight="true" outlineLevel="0" collapsed="false">
      <c r="A35" s="45" t="n">
        <v>30</v>
      </c>
      <c r="B35" s="45" t="s">
        <v>204</v>
      </c>
      <c r="C35" s="83" t="s">
        <v>205</v>
      </c>
      <c r="D35" s="117" t="n">
        <v>2</v>
      </c>
      <c r="E35" s="84" t="n">
        <f aca="false">IFERROR(D35/4*25,0)</f>
        <v>12.5</v>
      </c>
      <c r="F35" s="117" t="n">
        <v>2</v>
      </c>
      <c r="G35" s="84" t="n">
        <f aca="false">IFERROR(F35/4*25,0)</f>
        <v>12.5</v>
      </c>
      <c r="H35" s="118" t="n">
        <v>3</v>
      </c>
      <c r="I35" s="84" t="n">
        <f aca="false">IFERROR(H35/4*15,0)</f>
        <v>11.25</v>
      </c>
      <c r="J35" s="119" t="n">
        <v>4</v>
      </c>
      <c r="K35" s="84" t="n">
        <f aca="false">IFERROR(J35/4*20,0)</f>
        <v>20</v>
      </c>
      <c r="L35" s="120" t="n">
        <v>1</v>
      </c>
      <c r="M35" s="84" t="n">
        <f aca="false">IFERROR(L35/4*15,0)</f>
        <v>3.75</v>
      </c>
      <c r="N35" s="119" t="n">
        <v>4</v>
      </c>
      <c r="O35" s="84" t="n">
        <f aca="false">IFERROR(N35/4*25,0)</f>
        <v>25</v>
      </c>
      <c r="P35" s="119" t="n">
        <v>4</v>
      </c>
      <c r="Q35" s="84" t="n">
        <f aca="false">IFERROR(P35/4*25,0)</f>
        <v>25</v>
      </c>
      <c r="R35" s="119" t="n">
        <v>4</v>
      </c>
      <c r="S35" s="84" t="n">
        <f aca="false">IFERROR(R35/4*15,0)</f>
        <v>15</v>
      </c>
      <c r="T35" s="120" t="n">
        <v>1</v>
      </c>
      <c r="U35" s="84" t="n">
        <f aca="false">IFERROR(T35/4*20,0)</f>
        <v>5</v>
      </c>
      <c r="V35" s="120" t="n">
        <v>1</v>
      </c>
      <c r="W35" s="84" t="n">
        <f aca="false">IFERROR(V35/4*15,0)</f>
        <v>3.75</v>
      </c>
      <c r="X35" s="117" t="n">
        <v>2</v>
      </c>
      <c r="Y35" s="84" t="n">
        <f aca="false">IFERROR(X35/4*25,0)</f>
        <v>12.5</v>
      </c>
      <c r="Z35" s="120" t="n">
        <v>1</v>
      </c>
      <c r="AA35" s="84" t="n">
        <f aca="false">IFERROR(Z35/4*25,0)</f>
        <v>6.25</v>
      </c>
      <c r="AB35" s="119" t="n">
        <v>4</v>
      </c>
      <c r="AC35" s="84" t="n">
        <f aca="false">IFERROR(AB35/4*15,0)</f>
        <v>15</v>
      </c>
      <c r="AD35" s="120" t="n">
        <v>1</v>
      </c>
      <c r="AE35" s="84" t="n">
        <f aca="false">IFERROR(AD35/4*20,0)</f>
        <v>5</v>
      </c>
      <c r="AF35" s="117" t="n">
        <v>2</v>
      </c>
      <c r="AG35" s="84" t="n">
        <f aca="false">IFERROR(AF35/4*15,0)</f>
        <v>7.5</v>
      </c>
      <c r="AH35" s="121" t="n">
        <f aca="false">SUM(Y35,AA35,AC35,AE35,AG35)</f>
        <v>46.25</v>
      </c>
      <c r="AI35" s="122" t="n">
        <f aca="false">IFERROR(AVERAGE(N35,X35,AH35),0)</f>
        <v>17.4166666666667</v>
      </c>
      <c r="AJ35" s="33" t="str">
        <f aca="false">IF(AI35&gt;=90,"O",IF(AI35&gt;=75,"A+",IF(AI35&gt;=60,"A",IF(AI35&gt;=50,"B+",IF(AI35&gt;=40,"B","F")))))</f>
        <v>F</v>
      </c>
      <c r="AK35" s="123" t="str">
        <f aca="false">IF(AI35&gt;=75,"L3-High",IF(AI35&gt;=60,"L2-Medium",IF(AI35&gt;=40,"L1-Low","L0-Below")))</f>
        <v>L0-Below</v>
      </c>
      <c r="AL35" s="81" t="str">
        <f aca="false">IF(AI35&gt;=40,"Pass","Fail")</f>
        <v>Fail</v>
      </c>
    </row>
  </sheetData>
  <mergeCells count="7">
    <mergeCell ref="A1:AL1"/>
    <mergeCell ref="A2:AL2"/>
    <mergeCell ref="A4:C4"/>
    <mergeCell ref="D4:M4"/>
    <mergeCell ref="N4:W4"/>
    <mergeCell ref="X4:AG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8" min="4" style="1" width="12"/>
    <col collapsed="false" customWidth="true" hidden="false" outlineLevel="0" max="13" min="9" style="1" width="13"/>
  </cols>
  <sheetData>
    <row r="1" customFormat="false" ht="43.5" hidden="false" customHeight="true" outlineLevel="0" collapsed="false">
      <c r="A1" s="53" t="s">
        <v>241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customFormat="false" ht="13.5" hidden="false" customHeight="true" outlineLevel="0" collapsed="false">
      <c r="A2" s="54" t="s">
        <v>242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customFormat="false" ht="7.5" hidden="false" customHeight="true" outlineLevel="0" collapsed="false"/>
    <row r="4" customFormat="false" ht="19.5" hidden="false" customHeight="true" outlineLevel="0" collapsed="false">
      <c r="A4" s="49" t="s">
        <v>243</v>
      </c>
      <c r="B4" s="49"/>
      <c r="C4" s="49"/>
      <c r="D4" s="124" t="s">
        <v>244</v>
      </c>
      <c r="E4" s="124" t="s">
        <v>245</v>
      </c>
      <c r="F4" s="125" t="s">
        <v>246</v>
      </c>
      <c r="G4" s="125" t="s">
        <v>247</v>
      </c>
      <c r="H4" s="126" t="s">
        <v>248</v>
      </c>
      <c r="I4" s="126" t="s">
        <v>249</v>
      </c>
      <c r="J4" s="124" t="s">
        <v>250</v>
      </c>
      <c r="K4" s="125" t="s">
        <v>251</v>
      </c>
      <c r="L4" s="126" t="s">
        <v>252</v>
      </c>
    </row>
    <row r="6" customFormat="false" ht="25.5" hidden="false" customHeight="true" outlineLevel="0" collapsed="false">
      <c r="A6" s="15" t="s">
        <v>13</v>
      </c>
      <c r="B6" s="15" t="s">
        <v>253</v>
      </c>
      <c r="C6" s="15" t="s">
        <v>254</v>
      </c>
      <c r="D6" s="127" t="s">
        <v>255</v>
      </c>
      <c r="E6" s="127" t="s">
        <v>256</v>
      </c>
      <c r="F6" s="127" t="s">
        <v>257</v>
      </c>
      <c r="G6" s="127" t="s">
        <v>258</v>
      </c>
      <c r="H6" s="127" t="s">
        <v>259</v>
      </c>
      <c r="I6" s="18" t="s">
        <v>260</v>
      </c>
      <c r="J6" s="21" t="s">
        <v>135</v>
      </c>
      <c r="K6" s="18" t="s">
        <v>228</v>
      </c>
      <c r="L6" s="16" t="s">
        <v>261</v>
      </c>
      <c r="M6" s="112" t="s">
        <v>138</v>
      </c>
    </row>
    <row r="7" customFormat="false" ht="19.5" hidden="false" customHeight="true" outlineLevel="0" collapsed="false">
      <c r="A7" s="40" t="n">
        <v>1</v>
      </c>
      <c r="B7" s="40" t="str">
        <f aca="false">'Score Entry'!B12</f>
        <v>S001</v>
      </c>
      <c r="C7" s="71" t="str">
        <f aca="false">'Score Entry'!C12</f>
        <v>Aarav Sharma</v>
      </c>
      <c r="D7" s="128" t="n">
        <f aca="false">'Score Entry'!D12</f>
        <v>1</v>
      </c>
      <c r="E7" s="128" t="n">
        <f aca="false">'Score Entry'!F12</f>
        <v>4</v>
      </c>
      <c r="F7" s="128" t="n">
        <f aca="false">'Score Entry'!H12</f>
        <v>2</v>
      </c>
      <c r="G7" s="128" t="n">
        <f aca="false">'Score Entry'!J12</f>
        <v>1</v>
      </c>
      <c r="H7" s="128" t="n">
        <f aca="false">'Score Entry'!L12</f>
        <v>3</v>
      </c>
      <c r="I7" s="77" t="n">
        <f aca="false">'Score Entry'!N12</f>
        <v>55</v>
      </c>
      <c r="J7" s="33" t="str">
        <f aca="false">'Score Entry'!O12</f>
        <v>B+</v>
      </c>
      <c r="K7" s="79" t="str">
        <f aca="false">'Score Entry'!P12</f>
        <v>L1-Low</v>
      </c>
      <c r="L7" s="80" t="n">
        <f aca="false">'Score Entry'!Q12</f>
        <v>0.55</v>
      </c>
      <c r="M7" s="81" t="str">
        <f aca="false">'Score Entry'!R12</f>
        <v>Pass</v>
      </c>
    </row>
    <row r="8" customFormat="false" ht="19.5" hidden="false" customHeight="true" outlineLevel="0" collapsed="false">
      <c r="A8" s="45" t="n">
        <v>2</v>
      </c>
      <c r="B8" s="45" t="str">
        <f aca="false">'Score Entry'!B13</f>
        <v>S002</v>
      </c>
      <c r="C8" s="83" t="str">
        <f aca="false">'Score Entry'!C13</f>
        <v>Priya Patel</v>
      </c>
      <c r="D8" s="128" t="n">
        <f aca="false">'Score Entry'!D13</f>
        <v>4</v>
      </c>
      <c r="E8" s="128" t="n">
        <f aca="false">'Score Entry'!F13</f>
        <v>2</v>
      </c>
      <c r="F8" s="128" t="n">
        <f aca="false">'Score Entry'!H13</f>
        <v>1</v>
      </c>
      <c r="G8" s="128" t="n">
        <f aca="false">'Score Entry'!J13</f>
        <v>4</v>
      </c>
      <c r="H8" s="128" t="n">
        <f aca="false">'Score Entry'!L13</f>
        <v>4</v>
      </c>
      <c r="I8" s="77" t="n">
        <f aca="false">'Score Entry'!N13</f>
        <v>76.25</v>
      </c>
      <c r="J8" s="33" t="str">
        <f aca="false">'Score Entry'!O13</f>
        <v>A+</v>
      </c>
      <c r="K8" s="79" t="str">
        <f aca="false">'Score Entry'!P13</f>
        <v>L3-High</v>
      </c>
      <c r="L8" s="80" t="n">
        <f aca="false">'Score Entry'!Q13</f>
        <v>0.7625</v>
      </c>
      <c r="M8" s="81" t="str">
        <f aca="false">'Score Entry'!R13</f>
        <v>Pass</v>
      </c>
    </row>
    <row r="9" customFormat="false" ht="19.5" hidden="false" customHeight="true" outlineLevel="0" collapsed="false">
      <c r="A9" s="40" t="n">
        <v>3</v>
      </c>
      <c r="B9" s="40" t="str">
        <f aca="false">'Score Entry'!B14</f>
        <v>S003</v>
      </c>
      <c r="C9" s="71" t="str">
        <f aca="false">'Score Entry'!C14</f>
        <v>Rohan Mehta</v>
      </c>
      <c r="D9" s="128" t="n">
        <f aca="false">'Score Entry'!D14</f>
        <v>1</v>
      </c>
      <c r="E9" s="128" t="n">
        <f aca="false">'Score Entry'!F14</f>
        <v>1</v>
      </c>
      <c r="F9" s="128" t="n">
        <f aca="false">'Score Entry'!H14</f>
        <v>1</v>
      </c>
      <c r="G9" s="128" t="n">
        <f aca="false">'Score Entry'!J14</f>
        <v>2</v>
      </c>
      <c r="H9" s="128" t="n">
        <f aca="false">'Score Entry'!L14</f>
        <v>4</v>
      </c>
      <c r="I9" s="77" t="n">
        <f aca="false">'Score Entry'!N14</f>
        <v>41.25</v>
      </c>
      <c r="J9" s="33" t="str">
        <f aca="false">'Score Entry'!O14</f>
        <v>B</v>
      </c>
      <c r="K9" s="79" t="str">
        <f aca="false">'Score Entry'!P14</f>
        <v>L1-Low</v>
      </c>
      <c r="L9" s="80" t="n">
        <f aca="false">'Score Entry'!Q14</f>
        <v>0.4125</v>
      </c>
      <c r="M9" s="81" t="str">
        <f aca="false">'Score Entry'!R14</f>
        <v>Pass</v>
      </c>
    </row>
    <row r="10" customFormat="false" ht="19.5" hidden="false" customHeight="true" outlineLevel="0" collapsed="false">
      <c r="A10" s="45" t="n">
        <v>4</v>
      </c>
      <c r="B10" s="45" t="str">
        <f aca="false">'Score Entry'!B15</f>
        <v>S004</v>
      </c>
      <c r="C10" s="83" t="str">
        <f aca="false">'Score Entry'!C15</f>
        <v>Sneha Reddy</v>
      </c>
      <c r="D10" s="128" t="n">
        <f aca="false">'Score Entry'!D15</f>
        <v>1</v>
      </c>
      <c r="E10" s="128" t="n">
        <f aca="false">'Score Entry'!F15</f>
        <v>4</v>
      </c>
      <c r="F10" s="128" t="n">
        <f aca="false">'Score Entry'!H15</f>
        <v>1</v>
      </c>
      <c r="G10" s="128" t="n">
        <f aca="false">'Score Entry'!J15</f>
        <v>1</v>
      </c>
      <c r="H10" s="128" t="n">
        <f aca="false">'Score Entry'!L15</f>
        <v>1</v>
      </c>
      <c r="I10" s="77" t="n">
        <f aca="false">'Score Entry'!N15</f>
        <v>43.75</v>
      </c>
      <c r="J10" s="33" t="str">
        <f aca="false">'Score Entry'!O15</f>
        <v>B</v>
      </c>
      <c r="K10" s="79" t="str">
        <f aca="false">'Score Entry'!P15</f>
        <v>L1-Low</v>
      </c>
      <c r="L10" s="80" t="n">
        <f aca="false">'Score Entry'!Q15</f>
        <v>0.4375</v>
      </c>
      <c r="M10" s="81" t="str">
        <f aca="false">'Score Entry'!R15</f>
        <v>Pass</v>
      </c>
    </row>
    <row r="11" customFormat="false" ht="19.5" hidden="false" customHeight="true" outlineLevel="0" collapsed="false">
      <c r="A11" s="40" t="n">
        <v>5</v>
      </c>
      <c r="B11" s="40" t="str">
        <f aca="false">'Score Entry'!B16</f>
        <v>S005</v>
      </c>
      <c r="C11" s="71" t="str">
        <f aca="false">'Score Entry'!C16</f>
        <v>Vikram Singh</v>
      </c>
      <c r="D11" s="128" t="n">
        <f aca="false">'Score Entry'!D16</f>
        <v>2</v>
      </c>
      <c r="E11" s="128" t="n">
        <f aca="false">'Score Entry'!F16</f>
        <v>2</v>
      </c>
      <c r="F11" s="128" t="n">
        <f aca="false">'Score Entry'!H16</f>
        <v>1</v>
      </c>
      <c r="G11" s="128" t="n">
        <f aca="false">'Score Entry'!J16</f>
        <v>2</v>
      </c>
      <c r="H11" s="128" t="n">
        <f aca="false">'Score Entry'!L16</f>
        <v>4</v>
      </c>
      <c r="I11" s="77" t="n">
        <f aca="false">'Score Entry'!N16</f>
        <v>53.75</v>
      </c>
      <c r="J11" s="33" t="str">
        <f aca="false">'Score Entry'!O16</f>
        <v>B+</v>
      </c>
      <c r="K11" s="79" t="str">
        <f aca="false">'Score Entry'!P16</f>
        <v>L1-Low</v>
      </c>
      <c r="L11" s="80" t="n">
        <f aca="false">'Score Entry'!Q16</f>
        <v>0.5375</v>
      </c>
      <c r="M11" s="81" t="str">
        <f aca="false">'Score Entry'!R16</f>
        <v>Pass</v>
      </c>
    </row>
    <row r="12" customFormat="false" ht="19.5" hidden="false" customHeight="true" outlineLevel="0" collapsed="false">
      <c r="A12" s="45" t="n">
        <v>6</v>
      </c>
      <c r="B12" s="45" t="str">
        <f aca="false">'Score Entry'!B17</f>
        <v>S006</v>
      </c>
      <c r="C12" s="83" t="str">
        <f aca="false">'Score Entry'!C17</f>
        <v>Anjali Nair</v>
      </c>
      <c r="D12" s="128" t="n">
        <f aca="false">'Score Entry'!D17</f>
        <v>4</v>
      </c>
      <c r="E12" s="128" t="n">
        <f aca="false">'Score Entry'!F17</f>
        <v>3</v>
      </c>
      <c r="F12" s="128" t="n">
        <f aca="false">'Score Entry'!H17</f>
        <v>1</v>
      </c>
      <c r="G12" s="128" t="n">
        <f aca="false">'Score Entry'!J17</f>
        <v>1</v>
      </c>
      <c r="H12" s="128" t="n">
        <f aca="false">'Score Entry'!L17</f>
        <v>2</v>
      </c>
      <c r="I12" s="77" t="n">
        <f aca="false">'Score Entry'!N17</f>
        <v>60</v>
      </c>
      <c r="J12" s="33" t="str">
        <f aca="false">'Score Entry'!O17</f>
        <v>A</v>
      </c>
      <c r="K12" s="79" t="str">
        <f aca="false">'Score Entry'!P17</f>
        <v>L2-Medium</v>
      </c>
      <c r="L12" s="80" t="n">
        <f aca="false">'Score Entry'!Q17</f>
        <v>0.6</v>
      </c>
      <c r="M12" s="81" t="str">
        <f aca="false">'Score Entry'!R17</f>
        <v>Pass</v>
      </c>
    </row>
    <row r="13" customFormat="false" ht="19.5" hidden="false" customHeight="true" outlineLevel="0" collapsed="false">
      <c r="A13" s="40" t="n">
        <v>7</v>
      </c>
      <c r="B13" s="40" t="str">
        <f aca="false">'Score Entry'!B18</f>
        <v>S007</v>
      </c>
      <c r="C13" s="71" t="str">
        <f aca="false">'Score Entry'!C18</f>
        <v>Kiran Kumar</v>
      </c>
      <c r="D13" s="128" t="n">
        <f aca="false">'Score Entry'!D18</f>
        <v>2</v>
      </c>
      <c r="E13" s="128" t="n">
        <f aca="false">'Score Entry'!F18</f>
        <v>1</v>
      </c>
      <c r="F13" s="128" t="n">
        <f aca="false">'Score Entry'!H18</f>
        <v>2</v>
      </c>
      <c r="G13" s="128" t="n">
        <f aca="false">'Score Entry'!J18</f>
        <v>1</v>
      </c>
      <c r="H13" s="128" t="n">
        <f aca="false">'Score Entry'!L18</f>
        <v>1</v>
      </c>
      <c r="I13" s="77" t="n">
        <f aca="false">'Score Entry'!N18</f>
        <v>35</v>
      </c>
      <c r="J13" s="33" t="str">
        <f aca="false">'Score Entry'!O18</f>
        <v>F</v>
      </c>
      <c r="K13" s="79" t="str">
        <f aca="false">'Score Entry'!P18</f>
        <v>L0-Below</v>
      </c>
      <c r="L13" s="80" t="n">
        <f aca="false">'Score Entry'!Q18</f>
        <v>0.35</v>
      </c>
      <c r="M13" s="81" t="str">
        <f aca="false">'Score Entry'!R18</f>
        <v>Fail</v>
      </c>
    </row>
    <row r="14" customFormat="false" ht="19.5" hidden="false" customHeight="true" outlineLevel="0" collapsed="false">
      <c r="A14" s="45" t="n">
        <v>8</v>
      </c>
      <c r="B14" s="45" t="str">
        <f aca="false">'Score Entry'!B19</f>
        <v>S008</v>
      </c>
      <c r="C14" s="83" t="str">
        <f aca="false">'Score Entry'!C19</f>
        <v>Divya Rao</v>
      </c>
      <c r="D14" s="128" t="n">
        <f aca="false">'Score Entry'!D19</f>
        <v>2</v>
      </c>
      <c r="E14" s="128" t="n">
        <f aca="false">'Score Entry'!F19</f>
        <v>3</v>
      </c>
      <c r="F14" s="128" t="n">
        <f aca="false">'Score Entry'!H19</f>
        <v>1</v>
      </c>
      <c r="G14" s="128" t="n">
        <f aca="false">'Score Entry'!J19</f>
        <v>4</v>
      </c>
      <c r="H14" s="128" t="n">
        <f aca="false">'Score Entry'!L19</f>
        <v>3</v>
      </c>
      <c r="I14" s="77" t="n">
        <f aca="false">'Score Entry'!N19</f>
        <v>66.25</v>
      </c>
      <c r="J14" s="33" t="str">
        <f aca="false">'Score Entry'!O19</f>
        <v>A</v>
      </c>
      <c r="K14" s="79" t="str">
        <f aca="false">'Score Entry'!P19</f>
        <v>L2-Medium</v>
      </c>
      <c r="L14" s="80" t="n">
        <f aca="false">'Score Entry'!Q19</f>
        <v>0.6625</v>
      </c>
      <c r="M14" s="81" t="str">
        <f aca="false">'Score Entry'!R19</f>
        <v>Pass</v>
      </c>
    </row>
    <row r="15" customFormat="false" ht="19.5" hidden="false" customHeight="true" outlineLevel="0" collapsed="false">
      <c r="A15" s="40" t="n">
        <v>9</v>
      </c>
      <c r="B15" s="40" t="str">
        <f aca="false">'Score Entry'!B20</f>
        <v>S009</v>
      </c>
      <c r="C15" s="71" t="str">
        <f aca="false">'Score Entry'!C20</f>
        <v>Arjun Gupta</v>
      </c>
      <c r="D15" s="128" t="n">
        <f aca="false">'Score Entry'!D20</f>
        <v>4</v>
      </c>
      <c r="E15" s="128" t="n">
        <f aca="false">'Score Entry'!F20</f>
        <v>2</v>
      </c>
      <c r="F15" s="128" t="n">
        <f aca="false">'Score Entry'!H20</f>
        <v>3</v>
      </c>
      <c r="G15" s="128" t="n">
        <f aca="false">'Score Entry'!J20</f>
        <v>4</v>
      </c>
      <c r="H15" s="128" t="n">
        <f aca="false">'Score Entry'!L20</f>
        <v>4</v>
      </c>
      <c r="I15" s="77" t="n">
        <f aca="false">'Score Entry'!N20</f>
        <v>83.75</v>
      </c>
      <c r="J15" s="33" t="str">
        <f aca="false">'Score Entry'!O20</f>
        <v>A+</v>
      </c>
      <c r="K15" s="79" t="str">
        <f aca="false">'Score Entry'!P20</f>
        <v>L3-High</v>
      </c>
      <c r="L15" s="80" t="n">
        <f aca="false">'Score Entry'!Q20</f>
        <v>0.8375</v>
      </c>
      <c r="M15" s="81" t="str">
        <f aca="false">'Score Entry'!R20</f>
        <v>Pass</v>
      </c>
    </row>
    <row r="16" customFormat="false" ht="19.5" hidden="false" customHeight="true" outlineLevel="0" collapsed="false">
      <c r="A16" s="45" t="n">
        <v>10</v>
      </c>
      <c r="B16" s="45" t="str">
        <f aca="false">'Score Entry'!B21</f>
        <v>S010</v>
      </c>
      <c r="C16" s="83" t="str">
        <f aca="false">'Score Entry'!C21</f>
        <v>Pooja Iyer</v>
      </c>
      <c r="D16" s="128" t="n">
        <f aca="false">'Score Entry'!D21</f>
        <v>4</v>
      </c>
      <c r="E16" s="128" t="n">
        <f aca="false">'Score Entry'!F21</f>
        <v>1</v>
      </c>
      <c r="F16" s="128" t="n">
        <f aca="false">'Score Entry'!H21</f>
        <v>4</v>
      </c>
      <c r="G16" s="128" t="n">
        <f aca="false">'Score Entry'!J21</f>
        <v>1</v>
      </c>
      <c r="H16" s="128" t="n">
        <f aca="false">'Score Entry'!L21</f>
        <v>3</v>
      </c>
      <c r="I16" s="77" t="n">
        <f aca="false">'Score Entry'!N21</f>
        <v>62.5</v>
      </c>
      <c r="J16" s="33" t="str">
        <f aca="false">'Score Entry'!O21</f>
        <v>A</v>
      </c>
      <c r="K16" s="79" t="str">
        <f aca="false">'Score Entry'!P21</f>
        <v>L2-Medium</v>
      </c>
      <c r="L16" s="80" t="n">
        <f aca="false">'Score Entry'!Q21</f>
        <v>0.625</v>
      </c>
      <c r="M16" s="81" t="str">
        <f aca="false">'Score Entry'!R21</f>
        <v>Pass</v>
      </c>
    </row>
    <row r="17" customFormat="false" ht="19.5" hidden="false" customHeight="true" outlineLevel="0" collapsed="false">
      <c r="A17" s="40" t="n">
        <v>11</v>
      </c>
      <c r="B17" s="40" t="str">
        <f aca="false">'Score Entry'!B22</f>
        <v>S011</v>
      </c>
      <c r="C17" s="71" t="str">
        <f aca="false">'Score Entry'!C22</f>
        <v>Rahul Verma</v>
      </c>
      <c r="D17" s="128" t="n">
        <f aca="false">'Score Entry'!D22</f>
        <v>2</v>
      </c>
      <c r="E17" s="128" t="n">
        <f aca="false">'Score Entry'!F22</f>
        <v>3</v>
      </c>
      <c r="F17" s="128" t="n">
        <f aca="false">'Score Entry'!H22</f>
        <v>2</v>
      </c>
      <c r="G17" s="128" t="n">
        <f aca="false">'Score Entry'!J22</f>
        <v>3</v>
      </c>
      <c r="H17" s="128" t="n">
        <f aca="false">'Score Entry'!L22</f>
        <v>2</v>
      </c>
      <c r="I17" s="77" t="n">
        <f aca="false">'Score Entry'!N22</f>
        <v>61.25</v>
      </c>
      <c r="J17" s="33" t="str">
        <f aca="false">'Score Entry'!O22</f>
        <v>A</v>
      </c>
      <c r="K17" s="79" t="str">
        <f aca="false">'Score Entry'!P22</f>
        <v>L2-Medium</v>
      </c>
      <c r="L17" s="80" t="n">
        <f aca="false">'Score Entry'!Q22</f>
        <v>0.6125</v>
      </c>
      <c r="M17" s="81" t="str">
        <f aca="false">'Score Entry'!R22</f>
        <v>Pass</v>
      </c>
    </row>
    <row r="18" customFormat="false" ht="19.5" hidden="false" customHeight="true" outlineLevel="0" collapsed="false">
      <c r="A18" s="45" t="n">
        <v>12</v>
      </c>
      <c r="B18" s="45" t="str">
        <f aca="false">'Score Entry'!B23</f>
        <v>S012</v>
      </c>
      <c r="C18" s="83" t="str">
        <f aca="false">'Score Entry'!C23</f>
        <v>Meera Joshi</v>
      </c>
      <c r="D18" s="128" t="n">
        <f aca="false">'Score Entry'!D23</f>
        <v>3</v>
      </c>
      <c r="E18" s="128" t="n">
        <f aca="false">'Score Entry'!F23</f>
        <v>3</v>
      </c>
      <c r="F18" s="128" t="n">
        <f aca="false">'Score Entry'!H23</f>
        <v>3</v>
      </c>
      <c r="G18" s="128" t="n">
        <f aca="false">'Score Entry'!J23</f>
        <v>3</v>
      </c>
      <c r="H18" s="128" t="n">
        <f aca="false">'Score Entry'!L23</f>
        <v>1</v>
      </c>
      <c r="I18" s="77" t="n">
        <f aca="false">'Score Entry'!N23</f>
        <v>67.5</v>
      </c>
      <c r="J18" s="33" t="str">
        <f aca="false">'Score Entry'!O23</f>
        <v>A</v>
      </c>
      <c r="K18" s="79" t="str">
        <f aca="false">'Score Entry'!P23</f>
        <v>L2-Medium</v>
      </c>
      <c r="L18" s="80" t="n">
        <f aca="false">'Score Entry'!Q23</f>
        <v>0.675</v>
      </c>
      <c r="M18" s="81" t="str">
        <f aca="false">'Score Entry'!R23</f>
        <v>Pass</v>
      </c>
    </row>
    <row r="19" customFormat="false" ht="19.5" hidden="false" customHeight="true" outlineLevel="0" collapsed="false">
      <c r="A19" s="40" t="n">
        <v>13</v>
      </c>
      <c r="B19" s="40" t="str">
        <f aca="false">'Score Entry'!B24</f>
        <v>S013</v>
      </c>
      <c r="C19" s="71" t="str">
        <f aca="false">'Score Entry'!C24</f>
        <v>Suresh Pillai</v>
      </c>
      <c r="D19" s="128" t="n">
        <f aca="false">'Score Entry'!D24</f>
        <v>2</v>
      </c>
      <c r="E19" s="128" t="n">
        <f aca="false">'Score Entry'!F24</f>
        <v>3</v>
      </c>
      <c r="F19" s="128" t="n">
        <f aca="false">'Score Entry'!H24</f>
        <v>3</v>
      </c>
      <c r="G19" s="128" t="n">
        <f aca="false">'Score Entry'!J24</f>
        <v>2</v>
      </c>
      <c r="H19" s="128" t="n">
        <f aca="false">'Score Entry'!L24</f>
        <v>1</v>
      </c>
      <c r="I19" s="77" t="n">
        <f aca="false">'Score Entry'!N24</f>
        <v>56.25</v>
      </c>
      <c r="J19" s="33" t="str">
        <f aca="false">'Score Entry'!O24</f>
        <v>B+</v>
      </c>
      <c r="K19" s="79" t="str">
        <f aca="false">'Score Entry'!P24</f>
        <v>L1-Low</v>
      </c>
      <c r="L19" s="80" t="n">
        <f aca="false">'Score Entry'!Q24</f>
        <v>0.5625</v>
      </c>
      <c r="M19" s="81" t="str">
        <f aca="false">'Score Entry'!R24</f>
        <v>Pass</v>
      </c>
    </row>
    <row r="20" customFormat="false" ht="19.5" hidden="false" customHeight="true" outlineLevel="0" collapsed="false">
      <c r="A20" s="45" t="n">
        <v>14</v>
      </c>
      <c r="B20" s="45" t="str">
        <f aca="false">'Score Entry'!B25</f>
        <v>S014</v>
      </c>
      <c r="C20" s="83" t="str">
        <f aca="false">'Score Entry'!C25</f>
        <v>Kavya Menon</v>
      </c>
      <c r="D20" s="128" t="n">
        <f aca="false">'Score Entry'!D25</f>
        <v>3</v>
      </c>
      <c r="E20" s="128" t="n">
        <f aca="false">'Score Entry'!F25</f>
        <v>2</v>
      </c>
      <c r="F20" s="128" t="n">
        <f aca="false">'Score Entry'!H25</f>
        <v>4</v>
      </c>
      <c r="G20" s="128" t="n">
        <f aca="false">'Score Entry'!J25</f>
        <v>3</v>
      </c>
      <c r="H20" s="128" t="n">
        <f aca="false">'Score Entry'!L25</f>
        <v>2</v>
      </c>
      <c r="I20" s="77" t="n">
        <f aca="false">'Score Entry'!N25</f>
        <v>68.75</v>
      </c>
      <c r="J20" s="33" t="str">
        <f aca="false">'Score Entry'!O25</f>
        <v>A</v>
      </c>
      <c r="K20" s="79" t="str">
        <f aca="false">'Score Entry'!P25</f>
        <v>L2-Medium</v>
      </c>
      <c r="L20" s="80" t="n">
        <f aca="false">'Score Entry'!Q25</f>
        <v>0.6875</v>
      </c>
      <c r="M20" s="81" t="str">
        <f aca="false">'Score Entry'!R25</f>
        <v>Pass</v>
      </c>
    </row>
    <row r="21" customFormat="false" ht="19.5" hidden="false" customHeight="true" outlineLevel="0" collapsed="false">
      <c r="A21" s="40" t="n">
        <v>15</v>
      </c>
      <c r="B21" s="40" t="str">
        <f aca="false">'Score Entry'!B26</f>
        <v>S015</v>
      </c>
      <c r="C21" s="71" t="str">
        <f aca="false">'Score Entry'!C26</f>
        <v>Aditya Bhat</v>
      </c>
      <c r="D21" s="128" t="n">
        <f aca="false">'Score Entry'!D26</f>
        <v>3</v>
      </c>
      <c r="E21" s="128" t="n">
        <f aca="false">'Score Entry'!F26</f>
        <v>1</v>
      </c>
      <c r="F21" s="128" t="n">
        <f aca="false">'Score Entry'!H26</f>
        <v>4</v>
      </c>
      <c r="G21" s="128" t="n">
        <f aca="false">'Score Entry'!J26</f>
        <v>1</v>
      </c>
      <c r="H21" s="128" t="n">
        <f aca="false">'Score Entry'!L26</f>
        <v>2</v>
      </c>
      <c r="I21" s="77" t="n">
        <f aca="false">'Score Entry'!N26</f>
        <v>52.5</v>
      </c>
      <c r="J21" s="33" t="str">
        <f aca="false">'Score Entry'!O26</f>
        <v>B+</v>
      </c>
      <c r="K21" s="79" t="str">
        <f aca="false">'Score Entry'!P26</f>
        <v>L1-Low</v>
      </c>
      <c r="L21" s="80" t="n">
        <f aca="false">'Score Entry'!Q26</f>
        <v>0.525</v>
      </c>
      <c r="M21" s="81" t="str">
        <f aca="false">'Score Entry'!R26</f>
        <v>Pass</v>
      </c>
    </row>
    <row r="22" customFormat="false" ht="19.5" hidden="false" customHeight="true" outlineLevel="0" collapsed="false">
      <c r="A22" s="45" t="n">
        <v>16</v>
      </c>
      <c r="B22" s="45" t="str">
        <f aca="false">'Score Entry'!B27</f>
        <v>S016</v>
      </c>
      <c r="C22" s="83" t="str">
        <f aca="false">'Score Entry'!C27</f>
        <v>Lakshmi Das</v>
      </c>
      <c r="D22" s="128" t="n">
        <f aca="false">'Score Entry'!D27</f>
        <v>2</v>
      </c>
      <c r="E22" s="128" t="n">
        <f aca="false">'Score Entry'!F27</f>
        <v>2</v>
      </c>
      <c r="F22" s="128" t="n">
        <f aca="false">'Score Entry'!H27</f>
        <v>2</v>
      </c>
      <c r="G22" s="128" t="n">
        <f aca="false">'Score Entry'!J27</f>
        <v>2</v>
      </c>
      <c r="H22" s="128" t="n">
        <f aca="false">'Score Entry'!L27</f>
        <v>4</v>
      </c>
      <c r="I22" s="77" t="n">
        <f aca="false">'Score Entry'!N27</f>
        <v>57.5</v>
      </c>
      <c r="J22" s="33" t="str">
        <f aca="false">'Score Entry'!O27</f>
        <v>B+</v>
      </c>
      <c r="K22" s="79" t="str">
        <f aca="false">'Score Entry'!P27</f>
        <v>L1-Low</v>
      </c>
      <c r="L22" s="80" t="n">
        <f aca="false">'Score Entry'!Q27</f>
        <v>0.575</v>
      </c>
      <c r="M22" s="81" t="str">
        <f aca="false">'Score Entry'!R27</f>
        <v>Pass</v>
      </c>
    </row>
    <row r="23" customFormat="false" ht="19.5" hidden="false" customHeight="true" outlineLevel="0" collapsed="false">
      <c r="A23" s="40" t="n">
        <v>17</v>
      </c>
      <c r="B23" s="40" t="str">
        <f aca="false">'Score Entry'!B28</f>
        <v>S017</v>
      </c>
      <c r="C23" s="71" t="str">
        <f aca="false">'Score Entry'!C28</f>
        <v>Nikhil Tiwari</v>
      </c>
      <c r="D23" s="128" t="n">
        <f aca="false">'Score Entry'!D28</f>
        <v>2</v>
      </c>
      <c r="E23" s="128" t="n">
        <f aca="false">'Score Entry'!F28</f>
        <v>3</v>
      </c>
      <c r="F23" s="128" t="n">
        <f aca="false">'Score Entry'!H28</f>
        <v>1</v>
      </c>
      <c r="G23" s="128" t="n">
        <f aca="false">'Score Entry'!J28</f>
        <v>1</v>
      </c>
      <c r="H23" s="128" t="n">
        <f aca="false">'Score Entry'!L28</f>
        <v>4</v>
      </c>
      <c r="I23" s="77" t="n">
        <f aca="false">'Score Entry'!N28</f>
        <v>55</v>
      </c>
      <c r="J23" s="33" t="str">
        <f aca="false">'Score Entry'!O28</f>
        <v>B+</v>
      </c>
      <c r="K23" s="79" t="str">
        <f aca="false">'Score Entry'!P28</f>
        <v>L1-Low</v>
      </c>
      <c r="L23" s="80" t="n">
        <f aca="false">'Score Entry'!Q28</f>
        <v>0.55</v>
      </c>
      <c r="M23" s="81" t="str">
        <f aca="false">'Score Entry'!R28</f>
        <v>Pass</v>
      </c>
    </row>
    <row r="24" customFormat="false" ht="19.5" hidden="false" customHeight="true" outlineLevel="0" collapsed="false">
      <c r="A24" s="45" t="n">
        <v>18</v>
      </c>
      <c r="B24" s="45" t="str">
        <f aca="false">'Score Entry'!B29</f>
        <v>S018</v>
      </c>
      <c r="C24" s="83" t="str">
        <f aca="false">'Score Entry'!C29</f>
        <v>Riya Shah</v>
      </c>
      <c r="D24" s="128" t="n">
        <f aca="false">'Score Entry'!D29</f>
        <v>2</v>
      </c>
      <c r="E24" s="128" t="n">
        <f aca="false">'Score Entry'!F29</f>
        <v>2</v>
      </c>
      <c r="F24" s="128" t="n">
        <f aca="false">'Score Entry'!H29</f>
        <v>2</v>
      </c>
      <c r="G24" s="128" t="n">
        <f aca="false">'Score Entry'!J29</f>
        <v>2</v>
      </c>
      <c r="H24" s="128" t="n">
        <f aca="false">'Score Entry'!L29</f>
        <v>3</v>
      </c>
      <c r="I24" s="77" t="n">
        <f aca="false">'Score Entry'!N29</f>
        <v>53.75</v>
      </c>
      <c r="J24" s="33" t="str">
        <f aca="false">'Score Entry'!O29</f>
        <v>B+</v>
      </c>
      <c r="K24" s="79" t="str">
        <f aca="false">'Score Entry'!P29</f>
        <v>L1-Low</v>
      </c>
      <c r="L24" s="80" t="n">
        <f aca="false">'Score Entry'!Q29</f>
        <v>0.5375</v>
      </c>
      <c r="M24" s="81" t="str">
        <f aca="false">'Score Entry'!R29</f>
        <v>Pass</v>
      </c>
    </row>
    <row r="25" customFormat="false" ht="19.5" hidden="false" customHeight="true" outlineLevel="0" collapsed="false">
      <c r="A25" s="40" t="n">
        <v>19</v>
      </c>
      <c r="B25" s="40" t="str">
        <f aca="false">'Score Entry'!B30</f>
        <v>S019</v>
      </c>
      <c r="C25" s="71" t="str">
        <f aca="false">'Score Entry'!C30</f>
        <v>Manish Yadav</v>
      </c>
      <c r="D25" s="128" t="n">
        <f aca="false">'Score Entry'!D30</f>
        <v>3</v>
      </c>
      <c r="E25" s="128" t="n">
        <f aca="false">'Score Entry'!F30</f>
        <v>2</v>
      </c>
      <c r="F25" s="128" t="n">
        <f aca="false">'Score Entry'!H30</f>
        <v>3</v>
      </c>
      <c r="G25" s="128" t="n">
        <f aca="false">'Score Entry'!J30</f>
        <v>3</v>
      </c>
      <c r="H25" s="128" t="n">
        <f aca="false">'Score Entry'!L30</f>
        <v>2</v>
      </c>
      <c r="I25" s="77" t="n">
        <f aca="false">'Score Entry'!N30</f>
        <v>65</v>
      </c>
      <c r="J25" s="33" t="str">
        <f aca="false">'Score Entry'!O30</f>
        <v>A</v>
      </c>
      <c r="K25" s="79" t="str">
        <f aca="false">'Score Entry'!P30</f>
        <v>L2-Medium</v>
      </c>
      <c r="L25" s="80" t="n">
        <f aca="false">'Score Entry'!Q30</f>
        <v>0.65</v>
      </c>
      <c r="M25" s="81" t="str">
        <f aca="false">'Score Entry'!R30</f>
        <v>Pass</v>
      </c>
    </row>
    <row r="26" customFormat="false" ht="19.5" hidden="false" customHeight="true" outlineLevel="0" collapsed="false">
      <c r="A26" s="45" t="n">
        <v>20</v>
      </c>
      <c r="B26" s="45" t="str">
        <f aca="false">'Score Entry'!B31</f>
        <v>S020</v>
      </c>
      <c r="C26" s="83" t="str">
        <f aca="false">'Score Entry'!C31</f>
        <v>Deepa Nambiar</v>
      </c>
      <c r="D26" s="128" t="n">
        <f aca="false">'Score Entry'!D31</f>
        <v>4</v>
      </c>
      <c r="E26" s="128" t="n">
        <f aca="false">'Score Entry'!F31</f>
        <v>2</v>
      </c>
      <c r="F26" s="128" t="n">
        <f aca="false">'Score Entry'!H31</f>
        <v>4</v>
      </c>
      <c r="G26" s="128" t="n">
        <f aca="false">'Score Entry'!J31</f>
        <v>2</v>
      </c>
      <c r="H26" s="128" t="n">
        <f aca="false">'Score Entry'!L31</f>
        <v>1</v>
      </c>
      <c r="I26" s="77" t="n">
        <f aca="false">'Score Entry'!N31</f>
        <v>66.25</v>
      </c>
      <c r="J26" s="33" t="str">
        <f aca="false">'Score Entry'!O31</f>
        <v>A</v>
      </c>
      <c r="K26" s="79" t="str">
        <f aca="false">'Score Entry'!P31</f>
        <v>L2-Medium</v>
      </c>
      <c r="L26" s="80" t="n">
        <f aca="false">'Score Entry'!Q31</f>
        <v>0.6625</v>
      </c>
      <c r="M26" s="81" t="str">
        <f aca="false">'Score Entry'!R31</f>
        <v>Pass</v>
      </c>
    </row>
    <row r="27" customFormat="false" ht="19.5" hidden="false" customHeight="true" outlineLevel="0" collapsed="false">
      <c r="A27" s="40" t="n">
        <v>21</v>
      </c>
      <c r="B27" s="40" t="str">
        <f aca="false">'Score Entry'!B32</f>
        <v>S021</v>
      </c>
      <c r="C27" s="71" t="str">
        <f aca="false">'Score Entry'!C32</f>
        <v>Siddharth Roy</v>
      </c>
      <c r="D27" s="128" t="n">
        <f aca="false">'Score Entry'!D32</f>
        <v>2</v>
      </c>
      <c r="E27" s="128" t="n">
        <f aca="false">'Score Entry'!F32</f>
        <v>2</v>
      </c>
      <c r="F27" s="128" t="n">
        <f aca="false">'Score Entry'!H32</f>
        <v>4</v>
      </c>
      <c r="G27" s="128" t="n">
        <f aca="false">'Score Entry'!J32</f>
        <v>3</v>
      </c>
      <c r="H27" s="128" t="n">
        <f aca="false">'Score Entry'!L32</f>
        <v>2</v>
      </c>
      <c r="I27" s="77" t="n">
        <f aca="false">'Score Entry'!N32</f>
        <v>62.5</v>
      </c>
      <c r="J27" s="33" t="str">
        <f aca="false">'Score Entry'!O32</f>
        <v>A</v>
      </c>
      <c r="K27" s="79" t="str">
        <f aca="false">'Score Entry'!P32</f>
        <v>L2-Medium</v>
      </c>
      <c r="L27" s="80" t="n">
        <f aca="false">'Score Entry'!Q32</f>
        <v>0.625</v>
      </c>
      <c r="M27" s="81" t="str">
        <f aca="false">'Score Entry'!R32</f>
        <v>Pass</v>
      </c>
    </row>
    <row r="28" customFormat="false" ht="19.5" hidden="false" customHeight="true" outlineLevel="0" collapsed="false">
      <c r="A28" s="45" t="n">
        <v>22</v>
      </c>
      <c r="B28" s="45" t="str">
        <f aca="false">'Score Entry'!B33</f>
        <v>S022</v>
      </c>
      <c r="C28" s="83" t="str">
        <f aca="false">'Score Entry'!C33</f>
        <v>Revathi Kumar</v>
      </c>
      <c r="D28" s="128" t="n">
        <f aca="false">'Score Entry'!D33</f>
        <v>1</v>
      </c>
      <c r="E28" s="128" t="n">
        <f aca="false">'Score Entry'!F33</f>
        <v>3</v>
      </c>
      <c r="F28" s="128" t="n">
        <f aca="false">'Score Entry'!H33</f>
        <v>3</v>
      </c>
      <c r="G28" s="128" t="n">
        <f aca="false">'Score Entry'!J33</f>
        <v>3</v>
      </c>
      <c r="H28" s="128" t="n">
        <f aca="false">'Score Entry'!L33</f>
        <v>4</v>
      </c>
      <c r="I28" s="77" t="n">
        <f aca="false">'Score Entry'!N33</f>
        <v>66.25</v>
      </c>
      <c r="J28" s="33" t="str">
        <f aca="false">'Score Entry'!O33</f>
        <v>A</v>
      </c>
      <c r="K28" s="79" t="str">
        <f aca="false">'Score Entry'!P33</f>
        <v>L2-Medium</v>
      </c>
      <c r="L28" s="80" t="n">
        <f aca="false">'Score Entry'!Q33</f>
        <v>0.6625</v>
      </c>
      <c r="M28" s="81" t="str">
        <f aca="false">'Score Entry'!R33</f>
        <v>Pass</v>
      </c>
    </row>
    <row r="29" customFormat="false" ht="19.5" hidden="false" customHeight="true" outlineLevel="0" collapsed="false">
      <c r="A29" s="40" t="n">
        <v>23</v>
      </c>
      <c r="B29" s="40" t="str">
        <f aca="false">'Score Entry'!B34</f>
        <v>S023</v>
      </c>
      <c r="C29" s="71" t="str">
        <f aca="false">'Score Entry'!C34</f>
        <v>Aakash Jain</v>
      </c>
      <c r="D29" s="128" t="n">
        <f aca="false">'Score Entry'!D34</f>
        <v>3</v>
      </c>
      <c r="E29" s="128" t="n">
        <f aca="false">'Score Entry'!F34</f>
        <v>3</v>
      </c>
      <c r="F29" s="128" t="n">
        <f aca="false">'Score Entry'!H34</f>
        <v>1</v>
      </c>
      <c r="G29" s="128" t="n">
        <f aca="false">'Score Entry'!J34</f>
        <v>2</v>
      </c>
      <c r="H29" s="128" t="n">
        <f aca="false">'Score Entry'!L34</f>
        <v>3</v>
      </c>
      <c r="I29" s="77" t="n">
        <f aca="false">'Score Entry'!N34</f>
        <v>62.5</v>
      </c>
      <c r="J29" s="33" t="str">
        <f aca="false">'Score Entry'!O34</f>
        <v>A</v>
      </c>
      <c r="K29" s="79" t="str">
        <f aca="false">'Score Entry'!P34</f>
        <v>L2-Medium</v>
      </c>
      <c r="L29" s="80" t="n">
        <f aca="false">'Score Entry'!Q34</f>
        <v>0.625</v>
      </c>
      <c r="M29" s="81" t="str">
        <f aca="false">'Score Entry'!R34</f>
        <v>Pass</v>
      </c>
    </row>
    <row r="30" customFormat="false" ht="19.5" hidden="false" customHeight="true" outlineLevel="0" collapsed="false">
      <c r="A30" s="45" t="n">
        <v>24</v>
      </c>
      <c r="B30" s="45" t="str">
        <f aca="false">'Score Entry'!B35</f>
        <v>S024</v>
      </c>
      <c r="C30" s="83" t="str">
        <f aca="false">'Score Entry'!C35</f>
        <v>Bhavana Singh</v>
      </c>
      <c r="D30" s="128" t="n">
        <f aca="false">'Score Entry'!D35</f>
        <v>4</v>
      </c>
      <c r="E30" s="128" t="n">
        <f aca="false">'Score Entry'!F35</f>
        <v>4</v>
      </c>
      <c r="F30" s="128" t="n">
        <f aca="false">'Score Entry'!H35</f>
        <v>4</v>
      </c>
      <c r="G30" s="128" t="n">
        <f aca="false">'Score Entry'!J35</f>
        <v>3</v>
      </c>
      <c r="H30" s="128" t="n">
        <f aca="false">'Score Entry'!L35</f>
        <v>3</v>
      </c>
      <c r="I30" s="77" t="n">
        <f aca="false">'Score Entry'!N35</f>
        <v>91.25</v>
      </c>
      <c r="J30" s="33" t="str">
        <f aca="false">'Score Entry'!O35</f>
        <v>O</v>
      </c>
      <c r="K30" s="79" t="str">
        <f aca="false">'Score Entry'!P35</f>
        <v>L3-High</v>
      </c>
      <c r="L30" s="80" t="n">
        <f aca="false">'Score Entry'!Q35</f>
        <v>0.9125</v>
      </c>
      <c r="M30" s="81" t="str">
        <f aca="false">'Score Entry'!R35</f>
        <v>Pass</v>
      </c>
    </row>
    <row r="31" customFormat="false" ht="19.5" hidden="false" customHeight="true" outlineLevel="0" collapsed="false">
      <c r="A31" s="40" t="n">
        <v>25</v>
      </c>
      <c r="B31" s="40" t="str">
        <f aca="false">'Score Entry'!B36</f>
        <v>S025</v>
      </c>
      <c r="C31" s="71" t="str">
        <f aca="false">'Score Entry'!C36</f>
        <v>Chetan Rao</v>
      </c>
      <c r="D31" s="128" t="n">
        <f aca="false">'Score Entry'!D36</f>
        <v>1</v>
      </c>
      <c r="E31" s="128" t="n">
        <f aca="false">'Score Entry'!F36</f>
        <v>2</v>
      </c>
      <c r="F31" s="128" t="n">
        <f aca="false">'Score Entry'!H36</f>
        <v>2</v>
      </c>
      <c r="G31" s="128" t="n">
        <f aca="false">'Score Entry'!J36</f>
        <v>3</v>
      </c>
      <c r="H31" s="128" t="n">
        <f aca="false">'Score Entry'!L36</f>
        <v>1</v>
      </c>
      <c r="I31" s="77" t="n">
        <f aca="false">'Score Entry'!N36</f>
        <v>45</v>
      </c>
      <c r="J31" s="33" t="str">
        <f aca="false">'Score Entry'!O36</f>
        <v>B</v>
      </c>
      <c r="K31" s="79" t="str">
        <f aca="false">'Score Entry'!P36</f>
        <v>L1-Low</v>
      </c>
      <c r="L31" s="80" t="n">
        <f aca="false">'Score Entry'!Q36</f>
        <v>0.45</v>
      </c>
      <c r="M31" s="81" t="str">
        <f aca="false">'Score Entry'!R36</f>
        <v>Pass</v>
      </c>
    </row>
    <row r="32" customFormat="false" ht="19.5" hidden="false" customHeight="true" outlineLevel="0" collapsed="false">
      <c r="A32" s="45" t="n">
        <v>26</v>
      </c>
      <c r="B32" s="45" t="str">
        <f aca="false">'Score Entry'!B37</f>
        <v>S026</v>
      </c>
      <c r="C32" s="83" t="str">
        <f aca="false">'Score Entry'!C37</f>
        <v>Divya Nair</v>
      </c>
      <c r="D32" s="128" t="n">
        <f aca="false">'Score Entry'!D37</f>
        <v>3</v>
      </c>
      <c r="E32" s="128" t="n">
        <f aca="false">'Score Entry'!F37</f>
        <v>2</v>
      </c>
      <c r="F32" s="128" t="n">
        <f aca="false">'Score Entry'!H37</f>
        <v>2</v>
      </c>
      <c r="G32" s="128" t="n">
        <f aca="false">'Score Entry'!J37</f>
        <v>4</v>
      </c>
      <c r="H32" s="128" t="n">
        <f aca="false">'Score Entry'!L37</f>
        <v>2</v>
      </c>
      <c r="I32" s="77" t="n">
        <f aca="false">'Score Entry'!N37</f>
        <v>66.25</v>
      </c>
      <c r="J32" s="33" t="str">
        <f aca="false">'Score Entry'!O37</f>
        <v>A</v>
      </c>
      <c r="K32" s="79" t="str">
        <f aca="false">'Score Entry'!P37</f>
        <v>L2-Medium</v>
      </c>
      <c r="L32" s="80" t="n">
        <f aca="false">'Score Entry'!Q37</f>
        <v>0.6625</v>
      </c>
      <c r="M32" s="81" t="str">
        <f aca="false">'Score Entry'!R37</f>
        <v>Pass</v>
      </c>
    </row>
    <row r="33" customFormat="false" ht="19.5" hidden="false" customHeight="true" outlineLevel="0" collapsed="false">
      <c r="A33" s="40" t="n">
        <v>27</v>
      </c>
      <c r="B33" s="40" t="str">
        <f aca="false">'Score Entry'!B38</f>
        <v>S027</v>
      </c>
      <c r="C33" s="71" t="str">
        <f aca="false">'Score Entry'!C38</f>
        <v>Eshan Mehta</v>
      </c>
      <c r="D33" s="128" t="n">
        <f aca="false">'Score Entry'!D38</f>
        <v>1</v>
      </c>
      <c r="E33" s="128" t="n">
        <f aca="false">'Score Entry'!F38</f>
        <v>1</v>
      </c>
      <c r="F33" s="128" t="n">
        <f aca="false">'Score Entry'!H38</f>
        <v>2</v>
      </c>
      <c r="G33" s="128" t="n">
        <f aca="false">'Score Entry'!J38</f>
        <v>3</v>
      </c>
      <c r="H33" s="128" t="n">
        <f aca="false">'Score Entry'!L38</f>
        <v>3</v>
      </c>
      <c r="I33" s="77" t="n">
        <f aca="false">'Score Entry'!N38</f>
        <v>46.25</v>
      </c>
      <c r="J33" s="33" t="str">
        <f aca="false">'Score Entry'!O38</f>
        <v>B</v>
      </c>
      <c r="K33" s="79" t="str">
        <f aca="false">'Score Entry'!P38</f>
        <v>L1-Low</v>
      </c>
      <c r="L33" s="80" t="n">
        <f aca="false">'Score Entry'!Q38</f>
        <v>0.4625</v>
      </c>
      <c r="M33" s="81" t="str">
        <f aca="false">'Score Entry'!R38</f>
        <v>Pass</v>
      </c>
    </row>
    <row r="34" customFormat="false" ht="19.5" hidden="false" customHeight="true" outlineLevel="0" collapsed="false">
      <c r="A34" s="45" t="n">
        <v>28</v>
      </c>
      <c r="B34" s="45" t="str">
        <f aca="false">'Score Entry'!B39</f>
        <v>S028</v>
      </c>
      <c r="C34" s="83" t="str">
        <f aca="false">'Score Entry'!C39</f>
        <v>Farah Khan</v>
      </c>
      <c r="D34" s="128" t="n">
        <f aca="false">'Score Entry'!D39</f>
        <v>1</v>
      </c>
      <c r="E34" s="128" t="n">
        <f aca="false">'Score Entry'!F39</f>
        <v>1</v>
      </c>
      <c r="F34" s="128" t="n">
        <f aca="false">'Score Entry'!H39</f>
        <v>1</v>
      </c>
      <c r="G34" s="128" t="n">
        <f aca="false">'Score Entry'!J39</f>
        <v>3</v>
      </c>
      <c r="H34" s="128" t="n">
        <f aca="false">'Score Entry'!L39</f>
        <v>3</v>
      </c>
      <c r="I34" s="77" t="n">
        <f aca="false">'Score Entry'!N39</f>
        <v>42.5</v>
      </c>
      <c r="J34" s="33" t="str">
        <f aca="false">'Score Entry'!O39</f>
        <v>B</v>
      </c>
      <c r="K34" s="79" t="str">
        <f aca="false">'Score Entry'!P39</f>
        <v>L1-Low</v>
      </c>
      <c r="L34" s="80" t="n">
        <f aca="false">'Score Entry'!Q39</f>
        <v>0.425</v>
      </c>
      <c r="M34" s="81" t="str">
        <f aca="false">'Score Entry'!R39</f>
        <v>Pass</v>
      </c>
    </row>
    <row r="35" customFormat="false" ht="19.5" hidden="false" customHeight="true" outlineLevel="0" collapsed="false">
      <c r="A35" s="40" t="n">
        <v>29</v>
      </c>
      <c r="B35" s="40" t="str">
        <f aca="false">'Score Entry'!B40</f>
        <v>S029</v>
      </c>
      <c r="C35" s="71" t="str">
        <f aca="false">'Score Entry'!C40</f>
        <v>Ganesh Iyer</v>
      </c>
      <c r="D35" s="128" t="n">
        <f aca="false">'Score Entry'!D40</f>
        <v>2</v>
      </c>
      <c r="E35" s="128" t="n">
        <f aca="false">'Score Entry'!F40</f>
        <v>3</v>
      </c>
      <c r="F35" s="128" t="n">
        <f aca="false">'Score Entry'!H40</f>
        <v>3</v>
      </c>
      <c r="G35" s="128" t="n">
        <f aca="false">'Score Entry'!J40</f>
        <v>2</v>
      </c>
      <c r="H35" s="128" t="n">
        <f aca="false">'Score Entry'!L40</f>
        <v>1</v>
      </c>
      <c r="I35" s="77" t="n">
        <f aca="false">'Score Entry'!N40</f>
        <v>56.25</v>
      </c>
      <c r="J35" s="33" t="str">
        <f aca="false">'Score Entry'!O40</f>
        <v>B+</v>
      </c>
      <c r="K35" s="79" t="str">
        <f aca="false">'Score Entry'!P40</f>
        <v>L1-Low</v>
      </c>
      <c r="L35" s="80" t="n">
        <f aca="false">'Score Entry'!Q40</f>
        <v>0.5625</v>
      </c>
      <c r="M35" s="81" t="str">
        <f aca="false">'Score Entry'!R40</f>
        <v>Pass</v>
      </c>
    </row>
    <row r="36" customFormat="false" ht="19.5" hidden="false" customHeight="true" outlineLevel="0" collapsed="false">
      <c r="A36" s="45" t="n">
        <v>30</v>
      </c>
      <c r="B36" s="45" t="str">
        <f aca="false">'Score Entry'!B41</f>
        <v>S030</v>
      </c>
      <c r="C36" s="83" t="str">
        <f aca="false">'Score Entry'!C41</f>
        <v>Hema Pillai</v>
      </c>
      <c r="D36" s="128" t="n">
        <f aca="false">'Score Entry'!D41</f>
        <v>4</v>
      </c>
      <c r="E36" s="128" t="n">
        <f aca="false">'Score Entry'!F41</f>
        <v>4</v>
      </c>
      <c r="F36" s="128" t="n">
        <f aca="false">'Score Entry'!H41</f>
        <v>3</v>
      </c>
      <c r="G36" s="128" t="n">
        <f aca="false">'Score Entry'!J41</f>
        <v>3</v>
      </c>
      <c r="H36" s="128" t="n">
        <f aca="false">'Score Entry'!L41</f>
        <v>3</v>
      </c>
      <c r="I36" s="77" t="n">
        <f aca="false">'Score Entry'!N41</f>
        <v>87.5</v>
      </c>
      <c r="J36" s="33" t="str">
        <f aca="false">'Score Entry'!O41</f>
        <v>A+</v>
      </c>
      <c r="K36" s="79" t="str">
        <f aca="false">'Score Entry'!P41</f>
        <v>L3-High</v>
      </c>
      <c r="L36" s="80" t="n">
        <f aca="false">'Score Entry'!Q41</f>
        <v>0.875</v>
      </c>
      <c r="M36" s="81" t="str">
        <f aca="false">'Score Entry'!R41</f>
        <v>Pass</v>
      </c>
    </row>
    <row r="38" customFormat="false" ht="21.75" hidden="false" customHeight="true" outlineLevel="0" collapsed="false">
      <c r="A38" s="86" t="s">
        <v>206</v>
      </c>
      <c r="B38" s="86"/>
      <c r="C38" s="86"/>
      <c r="D38" s="87" t="n">
        <f aca="false">AVERAGE(D7:D36)</f>
        <v>2.43333333333333</v>
      </c>
      <c r="E38" s="87" t="n">
        <f aca="false">AVERAGE(E7:E36)</f>
        <v>2.36666666666667</v>
      </c>
      <c r="F38" s="87" t="n">
        <f aca="false">AVERAGE(F7:F36)</f>
        <v>2.33333333333333</v>
      </c>
      <c r="G38" s="87" t="n">
        <f aca="false">AVERAGE(G7:G36)</f>
        <v>2.4</v>
      </c>
      <c r="H38" s="87" t="n">
        <f aca="false">AVERAGE(H7:H36)</f>
        <v>2.53333333333333</v>
      </c>
      <c r="I38" s="87" t="n">
        <f aca="false">AVERAGE(I7:I36)</f>
        <v>60.25</v>
      </c>
      <c r="J38" s="37"/>
      <c r="K38" s="37"/>
      <c r="L38" s="37"/>
      <c r="M38" s="37"/>
    </row>
  </sheetData>
  <mergeCells count="4">
    <mergeCell ref="A1:N1"/>
    <mergeCell ref="A2:N2"/>
    <mergeCell ref="A4:C4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5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39.75" hidden="false" customHeight="true" outlineLevel="0" collapsed="false">
      <c r="A1" s="109" t="s">
        <v>262</v>
      </c>
      <c r="B1" s="109"/>
      <c r="C1" s="109"/>
      <c r="D1" s="109"/>
      <c r="E1" s="109"/>
      <c r="F1" s="109"/>
      <c r="G1" s="109"/>
      <c r="H1" s="109"/>
    </row>
    <row r="2" customFormat="false" ht="13.5" hidden="false" customHeight="true" outlineLevel="0" collapsed="false">
      <c r="A2" s="54" t="s">
        <v>263</v>
      </c>
      <c r="B2" s="54"/>
      <c r="C2" s="54"/>
      <c r="D2" s="54"/>
      <c r="E2" s="54"/>
      <c r="F2" s="54"/>
      <c r="G2" s="54"/>
      <c r="H2" s="54"/>
    </row>
    <row r="3" customFormat="false" ht="7.5" hidden="false" customHeight="true" outlineLevel="0" collapsed="false"/>
    <row r="4" customFormat="false" ht="24" hidden="false" customHeight="true" outlineLevel="0" collapsed="false">
      <c r="A4" s="129" t="s">
        <v>264</v>
      </c>
      <c r="B4" s="130" t="s">
        <v>265</v>
      </c>
      <c r="C4" s="130" t="s">
        <v>266</v>
      </c>
      <c r="D4" s="130" t="s">
        <v>267</v>
      </c>
      <c r="E4" s="130" t="s">
        <v>268</v>
      </c>
      <c r="F4" s="130" t="s">
        <v>269</v>
      </c>
      <c r="G4" s="18" t="s">
        <v>270</v>
      </c>
      <c r="H4" s="16" t="s">
        <v>271</v>
      </c>
    </row>
    <row r="5" customFormat="false" ht="19.5" hidden="false" customHeight="true" outlineLevel="0" collapsed="false">
      <c r="A5" s="129"/>
      <c r="B5" s="130"/>
      <c r="C5" s="130"/>
      <c r="D5" s="130"/>
      <c r="E5" s="130"/>
      <c r="F5" s="130"/>
      <c r="G5" s="130"/>
      <c r="H5" s="130"/>
    </row>
    <row r="6" customFormat="false" ht="19.5" hidden="false" customHeight="true" outlineLevel="0" collapsed="false">
      <c r="A6" s="131" t="s">
        <v>272</v>
      </c>
      <c r="B6" s="132" t="n">
        <f aca="false">IFERROR(AVERAGE('Score Entry'!D12:D41),0)</f>
        <v>2.43333333333333</v>
      </c>
      <c r="C6" s="132" t="n">
        <f aca="false">IFERROR(AVERAGE('Score Entry'!F12:F41),0)</f>
        <v>2.36666666666667</v>
      </c>
      <c r="D6" s="132" t="n">
        <f aca="false">IFERROR(AVERAGE('Score Entry'!H12:H41),0)</f>
        <v>2.33333333333333</v>
      </c>
      <c r="E6" s="132" t="n">
        <f aca="false">IFERROR(AVERAGE('Score Entry'!J12:J41),0)</f>
        <v>2.4</v>
      </c>
      <c r="F6" s="132" t="n">
        <f aca="false">IFERROR(AVERAGE('Score Entry'!L12:L41),0)</f>
        <v>2.53333333333333</v>
      </c>
      <c r="G6" s="133" t="n">
        <f aca="false">IFERROR(AVERAGE(B6,C6,D6,E6,F6),0)</f>
        <v>2.41333333333333</v>
      </c>
      <c r="H6" s="37"/>
    </row>
    <row r="7" customFormat="false" ht="19.5" hidden="false" customHeight="true" outlineLevel="0" collapsed="false">
      <c r="A7" s="134" t="s">
        <v>273</v>
      </c>
      <c r="B7" s="135" t="n">
        <f aca="false">IFERROR(AVERAGE('Score Entry'!E12:E41),0)</f>
        <v>15.2083333333333</v>
      </c>
      <c r="C7" s="135" t="n">
        <f aca="false">IFERROR(AVERAGE('Score Entry'!G12:G41),0)</f>
        <v>14.7916666666667</v>
      </c>
      <c r="D7" s="135" t="n">
        <f aca="false">IFERROR(AVERAGE('Score Entry'!I12:I41),0)</f>
        <v>8.75</v>
      </c>
      <c r="E7" s="135" t="n">
        <f aca="false">IFERROR(AVERAGE('Score Entry'!K12:K41),0)</f>
        <v>12</v>
      </c>
      <c r="F7" s="135" t="n">
        <f aca="false">IFERROR(AVERAGE('Score Entry'!M12:M41),0)</f>
        <v>9.5</v>
      </c>
      <c r="G7" s="133" t="n">
        <f aca="false">IFERROR(AVERAGE(B7,C7,D7,E7,F7),0)</f>
        <v>12.05</v>
      </c>
      <c r="H7" s="37"/>
    </row>
    <row r="8" customFormat="false" ht="19.5" hidden="false" customHeight="true" outlineLevel="0" collapsed="false">
      <c r="A8" s="136" t="s">
        <v>274</v>
      </c>
      <c r="B8" s="137" t="n">
        <f aca="false">MAX('Score Entry'!D12:D41)</f>
        <v>4</v>
      </c>
      <c r="C8" s="137" t="n">
        <f aca="false">MAX('Score Entry'!F12:F41)</f>
        <v>4</v>
      </c>
      <c r="D8" s="137" t="n">
        <f aca="false">MAX('Score Entry'!H12:H41)</f>
        <v>4</v>
      </c>
      <c r="E8" s="137" t="n">
        <f aca="false">MAX('Score Entry'!J12:J41)</f>
        <v>4</v>
      </c>
      <c r="F8" s="137" t="n">
        <f aca="false">MAX('Score Entry'!L12:L41)</f>
        <v>4</v>
      </c>
      <c r="G8" s="138" t="n">
        <f aca="false">IFERROR(AVERAGE(B8,C8,D8,E8,F8),0)</f>
        <v>4</v>
      </c>
      <c r="H8" s="37"/>
    </row>
    <row r="9" customFormat="false" ht="19.5" hidden="false" customHeight="true" outlineLevel="0" collapsed="false">
      <c r="A9" s="139" t="s">
        <v>275</v>
      </c>
      <c r="B9" s="140" t="n">
        <f aca="false">MIN('Score Entry'!D12:D41)</f>
        <v>1</v>
      </c>
      <c r="C9" s="140" t="n">
        <f aca="false">MIN('Score Entry'!F12:F41)</f>
        <v>1</v>
      </c>
      <c r="D9" s="140" t="n">
        <f aca="false">MIN('Score Entry'!H12:H41)</f>
        <v>1</v>
      </c>
      <c r="E9" s="140" t="n">
        <f aca="false">MIN('Score Entry'!J12:J41)</f>
        <v>1</v>
      </c>
      <c r="F9" s="140" t="n">
        <f aca="false">MIN('Score Entry'!L12:L41)</f>
        <v>1</v>
      </c>
      <c r="G9" s="138" t="n">
        <f aca="false">IFERROR(AVERAGE(B9,C9,D9,E9,F9),0)</f>
        <v>1</v>
      </c>
      <c r="H9" s="37"/>
    </row>
    <row r="10" customFormat="false" ht="19.5" hidden="false" customHeight="true" outlineLevel="0" collapsed="false">
      <c r="A10" s="134" t="s">
        <v>276</v>
      </c>
      <c r="B10" s="141" t="n">
        <f aca="false">COUNTIF('Score Entry'!D12:D41,4)</f>
        <v>7</v>
      </c>
      <c r="C10" s="141" t="n">
        <f aca="false">COUNTIF('Score Entry'!F12:F41,4)</f>
        <v>4</v>
      </c>
      <c r="D10" s="141" t="n">
        <f aca="false">COUNTIF('Score Entry'!H12:H41,4)</f>
        <v>6</v>
      </c>
      <c r="E10" s="141" t="n">
        <f aca="false">COUNTIF('Score Entry'!J12:J41,4)</f>
        <v>4</v>
      </c>
      <c r="F10" s="141" t="n">
        <f aca="false">COUNTIF('Score Entry'!L12:L41,4)</f>
        <v>7</v>
      </c>
      <c r="G10" s="138" t="n">
        <f aca="false">IFERROR(AVERAGE(B10,C10,D10,E10,F10),0)</f>
        <v>5.6</v>
      </c>
      <c r="H10" s="37"/>
    </row>
    <row r="11" customFormat="false" ht="19.5" hidden="false" customHeight="true" outlineLevel="0" collapsed="false">
      <c r="A11" s="142" t="s">
        <v>277</v>
      </c>
      <c r="B11" s="143" t="n">
        <f aca="false">COUNTIF('Score Entry'!D12:D41,3)</f>
        <v>6</v>
      </c>
      <c r="C11" s="143" t="n">
        <f aca="false">COUNTIF('Score Entry'!F12:F41,3)</f>
        <v>9</v>
      </c>
      <c r="D11" s="143" t="n">
        <f aca="false">COUNTIF('Score Entry'!H12:H41,3)</f>
        <v>7</v>
      </c>
      <c r="E11" s="143" t="n">
        <f aca="false">COUNTIF('Score Entry'!J12:J41,3)</f>
        <v>11</v>
      </c>
      <c r="F11" s="143" t="n">
        <f aca="false">COUNTIF('Score Entry'!L12:L41,3)</f>
        <v>9</v>
      </c>
      <c r="G11" s="138" t="n">
        <f aca="false">IFERROR(AVERAGE(B11,C11,D11,E11,F11),0)</f>
        <v>8.4</v>
      </c>
      <c r="H11" s="37"/>
    </row>
    <row r="12" customFormat="false" ht="19.5" hidden="false" customHeight="true" outlineLevel="0" collapsed="false">
      <c r="A12" s="144" t="s">
        <v>278</v>
      </c>
      <c r="B12" s="145" t="n">
        <f aca="false">COUNTIF('Score Entry'!D12:D41,2)</f>
        <v>10</v>
      </c>
      <c r="C12" s="145" t="n">
        <f aca="false">COUNTIF('Score Entry'!F12:F41,2)</f>
        <v>11</v>
      </c>
      <c r="D12" s="145" t="n">
        <f aca="false">COUNTIF('Score Entry'!H12:H41,2)</f>
        <v>8</v>
      </c>
      <c r="E12" s="145" t="n">
        <f aca="false">COUNTIF('Score Entry'!J12:J41,2)</f>
        <v>8</v>
      </c>
      <c r="F12" s="145" t="n">
        <f aca="false">COUNTIF('Score Entry'!L12:L41,2)</f>
        <v>7</v>
      </c>
      <c r="G12" s="138" t="n">
        <f aca="false">IFERROR(AVERAGE(B12,C12,D12,E12,F12),0)</f>
        <v>8.8</v>
      </c>
      <c r="H12" s="37"/>
    </row>
    <row r="13" customFormat="false" ht="19.5" hidden="false" customHeight="true" outlineLevel="0" collapsed="false">
      <c r="A13" s="139" t="s">
        <v>279</v>
      </c>
      <c r="B13" s="140" t="n">
        <f aca="false">COUNTIF('Score Entry'!D12:D41,1)</f>
        <v>7</v>
      </c>
      <c r="C13" s="140" t="n">
        <f aca="false">COUNTIF('Score Entry'!F12:F41,1)</f>
        <v>6</v>
      </c>
      <c r="D13" s="140" t="n">
        <f aca="false">COUNTIF('Score Entry'!H12:H41,1)</f>
        <v>9</v>
      </c>
      <c r="E13" s="140" t="n">
        <f aca="false">COUNTIF('Score Entry'!J12:J41,1)</f>
        <v>7</v>
      </c>
      <c r="F13" s="140" t="n">
        <f aca="false">COUNTIF('Score Entry'!L12:L41,1)</f>
        <v>7</v>
      </c>
      <c r="G13" s="138" t="n">
        <f aca="false">IFERROR(AVERAGE(B13,C13,D13,E13,F13),0)</f>
        <v>7.2</v>
      </c>
      <c r="H13" s="37"/>
    </row>
    <row r="14" customFormat="false" ht="19.5" hidden="false" customHeight="true" outlineLevel="0" collapsed="false">
      <c r="A14" s="146" t="s">
        <v>280</v>
      </c>
      <c r="B14" s="147" t="n">
        <f aca="false">IFERROR(AVERAGE('Score Entry'!D12:D41)/4*100,0)</f>
        <v>60.8333333333333</v>
      </c>
      <c r="C14" s="147" t="n">
        <f aca="false">IFERROR(AVERAGE('Score Entry'!F12:F41)/4*100,0)</f>
        <v>59.1666666666667</v>
      </c>
      <c r="D14" s="147" t="n">
        <f aca="false">IFERROR(AVERAGE('Score Entry'!H12:H41)/4*100,0)</f>
        <v>58.3333333333333</v>
      </c>
      <c r="E14" s="147" t="n">
        <f aca="false">IFERROR(AVERAGE('Score Entry'!J12:J41)/4*100,0)</f>
        <v>60</v>
      </c>
      <c r="F14" s="147" t="n">
        <f aca="false">IFERROR(AVERAGE('Score Entry'!L12:L41)/4*100,0)</f>
        <v>63.3333333333333</v>
      </c>
      <c r="G14" s="87" t="n">
        <f aca="false">IFERROR(AVERAGE(B14,C14,D14,E14,F14),0)</f>
        <v>60.3333333333333</v>
      </c>
      <c r="H14" s="87" t="n">
        <f aca="false">IFERROR(AVERAGE(B14,C14,D14,E14,F14),0)</f>
        <v>60.3333333333333</v>
      </c>
    </row>
    <row r="16" customFormat="false" ht="21.75" hidden="false" customHeight="true" outlineLevel="0" collapsed="false">
      <c r="A16" s="148" t="s">
        <v>281</v>
      </c>
      <c r="B16" s="149" t="str">
        <f aca="false">IF(B14&gt;=75,"L3-High",IF(B14&gt;=60,"L2-Med",IF(B14&gt;=40,"L1-Low","L0-Below")))</f>
        <v>L2-Med</v>
      </c>
      <c r="C16" s="149" t="str">
        <f aca="false">IF(C14&gt;=75,"L3-High",IF(C14&gt;=60,"L2-Med",IF(C14&gt;=40,"L1-Low","L0-Below")))</f>
        <v>L1-Low</v>
      </c>
      <c r="D16" s="149" t="str">
        <f aca="false">IF(D14&gt;=75,"L3-High",IF(D14&gt;=60,"L2-Med",IF(D14&gt;=40,"L1-Low","L0-Below")))</f>
        <v>L1-Low</v>
      </c>
      <c r="E16" s="149" t="str">
        <f aca="false">IF(E14&gt;=75,"L3-High",IF(E14&gt;=60,"L2-Med",IF(E14&gt;=40,"L1-Low","L0-Below")))</f>
        <v>L2-Med</v>
      </c>
      <c r="F16" s="149" t="str">
        <f aca="false">IF(F14&gt;=75,"L3-High",IF(F14&gt;=60,"L2-Med",IF(F14&gt;=40,"L1-Low","L0-Below")))</f>
        <v>L2-Med</v>
      </c>
      <c r="G16" s="79" t="str">
        <f aca="false">IF(G14&gt;=75,"L3-High",IF(G14&gt;=60,"L2-Med",IF(G14&gt;=40,"L1-Low","L0-Below")))</f>
        <v>L2-Med</v>
      </c>
      <c r="H16" s="150" t="n">
        <f aca="false">H14</f>
        <v>60.3333333333333</v>
      </c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32"/>
    <col collapsed="false" customWidth="true" hidden="false" outlineLevel="0" max="4" min="4" style="1" width="26"/>
    <col collapsed="false" customWidth="true" hidden="false" outlineLevel="0" max="9" min="5" style="1" width="13"/>
  </cols>
  <sheetData>
    <row r="1" customFormat="false" ht="39.75" hidden="false" customHeight="true" outlineLevel="0" collapsed="false">
      <c r="A1" s="109" t="s">
        <v>282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</row>
    <row r="2" customFormat="false" ht="15.75" hidden="false" customHeight="true" outlineLevel="0" collapsed="false">
      <c r="A2" s="54" t="s">
        <v>283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customFormat="false" ht="7.5" hidden="false" customHeight="true" outlineLevel="0" collapsed="false"/>
    <row r="4" customFormat="false" ht="21.75" hidden="false" customHeight="true" outlineLevel="0" collapsed="false">
      <c r="A4" s="48" t="s">
        <v>284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customFormat="false" ht="24" hidden="false" customHeight="true" outlineLevel="0" collapsed="false">
      <c r="A5" s="15" t="s">
        <v>13</v>
      </c>
      <c r="B5" s="15" t="s">
        <v>23</v>
      </c>
      <c r="C5" s="15" t="s">
        <v>98</v>
      </c>
      <c r="D5" s="15" t="s">
        <v>17</v>
      </c>
      <c r="E5" s="15" t="s">
        <v>285</v>
      </c>
      <c r="F5" s="15" t="s">
        <v>137</v>
      </c>
      <c r="G5" s="15" t="s">
        <v>286</v>
      </c>
      <c r="H5" s="15" t="s">
        <v>287</v>
      </c>
      <c r="I5" s="15" t="s">
        <v>228</v>
      </c>
      <c r="J5" s="15" t="s">
        <v>288</v>
      </c>
    </row>
    <row r="6" customFormat="false" ht="21.75" hidden="false" customHeight="true" outlineLevel="0" collapsed="false">
      <c r="A6" s="40" t="n">
        <v>1</v>
      </c>
      <c r="B6" s="23" t="s">
        <v>32</v>
      </c>
      <c r="C6" s="43" t="s">
        <v>101</v>
      </c>
      <c r="D6" s="27" t="s">
        <v>102</v>
      </c>
      <c r="E6" s="151" t="s">
        <v>104</v>
      </c>
      <c r="F6" s="152" t="n">
        <f aca="false">IFERROR(AVERAGE('Criterion Analysis'!B14,'Criterion Analysis'!C14),0)</f>
        <v>60</v>
      </c>
      <c r="G6" s="153" t="n">
        <v>60</v>
      </c>
      <c r="H6" s="154" t="n">
        <f aca="false">F6-G6</f>
        <v>0</v>
      </c>
      <c r="I6" s="149" t="str">
        <f aca="false">IF(F6&gt;=75,"L3-High",IF(F6&gt;=60,"L2-Medium",IF(F6&gt;=40,"L1-Low","L0-Below")))</f>
        <v>L2-Medium</v>
      </c>
      <c r="J6" s="81" t="str">
        <f aca="false">IF(F6&gt;=60,"✔ Met","✘ Not Met")</f>
        <v>✔ Met</v>
      </c>
    </row>
    <row r="7" customFormat="false" ht="21.75" hidden="false" customHeight="true" outlineLevel="0" collapsed="false">
      <c r="A7" s="45" t="n">
        <v>2</v>
      </c>
      <c r="B7" s="23" t="s">
        <v>58</v>
      </c>
      <c r="C7" s="47" t="s">
        <v>105</v>
      </c>
      <c r="D7" s="27" t="s">
        <v>106</v>
      </c>
      <c r="E7" s="155" t="s">
        <v>51</v>
      </c>
      <c r="F7" s="152" t="n">
        <f aca="false">IFERROR(AVERAGE('Criterion Analysis'!E14),0)</f>
        <v>60</v>
      </c>
      <c r="G7" s="153" t="n">
        <v>60</v>
      </c>
      <c r="H7" s="154" t="n">
        <f aca="false">F7-G7</f>
        <v>0</v>
      </c>
      <c r="I7" s="149" t="str">
        <f aca="false">IF(F7&gt;=75,"L3-High",IF(F7&gt;=60,"L2-Medium",IF(F7&gt;=40,"L1-Low","L0-Below")))</f>
        <v>L2-Medium</v>
      </c>
      <c r="J7" s="81" t="str">
        <f aca="false">IF(F7&gt;=60,"✔ Met","✘ Not Met")</f>
        <v>✔ Met</v>
      </c>
    </row>
    <row r="8" customFormat="false" ht="21.75" hidden="false" customHeight="true" outlineLevel="0" collapsed="false">
      <c r="A8" s="40" t="n">
        <v>3</v>
      </c>
      <c r="B8" s="23" t="s">
        <v>49</v>
      </c>
      <c r="C8" s="43" t="s">
        <v>108</v>
      </c>
      <c r="D8" s="27" t="s">
        <v>109</v>
      </c>
      <c r="E8" s="151" t="s">
        <v>111</v>
      </c>
      <c r="F8" s="152" t="n">
        <f aca="false">IFERROR(AVERAGE('Criterion Analysis'!D14,'Criterion Analysis'!F14),0)</f>
        <v>60.8333333333333</v>
      </c>
      <c r="G8" s="153" t="n">
        <v>60</v>
      </c>
      <c r="H8" s="154" t="n">
        <f aca="false">F8-G8</f>
        <v>0.833333333333329</v>
      </c>
      <c r="I8" s="149" t="str">
        <f aca="false">IF(F8&gt;=75,"L3-High",IF(F8&gt;=60,"L2-Medium",IF(F8&gt;=40,"L1-Low","L0-Below")))</f>
        <v>L2-Medium</v>
      </c>
      <c r="J8" s="81" t="str">
        <f aca="false">IF(F8&gt;=60,"✔ Met","✘ Not Met")</f>
        <v>✔ Met</v>
      </c>
    </row>
    <row r="9" customFormat="false" ht="21.75" hidden="false" customHeight="true" outlineLevel="0" collapsed="false">
      <c r="A9" s="45" t="n">
        <v>4</v>
      </c>
      <c r="B9" s="23" t="s">
        <v>112</v>
      </c>
      <c r="C9" s="47" t="s">
        <v>113</v>
      </c>
      <c r="D9" s="27" t="s">
        <v>106</v>
      </c>
      <c r="E9" s="155"/>
      <c r="F9" s="156" t="s">
        <v>115</v>
      </c>
      <c r="G9" s="153" t="n">
        <v>60</v>
      </c>
      <c r="H9" s="154" t="str">
        <f aca="false">IFERROR(F9-G9,"—")</f>
        <v>—</v>
      </c>
      <c r="I9" s="149" t="str">
        <f aca="false">IF(F9&gt;=75,"L3-High",IF(F9&gt;=60,"L2-Medium",IF(F9&gt;=40,"L1-Low","L0-Below")))</f>
        <v>L3-High</v>
      </c>
      <c r="J9" s="81" t="str">
        <f aca="false">IF(F9&gt;=60,"✔ Met","✘ Not Met")</f>
        <v>✔ Met</v>
      </c>
    </row>
    <row r="12" customFormat="false" ht="21.75" hidden="false" customHeight="true" outlineLevel="0" collapsed="false">
      <c r="A12" s="4" t="s">
        <v>289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24" hidden="false" customHeight="true" outlineLevel="0" collapsed="false">
      <c r="A13" s="15" t="s">
        <v>13</v>
      </c>
      <c r="B13" s="15" t="s">
        <v>290</v>
      </c>
      <c r="C13" s="15" t="s">
        <v>98</v>
      </c>
      <c r="D13" s="15" t="s">
        <v>291</v>
      </c>
      <c r="E13" s="15" t="s">
        <v>292</v>
      </c>
      <c r="F13" s="15" t="s">
        <v>286</v>
      </c>
      <c r="G13" s="15" t="s">
        <v>287</v>
      </c>
      <c r="H13" s="15" t="s">
        <v>228</v>
      </c>
      <c r="I13" s="15" t="s">
        <v>288</v>
      </c>
    </row>
    <row r="14" customFormat="false" ht="19.5" hidden="false" customHeight="true" outlineLevel="0" collapsed="false">
      <c r="A14" s="40" t="n">
        <v>1</v>
      </c>
      <c r="B14" s="23" t="s">
        <v>293</v>
      </c>
      <c r="C14" s="43" t="s">
        <v>294</v>
      </c>
      <c r="D14" s="151" t="s">
        <v>295</v>
      </c>
      <c r="E14" s="152" t="n">
        <f aca="false">IFERROR((('CO &amp; PO Attainment'!F6*3))/3,0)</f>
        <v>60</v>
      </c>
      <c r="F14" s="153" t="n">
        <v>60</v>
      </c>
      <c r="G14" s="154" t="n">
        <f aca="false">E14-F14</f>
        <v>0</v>
      </c>
      <c r="H14" s="149" t="str">
        <f aca="false">IF(E14&gt;=75,"L3-High",IF(E14&gt;=60,"L2-Medium",IF(E14&gt;=40,"L1-Low","L0-Below")))</f>
        <v>L2-Medium</v>
      </c>
      <c r="I14" s="81" t="str">
        <f aca="false">IF(E14&gt;=60,"✔ Met","✘ Not Met")</f>
        <v>✔ Met</v>
      </c>
    </row>
    <row r="15" customFormat="false" ht="19.5" hidden="false" customHeight="true" outlineLevel="0" collapsed="false">
      <c r="A15" s="45" t="n">
        <v>2</v>
      </c>
      <c r="B15" s="23" t="s">
        <v>296</v>
      </c>
      <c r="C15" s="47" t="s">
        <v>297</v>
      </c>
      <c r="D15" s="155" t="s">
        <v>298</v>
      </c>
      <c r="E15" s="152" t="n">
        <f aca="false">IFERROR((('CO &amp; PO Attainment'!F6*2)+('CO &amp; PO Attainment'!F7*3)+('CO &amp; PO Attainment'!F9*2))/7,0)</f>
        <v>0</v>
      </c>
      <c r="F15" s="153" t="n">
        <v>60</v>
      </c>
      <c r="G15" s="154" t="n">
        <f aca="false">E15-F15</f>
        <v>-60</v>
      </c>
      <c r="H15" s="149" t="str">
        <f aca="false">IF(E15&gt;=75,"L3-High",IF(E15&gt;=60,"L2-Medium",IF(E15&gt;=40,"L1-Low","L0-Below")))</f>
        <v>L0-Below</v>
      </c>
      <c r="I15" s="81" t="str">
        <f aca="false">IF(E15&gt;=60,"✔ Met","✘ Not Met")</f>
        <v>✘ Not Met</v>
      </c>
    </row>
    <row r="16" customFormat="false" ht="19.5" hidden="false" customHeight="true" outlineLevel="0" collapsed="false">
      <c r="A16" s="40" t="n">
        <v>3</v>
      </c>
      <c r="B16" s="23" t="s">
        <v>299</v>
      </c>
      <c r="C16" s="43" t="s">
        <v>300</v>
      </c>
      <c r="D16" s="151" t="s">
        <v>301</v>
      </c>
      <c r="E16" s="152" t="n">
        <f aca="false">IFERROR((('CO &amp; PO Attainment'!F7*2))/2,0)</f>
        <v>60</v>
      </c>
      <c r="F16" s="153" t="n">
        <v>60</v>
      </c>
      <c r="G16" s="154" t="n">
        <f aca="false">E16-F16</f>
        <v>0</v>
      </c>
      <c r="H16" s="149" t="str">
        <f aca="false">IF(E16&gt;=75,"L3-High",IF(E16&gt;=60,"L2-Medium",IF(E16&gt;=40,"L1-Low","L0-Below")))</f>
        <v>L2-Medium</v>
      </c>
      <c r="I16" s="81" t="str">
        <f aca="false">IF(E16&gt;=60,"✔ Met","✘ Not Met")</f>
        <v>✔ Met</v>
      </c>
    </row>
    <row r="17" customFormat="false" ht="19.5" hidden="false" customHeight="true" outlineLevel="0" collapsed="false">
      <c r="A17" s="45" t="n">
        <v>4</v>
      </c>
      <c r="B17" s="23" t="s">
        <v>302</v>
      </c>
      <c r="C17" s="47" t="s">
        <v>303</v>
      </c>
      <c r="D17" s="155" t="s">
        <v>115</v>
      </c>
      <c r="E17" s="157" t="s">
        <v>115</v>
      </c>
      <c r="F17" s="157" t="s">
        <v>115</v>
      </c>
      <c r="G17" s="157" t="s">
        <v>115</v>
      </c>
      <c r="H17" s="157" t="s">
        <v>115</v>
      </c>
      <c r="I17" s="157" t="s">
        <v>115</v>
      </c>
    </row>
    <row r="18" customFormat="false" ht="19.5" hidden="false" customHeight="true" outlineLevel="0" collapsed="false">
      <c r="A18" s="40" t="n">
        <v>5</v>
      </c>
      <c r="B18" s="23" t="s">
        <v>304</v>
      </c>
      <c r="C18" s="43" t="s">
        <v>305</v>
      </c>
      <c r="D18" s="151" t="s">
        <v>115</v>
      </c>
      <c r="E18" s="157" t="s">
        <v>115</v>
      </c>
      <c r="F18" s="157" t="s">
        <v>115</v>
      </c>
      <c r="G18" s="157" t="s">
        <v>115</v>
      </c>
      <c r="H18" s="157" t="s">
        <v>115</v>
      </c>
      <c r="I18" s="157" t="s">
        <v>115</v>
      </c>
    </row>
    <row r="19" customFormat="false" ht="19.5" hidden="false" customHeight="true" outlineLevel="0" collapsed="false">
      <c r="A19" s="45" t="n">
        <v>6</v>
      </c>
      <c r="B19" s="23" t="s">
        <v>306</v>
      </c>
      <c r="C19" s="47" t="s">
        <v>307</v>
      </c>
      <c r="D19" s="155" t="s">
        <v>115</v>
      </c>
      <c r="E19" s="157" t="s">
        <v>115</v>
      </c>
      <c r="F19" s="157" t="s">
        <v>115</v>
      </c>
      <c r="G19" s="157" t="s">
        <v>115</v>
      </c>
      <c r="H19" s="157" t="s">
        <v>115</v>
      </c>
      <c r="I19" s="157" t="s">
        <v>115</v>
      </c>
    </row>
    <row r="20" customFormat="false" ht="19.5" hidden="false" customHeight="true" outlineLevel="0" collapsed="false">
      <c r="A20" s="40" t="n">
        <v>7</v>
      </c>
      <c r="B20" s="23" t="s">
        <v>308</v>
      </c>
      <c r="C20" s="43" t="s">
        <v>309</v>
      </c>
      <c r="D20" s="151" t="s">
        <v>115</v>
      </c>
      <c r="E20" s="157" t="s">
        <v>115</v>
      </c>
      <c r="F20" s="157" t="s">
        <v>115</v>
      </c>
      <c r="G20" s="157" t="s">
        <v>115</v>
      </c>
      <c r="H20" s="157" t="s">
        <v>115</v>
      </c>
      <c r="I20" s="157" t="s">
        <v>115</v>
      </c>
    </row>
    <row r="21" customFormat="false" ht="19.5" hidden="false" customHeight="true" outlineLevel="0" collapsed="false">
      <c r="A21" s="45" t="n">
        <v>8</v>
      </c>
      <c r="B21" s="23" t="s">
        <v>310</v>
      </c>
      <c r="C21" s="47" t="s">
        <v>311</v>
      </c>
      <c r="D21" s="155" t="s">
        <v>115</v>
      </c>
      <c r="E21" s="157" t="s">
        <v>115</v>
      </c>
      <c r="F21" s="157" t="s">
        <v>115</v>
      </c>
      <c r="G21" s="157" t="s">
        <v>115</v>
      </c>
      <c r="H21" s="157" t="s">
        <v>115</v>
      </c>
      <c r="I21" s="157" t="s">
        <v>115</v>
      </c>
    </row>
    <row r="22" customFormat="false" ht="19.5" hidden="false" customHeight="true" outlineLevel="0" collapsed="false">
      <c r="A22" s="40" t="n">
        <v>9</v>
      </c>
      <c r="B22" s="23" t="s">
        <v>312</v>
      </c>
      <c r="C22" s="43" t="s">
        <v>313</v>
      </c>
      <c r="D22" s="151" t="s">
        <v>314</v>
      </c>
      <c r="E22" s="152" t="n">
        <f aca="false">IFERROR((('CO &amp; PO Attainment'!F9*2))/2,0)</f>
        <v>0</v>
      </c>
      <c r="F22" s="153" t="n">
        <v>60</v>
      </c>
      <c r="G22" s="154" t="n">
        <f aca="false">E22-F22</f>
        <v>-60</v>
      </c>
      <c r="H22" s="149" t="str">
        <f aca="false">IF(E22&gt;=75,"L3-High",IF(E22&gt;=60,"L2-Medium",IF(E22&gt;=40,"L1-Low","L0-Below")))</f>
        <v>L0-Below</v>
      </c>
      <c r="I22" s="81" t="str">
        <f aca="false">IF(E22&gt;=60,"✔ Met","✘ Not Met")</f>
        <v>✘ Not Met</v>
      </c>
    </row>
    <row r="23" customFormat="false" ht="19.5" hidden="false" customHeight="true" outlineLevel="0" collapsed="false">
      <c r="A23" s="45" t="n">
        <v>10</v>
      </c>
      <c r="B23" s="23" t="s">
        <v>110</v>
      </c>
      <c r="C23" s="47" t="s">
        <v>315</v>
      </c>
      <c r="D23" s="155" t="s">
        <v>316</v>
      </c>
      <c r="E23" s="152" t="n">
        <f aca="false">IFERROR((('CO &amp; PO Attainment'!F8*3))/3,0)</f>
        <v>60.8333333333333</v>
      </c>
      <c r="F23" s="153" t="n">
        <v>60</v>
      </c>
      <c r="G23" s="154" t="n">
        <f aca="false">E23-F23</f>
        <v>0.833333333333336</v>
      </c>
      <c r="H23" s="149" t="str">
        <f aca="false">IF(E23&gt;=75,"L3-High",IF(E23&gt;=60,"L2-Medium",IF(E23&gt;=40,"L1-Low","L0-Below")))</f>
        <v>L2-Medium</v>
      </c>
      <c r="I23" s="81" t="str">
        <f aca="false">IF(E23&gt;=60,"✔ Met","✘ Not Met")</f>
        <v>✔ Met</v>
      </c>
    </row>
    <row r="24" customFormat="false" ht="19.5" hidden="false" customHeight="true" outlineLevel="0" collapsed="false">
      <c r="A24" s="40" t="n">
        <v>11</v>
      </c>
      <c r="B24" s="23" t="s">
        <v>317</v>
      </c>
      <c r="C24" s="43" t="s">
        <v>318</v>
      </c>
      <c r="D24" s="151" t="s">
        <v>115</v>
      </c>
      <c r="E24" s="157" t="s">
        <v>115</v>
      </c>
      <c r="F24" s="157" t="s">
        <v>115</v>
      </c>
      <c r="G24" s="157" t="s">
        <v>115</v>
      </c>
      <c r="H24" s="157" t="s">
        <v>115</v>
      </c>
      <c r="I24" s="157" t="s">
        <v>115</v>
      </c>
    </row>
    <row r="25" customFormat="false" ht="19.5" hidden="false" customHeight="true" outlineLevel="0" collapsed="false">
      <c r="A25" s="45" t="n">
        <v>12</v>
      </c>
      <c r="B25" s="23" t="s">
        <v>319</v>
      </c>
      <c r="C25" s="47" t="s">
        <v>320</v>
      </c>
      <c r="D25" s="155" t="s">
        <v>314</v>
      </c>
      <c r="E25" s="152" t="n">
        <f aca="false">IFERROR((('CO &amp; PO Attainment'!F9*2))/2,0)</f>
        <v>0</v>
      </c>
      <c r="F25" s="153" t="n">
        <v>60</v>
      </c>
      <c r="G25" s="154" t="n">
        <f aca="false">E25-F25</f>
        <v>-60</v>
      </c>
      <c r="H25" s="149" t="str">
        <f aca="false">IF(E25&gt;=75,"L3-High",IF(E25&gt;=60,"L2-Medium",IF(E25&gt;=40,"L1-Low","L0-Below")))</f>
        <v>L0-Below</v>
      </c>
      <c r="I25" s="81" t="str">
        <f aca="false">IF(E25&gt;=60,"✔ Met","✘ Not Met")</f>
        <v>✘ Not Met</v>
      </c>
    </row>
  </sheetData>
  <mergeCells count="4">
    <mergeCell ref="A1:T1"/>
    <mergeCell ref="A2:T2"/>
    <mergeCell ref="A4:L4"/>
    <mergeCell ref="A12:T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8" min="4" style="1" width="13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2" min="12" style="1" width="46"/>
  </cols>
  <sheetData>
    <row r="1" customFormat="false" ht="43.5" hidden="false" customHeight="true" outlineLevel="0" collapsed="false">
      <c r="A1" s="53" t="s">
        <v>321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customFormat="false" ht="13.5" hidden="false" customHeight="true" outlineLevel="0" collapsed="false">
      <c r="A2" s="54" t="s">
        <v>322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customFormat="false" ht="7.5" hidden="false" customHeight="true" outlineLevel="0" collapsed="false"/>
    <row r="4" customFormat="false" ht="25.5" hidden="false" customHeight="true" outlineLevel="0" collapsed="false">
      <c r="A4" s="15" t="s">
        <v>13</v>
      </c>
      <c r="B4" s="15" t="s">
        <v>253</v>
      </c>
      <c r="C4" s="15" t="s">
        <v>254</v>
      </c>
      <c r="D4" s="127" t="s">
        <v>255</v>
      </c>
      <c r="E4" s="127" t="s">
        <v>256</v>
      </c>
      <c r="F4" s="127" t="s">
        <v>257</v>
      </c>
      <c r="G4" s="127" t="s">
        <v>258</v>
      </c>
      <c r="H4" s="127" t="s">
        <v>259</v>
      </c>
      <c r="I4" s="18" t="s">
        <v>323</v>
      </c>
      <c r="J4" s="21" t="s">
        <v>135</v>
      </c>
      <c r="K4" s="16" t="s">
        <v>261</v>
      </c>
      <c r="L4" s="22" t="s">
        <v>324</v>
      </c>
    </row>
    <row r="5" customFormat="false" ht="21.75" hidden="false" customHeight="true" outlineLevel="0" collapsed="false">
      <c r="A5" s="40" t="n">
        <v>1</v>
      </c>
      <c r="B5" s="40" t="str">
        <f aca="false">'Score Entry'!B12</f>
        <v>S001</v>
      </c>
      <c r="C5" s="71" t="str">
        <f aca="false">'Score Entry'!C12</f>
        <v>Aarav Sharma</v>
      </c>
      <c r="D5" s="42" t="str">
        <f aca="false">IF('Score Entry'!D12=4,"Excellent",IF('Score Entry'!D12=3,"Good",IF('Score Entry'!D12=2,"Fair","Poor")))</f>
        <v>Poor</v>
      </c>
      <c r="E5" s="42" t="str">
        <f aca="false">IF('Score Entry'!F12=4,"Excellent",IF('Score Entry'!F12=3,"Good",IF('Score Entry'!F12=2,"Fair","Poor")))</f>
        <v>Excellent</v>
      </c>
      <c r="F5" s="42" t="str">
        <f aca="false">IF('Score Entry'!H12=4,"Excellent",IF('Score Entry'!H12=3,"Good",IF('Score Entry'!H12=2,"Fair","Poor")))</f>
        <v>Fair</v>
      </c>
      <c r="G5" s="42" t="str">
        <f aca="false">IF('Score Entry'!J12=4,"Excellent",IF('Score Entry'!J12=3,"Good",IF('Score Entry'!J12=2,"Fair","Poor")))</f>
        <v>Poor</v>
      </c>
      <c r="H5" s="42" t="str">
        <f aca="false">IF('Score Entry'!L12=4,"Excellent",IF('Score Entry'!L12=3,"Good",IF('Score Entry'!L12=2,"Fair","Poor")))</f>
        <v>Good</v>
      </c>
      <c r="I5" s="77" t="n">
        <f aca="false">'Score Entry'!N12</f>
        <v>55</v>
      </c>
      <c r="J5" s="33" t="str">
        <f aca="false">'Score Entry'!O12</f>
        <v>B+</v>
      </c>
      <c r="K5" s="80" t="n">
        <f aca="false">'Score Entry'!Q12</f>
        <v>0.55</v>
      </c>
      <c r="L5" s="82" t="str">
        <f aca="false">IF('Score Entry'!N12&gt;=90,"Outstanding viva — exemplary conceptual understanding, technical accuracy and confidence",IF('Score Entry'!N12&gt;=75,"Excellent viva — strong knowledge and communication; minor technical refinements needed",IF('Score Entry'!N12&gt;=60,"Good viva — solid understanding demonstrated; deepen technical explanation and problem-solving",IF('Score Entry'!N12&gt;=40,"Satisfactory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6" customFormat="false" ht="21.75" hidden="false" customHeight="true" outlineLevel="0" collapsed="false">
      <c r="A6" s="45" t="n">
        <v>2</v>
      </c>
      <c r="B6" s="45" t="str">
        <f aca="false">'Score Entry'!B13</f>
        <v>S002</v>
      </c>
      <c r="C6" s="83" t="str">
        <f aca="false">'Score Entry'!C13</f>
        <v>Priya Patel</v>
      </c>
      <c r="D6" s="42" t="str">
        <f aca="false">IF('Score Entry'!D13=4,"Excellent",IF('Score Entry'!D13=3,"Good",IF('Score Entry'!D13=2,"Fair","Poor")))</f>
        <v>Excellent</v>
      </c>
      <c r="E6" s="42" t="str">
        <f aca="false">IF('Score Entry'!F13=4,"Excellent",IF('Score Entry'!F13=3,"Good",IF('Score Entry'!F13=2,"Fair","Poor")))</f>
        <v>Fair</v>
      </c>
      <c r="F6" s="42" t="str">
        <f aca="false">IF('Score Entry'!H13=4,"Excellent",IF('Score Entry'!H13=3,"Good",IF('Score Entry'!H13=2,"Fair","Poor")))</f>
        <v>Poor</v>
      </c>
      <c r="G6" s="42" t="str">
        <f aca="false">IF('Score Entry'!J13=4,"Excellent",IF('Score Entry'!J13=3,"Good",IF('Score Entry'!J13=2,"Fair","Poor")))</f>
        <v>Excellent</v>
      </c>
      <c r="H6" s="42" t="str">
        <f aca="false">IF('Score Entry'!L13=4,"Excellent",IF('Score Entry'!L13=3,"Good",IF('Score Entry'!L13=2,"Fair","Poor")))</f>
        <v>Excellent</v>
      </c>
      <c r="I6" s="77" t="n">
        <f aca="false">'Score Entry'!N13</f>
        <v>76.25</v>
      </c>
      <c r="J6" s="33" t="str">
        <f aca="false">'Score Entry'!O13</f>
        <v>A+</v>
      </c>
      <c r="K6" s="80" t="n">
        <f aca="false">'Score Entry'!Q13</f>
        <v>0.7625</v>
      </c>
      <c r="L6" s="85" t="str">
        <f aca="false">IF('Score Entry'!N13&gt;=90,"Outstanding viva — exemplary conceptual understanding, technical accuracy and confidence",IF('Score Entry'!N13&gt;=75,"Excellent viva — strong knowledge and communication; minor technical refinements needed",IF('Score Entry'!N13&gt;=60,"Good viva — solid understanding demonstrated; deepen technical explanation and problem-solving",IF('Score Entry'!N13&gt;=40,"Satisfactory — basic concepts grasped; improve confidence, technical accuracy and spontaneous response","Needs improvement — revisit fundamentals; focus on conceptual clarity, technical reasoning and communication"))))</f>
        <v>Excellent viva — strong knowledge and communication; minor technical refinements needed</v>
      </c>
    </row>
    <row r="7" customFormat="false" ht="21.75" hidden="false" customHeight="true" outlineLevel="0" collapsed="false">
      <c r="A7" s="40" t="n">
        <v>3</v>
      </c>
      <c r="B7" s="40" t="str">
        <f aca="false">'Score Entry'!B14</f>
        <v>S003</v>
      </c>
      <c r="C7" s="71" t="str">
        <f aca="false">'Score Entry'!C14</f>
        <v>Rohan Mehta</v>
      </c>
      <c r="D7" s="42" t="str">
        <f aca="false">IF('Score Entry'!D14=4,"Excellent",IF('Score Entry'!D14=3,"Good",IF('Score Entry'!D14=2,"Fair","Poor")))</f>
        <v>Poor</v>
      </c>
      <c r="E7" s="42" t="str">
        <f aca="false">IF('Score Entry'!F14=4,"Excellent",IF('Score Entry'!F14=3,"Good",IF('Score Entry'!F14=2,"Fair","Poor")))</f>
        <v>Poor</v>
      </c>
      <c r="F7" s="42" t="str">
        <f aca="false">IF('Score Entry'!H14=4,"Excellent",IF('Score Entry'!H14=3,"Good",IF('Score Entry'!H14=2,"Fair","Poor")))</f>
        <v>Poor</v>
      </c>
      <c r="G7" s="42" t="str">
        <f aca="false">IF('Score Entry'!J14=4,"Excellent",IF('Score Entry'!J14=3,"Good",IF('Score Entry'!J14=2,"Fair","Poor")))</f>
        <v>Fair</v>
      </c>
      <c r="H7" s="42" t="str">
        <f aca="false">IF('Score Entry'!L14=4,"Excellent",IF('Score Entry'!L14=3,"Good",IF('Score Entry'!L14=2,"Fair","Poor")))</f>
        <v>Excellent</v>
      </c>
      <c r="I7" s="77" t="n">
        <f aca="false">'Score Entry'!N14</f>
        <v>41.25</v>
      </c>
      <c r="J7" s="33" t="str">
        <f aca="false">'Score Entry'!O14</f>
        <v>B</v>
      </c>
      <c r="K7" s="80" t="n">
        <f aca="false">'Score Entry'!Q14</f>
        <v>0.4125</v>
      </c>
      <c r="L7" s="82" t="str">
        <f aca="false">IF('Score Entry'!N14&gt;=90,"Outstanding viva — exemplary conceptual understanding, technical accuracy and confidence",IF('Score Entry'!N14&gt;=75,"Excellent viva — strong knowledge and communication; minor technical refinements needed",IF('Score Entry'!N14&gt;=60,"Good viva — solid understanding demonstrated; deepen technical explanation and problem-solving",IF('Score Entry'!N14&gt;=40,"Satisfactory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8" customFormat="false" ht="21.75" hidden="false" customHeight="true" outlineLevel="0" collapsed="false">
      <c r="A8" s="45" t="n">
        <v>4</v>
      </c>
      <c r="B8" s="45" t="str">
        <f aca="false">'Score Entry'!B15</f>
        <v>S004</v>
      </c>
      <c r="C8" s="83" t="str">
        <f aca="false">'Score Entry'!C15</f>
        <v>Sneha Reddy</v>
      </c>
      <c r="D8" s="42" t="str">
        <f aca="false">IF('Score Entry'!D15=4,"Excellent",IF('Score Entry'!D15=3,"Good",IF('Score Entry'!D15=2,"Fair","Poor")))</f>
        <v>Poor</v>
      </c>
      <c r="E8" s="42" t="str">
        <f aca="false">IF('Score Entry'!F15=4,"Excellent",IF('Score Entry'!F15=3,"Good",IF('Score Entry'!F15=2,"Fair","Poor")))</f>
        <v>Excellent</v>
      </c>
      <c r="F8" s="42" t="str">
        <f aca="false">IF('Score Entry'!H15=4,"Excellent",IF('Score Entry'!H15=3,"Good",IF('Score Entry'!H15=2,"Fair","Poor")))</f>
        <v>Poor</v>
      </c>
      <c r="G8" s="42" t="str">
        <f aca="false">IF('Score Entry'!J15=4,"Excellent",IF('Score Entry'!J15=3,"Good",IF('Score Entry'!J15=2,"Fair","Poor")))</f>
        <v>Poor</v>
      </c>
      <c r="H8" s="42" t="str">
        <f aca="false">IF('Score Entry'!L15=4,"Excellent",IF('Score Entry'!L15=3,"Good",IF('Score Entry'!L15=2,"Fair","Poor")))</f>
        <v>Poor</v>
      </c>
      <c r="I8" s="77" t="n">
        <f aca="false">'Score Entry'!N15</f>
        <v>43.75</v>
      </c>
      <c r="J8" s="33" t="str">
        <f aca="false">'Score Entry'!O15</f>
        <v>B</v>
      </c>
      <c r="K8" s="80" t="n">
        <f aca="false">'Score Entry'!Q15</f>
        <v>0.4375</v>
      </c>
      <c r="L8" s="85" t="str">
        <f aca="false">IF('Score Entry'!N15&gt;=90,"Outstanding viva — exemplary conceptual understanding, technical accuracy and confidence",IF('Score Entry'!N15&gt;=75,"Excellent viva — strong knowledge and communication; minor technical refinements needed",IF('Score Entry'!N15&gt;=60,"Good viva — solid understanding demonstrated; deepen technical explanation and problem-solving",IF('Score Entry'!N15&gt;=40,"Satisfactory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9" customFormat="false" ht="21.75" hidden="false" customHeight="true" outlineLevel="0" collapsed="false">
      <c r="A9" s="40" t="n">
        <v>5</v>
      </c>
      <c r="B9" s="40" t="str">
        <f aca="false">'Score Entry'!B16</f>
        <v>S005</v>
      </c>
      <c r="C9" s="71" t="str">
        <f aca="false">'Score Entry'!C16</f>
        <v>Vikram Singh</v>
      </c>
      <c r="D9" s="42" t="str">
        <f aca="false">IF('Score Entry'!D16=4,"Excellent",IF('Score Entry'!D16=3,"Good",IF('Score Entry'!D16=2,"Fair","Poor")))</f>
        <v>Fair</v>
      </c>
      <c r="E9" s="42" t="str">
        <f aca="false">IF('Score Entry'!F16=4,"Excellent",IF('Score Entry'!F16=3,"Good",IF('Score Entry'!F16=2,"Fair","Poor")))</f>
        <v>Fair</v>
      </c>
      <c r="F9" s="42" t="str">
        <f aca="false">IF('Score Entry'!H16=4,"Excellent",IF('Score Entry'!H16=3,"Good",IF('Score Entry'!H16=2,"Fair","Poor")))</f>
        <v>Poor</v>
      </c>
      <c r="G9" s="42" t="str">
        <f aca="false">IF('Score Entry'!J16=4,"Excellent",IF('Score Entry'!J16=3,"Good",IF('Score Entry'!J16=2,"Fair","Poor")))</f>
        <v>Fair</v>
      </c>
      <c r="H9" s="42" t="str">
        <f aca="false">IF('Score Entry'!L16=4,"Excellent",IF('Score Entry'!L16=3,"Good",IF('Score Entry'!L16=2,"Fair","Poor")))</f>
        <v>Excellent</v>
      </c>
      <c r="I9" s="77" t="n">
        <f aca="false">'Score Entry'!N16</f>
        <v>53.75</v>
      </c>
      <c r="J9" s="33" t="str">
        <f aca="false">'Score Entry'!O16</f>
        <v>B+</v>
      </c>
      <c r="K9" s="80" t="n">
        <f aca="false">'Score Entry'!Q16</f>
        <v>0.5375</v>
      </c>
      <c r="L9" s="82" t="str">
        <f aca="false">IF('Score Entry'!N16&gt;=90,"Outstanding viva — exemplary conceptual understanding, technical accuracy and confidence",IF('Score Entry'!N16&gt;=75,"Excellent viva — strong knowledge and communication; minor technical refinements needed",IF('Score Entry'!N16&gt;=60,"Good viva — solid understanding demonstrated; deepen technical explanation and problem-solving",IF('Score Entry'!N16&gt;=40,"Satisfactory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10" customFormat="false" ht="21.75" hidden="false" customHeight="true" outlineLevel="0" collapsed="false">
      <c r="A10" s="45" t="n">
        <v>6</v>
      </c>
      <c r="B10" s="45" t="str">
        <f aca="false">'Score Entry'!B17</f>
        <v>S006</v>
      </c>
      <c r="C10" s="83" t="str">
        <f aca="false">'Score Entry'!C17</f>
        <v>Anjali Nair</v>
      </c>
      <c r="D10" s="42" t="str">
        <f aca="false">IF('Score Entry'!D17=4,"Excellent",IF('Score Entry'!D17=3,"Good",IF('Score Entry'!D17=2,"Fair","Poor")))</f>
        <v>Excellent</v>
      </c>
      <c r="E10" s="42" t="str">
        <f aca="false">IF('Score Entry'!F17=4,"Excellent",IF('Score Entry'!F17=3,"Good",IF('Score Entry'!F17=2,"Fair","Poor")))</f>
        <v>Good</v>
      </c>
      <c r="F10" s="42" t="str">
        <f aca="false">IF('Score Entry'!H17=4,"Excellent",IF('Score Entry'!H17=3,"Good",IF('Score Entry'!H17=2,"Fair","Poor")))</f>
        <v>Poor</v>
      </c>
      <c r="G10" s="42" t="str">
        <f aca="false">IF('Score Entry'!J17=4,"Excellent",IF('Score Entry'!J17=3,"Good",IF('Score Entry'!J17=2,"Fair","Poor")))</f>
        <v>Poor</v>
      </c>
      <c r="H10" s="42" t="str">
        <f aca="false">IF('Score Entry'!L17=4,"Excellent",IF('Score Entry'!L17=3,"Good",IF('Score Entry'!L17=2,"Fair","Poor")))</f>
        <v>Fair</v>
      </c>
      <c r="I10" s="77" t="n">
        <f aca="false">'Score Entry'!N17</f>
        <v>60</v>
      </c>
      <c r="J10" s="33" t="str">
        <f aca="false">'Score Entry'!O17</f>
        <v>A</v>
      </c>
      <c r="K10" s="80" t="n">
        <f aca="false">'Score Entry'!Q17</f>
        <v>0.6</v>
      </c>
      <c r="L10" s="85" t="str">
        <f aca="false">IF('Score Entry'!N17&gt;=90,"Outstanding viva — exemplary conceptual understanding, technical accuracy and confidence",IF('Score Entry'!N17&gt;=75,"Excellent viva — strong knowledge and communication; minor technical refinements needed",IF('Score Entry'!N17&gt;=60,"Good viva — solid understanding demonstrated; deepen technical explanation and problem-solving",IF('Score Entry'!N17&gt;=40,"Satisfactory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11" customFormat="false" ht="21.75" hidden="false" customHeight="true" outlineLevel="0" collapsed="false">
      <c r="A11" s="40" t="n">
        <v>7</v>
      </c>
      <c r="B11" s="40" t="str">
        <f aca="false">'Score Entry'!B18</f>
        <v>S007</v>
      </c>
      <c r="C11" s="71" t="str">
        <f aca="false">'Score Entry'!C18</f>
        <v>Kiran Kumar</v>
      </c>
      <c r="D11" s="42" t="str">
        <f aca="false">IF('Score Entry'!D18=4,"Excellent",IF('Score Entry'!D18=3,"Good",IF('Score Entry'!D18=2,"Fair","Poor")))</f>
        <v>Fair</v>
      </c>
      <c r="E11" s="42" t="str">
        <f aca="false">IF('Score Entry'!F18=4,"Excellent",IF('Score Entry'!F18=3,"Good",IF('Score Entry'!F18=2,"Fair","Poor")))</f>
        <v>Poor</v>
      </c>
      <c r="F11" s="42" t="str">
        <f aca="false">IF('Score Entry'!H18=4,"Excellent",IF('Score Entry'!H18=3,"Good",IF('Score Entry'!H18=2,"Fair","Poor")))</f>
        <v>Fair</v>
      </c>
      <c r="G11" s="42" t="str">
        <f aca="false">IF('Score Entry'!J18=4,"Excellent",IF('Score Entry'!J18=3,"Good",IF('Score Entry'!J18=2,"Fair","Poor")))</f>
        <v>Poor</v>
      </c>
      <c r="H11" s="42" t="str">
        <f aca="false">IF('Score Entry'!L18=4,"Excellent",IF('Score Entry'!L18=3,"Good",IF('Score Entry'!L18=2,"Fair","Poor")))</f>
        <v>Poor</v>
      </c>
      <c r="I11" s="77" t="n">
        <f aca="false">'Score Entry'!N18</f>
        <v>35</v>
      </c>
      <c r="J11" s="33" t="str">
        <f aca="false">'Score Entry'!O18</f>
        <v>F</v>
      </c>
      <c r="K11" s="80" t="n">
        <f aca="false">'Score Entry'!Q18</f>
        <v>0.35</v>
      </c>
      <c r="L11" s="82" t="str">
        <f aca="false">IF('Score Entry'!N18&gt;=90,"Outstanding viva — exemplary conceptual understanding, technical accuracy and confidence",IF('Score Entry'!N18&gt;=75,"Excellent viva — strong knowledge and communication; minor technical refinements needed",IF('Score Entry'!N18&gt;=60,"Good viva — solid understanding demonstrated; deepen technical explanation and problem-solving",IF('Score Entry'!N18&gt;=40,"Satisfactory — basic concepts grasped; improve confidence, technical accuracy and spontaneous response","Needs improvement — revisit fundamentals; focus on conceptual clarity, technical reasoning and communication"))))</f>
        <v>Needs improvement — revisit fundamentals; focus on conceptual clarity, technical reasoning and communication</v>
      </c>
    </row>
    <row r="12" customFormat="false" ht="21.75" hidden="false" customHeight="true" outlineLevel="0" collapsed="false">
      <c r="A12" s="45" t="n">
        <v>8</v>
      </c>
      <c r="B12" s="45" t="str">
        <f aca="false">'Score Entry'!B19</f>
        <v>S008</v>
      </c>
      <c r="C12" s="83" t="str">
        <f aca="false">'Score Entry'!C19</f>
        <v>Divya Rao</v>
      </c>
      <c r="D12" s="42" t="str">
        <f aca="false">IF('Score Entry'!D19=4,"Excellent",IF('Score Entry'!D19=3,"Good",IF('Score Entry'!D19=2,"Fair","Poor")))</f>
        <v>Fair</v>
      </c>
      <c r="E12" s="42" t="str">
        <f aca="false">IF('Score Entry'!F19=4,"Excellent",IF('Score Entry'!F19=3,"Good",IF('Score Entry'!F19=2,"Fair","Poor")))</f>
        <v>Good</v>
      </c>
      <c r="F12" s="42" t="str">
        <f aca="false">IF('Score Entry'!H19=4,"Excellent",IF('Score Entry'!H19=3,"Good",IF('Score Entry'!H19=2,"Fair","Poor")))</f>
        <v>Poor</v>
      </c>
      <c r="G12" s="42" t="str">
        <f aca="false">IF('Score Entry'!J19=4,"Excellent",IF('Score Entry'!J19=3,"Good",IF('Score Entry'!J19=2,"Fair","Poor")))</f>
        <v>Excellent</v>
      </c>
      <c r="H12" s="42" t="str">
        <f aca="false">IF('Score Entry'!L19=4,"Excellent",IF('Score Entry'!L19=3,"Good",IF('Score Entry'!L19=2,"Fair","Poor")))</f>
        <v>Good</v>
      </c>
      <c r="I12" s="77" t="n">
        <f aca="false">'Score Entry'!N19</f>
        <v>66.25</v>
      </c>
      <c r="J12" s="33" t="str">
        <f aca="false">'Score Entry'!O19</f>
        <v>A</v>
      </c>
      <c r="K12" s="80" t="n">
        <f aca="false">'Score Entry'!Q19</f>
        <v>0.6625</v>
      </c>
      <c r="L12" s="85" t="str">
        <f aca="false">IF('Score Entry'!N19&gt;=90,"Outstanding viva — exemplary conceptual understanding, technical accuracy and confidence",IF('Score Entry'!N19&gt;=75,"Excellent viva — strong knowledge and communication; minor technical refinements needed",IF('Score Entry'!N19&gt;=60,"Good viva — solid understanding demonstrated; deepen technical explanation and problem-solving",IF('Score Entry'!N19&gt;=40,"Satisfactory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13" customFormat="false" ht="21.75" hidden="false" customHeight="true" outlineLevel="0" collapsed="false">
      <c r="A13" s="40" t="n">
        <v>9</v>
      </c>
      <c r="B13" s="40" t="str">
        <f aca="false">'Score Entry'!B20</f>
        <v>S009</v>
      </c>
      <c r="C13" s="71" t="str">
        <f aca="false">'Score Entry'!C20</f>
        <v>Arjun Gupta</v>
      </c>
      <c r="D13" s="42" t="str">
        <f aca="false">IF('Score Entry'!D20=4,"Excellent",IF('Score Entry'!D20=3,"Good",IF('Score Entry'!D20=2,"Fair","Poor")))</f>
        <v>Excellent</v>
      </c>
      <c r="E13" s="42" t="str">
        <f aca="false">IF('Score Entry'!F20=4,"Excellent",IF('Score Entry'!F20=3,"Good",IF('Score Entry'!F20=2,"Fair","Poor")))</f>
        <v>Fair</v>
      </c>
      <c r="F13" s="42" t="str">
        <f aca="false">IF('Score Entry'!H20=4,"Excellent",IF('Score Entry'!H20=3,"Good",IF('Score Entry'!H20=2,"Fair","Poor")))</f>
        <v>Good</v>
      </c>
      <c r="G13" s="42" t="str">
        <f aca="false">IF('Score Entry'!J20=4,"Excellent",IF('Score Entry'!J20=3,"Good",IF('Score Entry'!J20=2,"Fair","Poor")))</f>
        <v>Excellent</v>
      </c>
      <c r="H13" s="42" t="str">
        <f aca="false">IF('Score Entry'!L20=4,"Excellent",IF('Score Entry'!L20=3,"Good",IF('Score Entry'!L20=2,"Fair","Poor")))</f>
        <v>Excellent</v>
      </c>
      <c r="I13" s="77" t="n">
        <f aca="false">'Score Entry'!N20</f>
        <v>83.75</v>
      </c>
      <c r="J13" s="33" t="str">
        <f aca="false">'Score Entry'!O20</f>
        <v>A+</v>
      </c>
      <c r="K13" s="80" t="n">
        <f aca="false">'Score Entry'!Q20</f>
        <v>0.8375</v>
      </c>
      <c r="L13" s="82" t="str">
        <f aca="false">IF('Score Entry'!N20&gt;=90,"Outstanding viva — exemplary conceptual understanding, technical accuracy and confidence",IF('Score Entry'!N20&gt;=75,"Excellent viva — strong knowledge and communication; minor technical refinements needed",IF('Score Entry'!N20&gt;=60,"Good viva — solid understanding demonstrated; deepen technical explanation and problem-solving",IF('Score Entry'!N20&gt;=40,"Satisfactory — basic concepts grasped; improve confidence, technical accuracy and spontaneous response","Needs improvement — revisit fundamentals; focus on conceptual clarity, technical reasoning and communication"))))</f>
        <v>Excellent viva — strong knowledge and communication; minor technical refinements needed</v>
      </c>
    </row>
    <row r="14" customFormat="false" ht="21.75" hidden="false" customHeight="true" outlineLevel="0" collapsed="false">
      <c r="A14" s="45" t="n">
        <v>10</v>
      </c>
      <c r="B14" s="45" t="str">
        <f aca="false">'Score Entry'!B21</f>
        <v>S010</v>
      </c>
      <c r="C14" s="83" t="str">
        <f aca="false">'Score Entry'!C21</f>
        <v>Pooja Iyer</v>
      </c>
      <c r="D14" s="42" t="str">
        <f aca="false">IF('Score Entry'!D21=4,"Excellent",IF('Score Entry'!D21=3,"Good",IF('Score Entry'!D21=2,"Fair","Poor")))</f>
        <v>Excellent</v>
      </c>
      <c r="E14" s="42" t="str">
        <f aca="false">IF('Score Entry'!F21=4,"Excellent",IF('Score Entry'!F21=3,"Good",IF('Score Entry'!F21=2,"Fair","Poor")))</f>
        <v>Poor</v>
      </c>
      <c r="F14" s="42" t="str">
        <f aca="false">IF('Score Entry'!H21=4,"Excellent",IF('Score Entry'!H21=3,"Good",IF('Score Entry'!H21=2,"Fair","Poor")))</f>
        <v>Excellent</v>
      </c>
      <c r="G14" s="42" t="str">
        <f aca="false">IF('Score Entry'!J21=4,"Excellent",IF('Score Entry'!J21=3,"Good",IF('Score Entry'!J21=2,"Fair","Poor")))</f>
        <v>Poor</v>
      </c>
      <c r="H14" s="42" t="str">
        <f aca="false">IF('Score Entry'!L21=4,"Excellent",IF('Score Entry'!L21=3,"Good",IF('Score Entry'!L21=2,"Fair","Poor")))</f>
        <v>Good</v>
      </c>
      <c r="I14" s="77" t="n">
        <f aca="false">'Score Entry'!N21</f>
        <v>62.5</v>
      </c>
      <c r="J14" s="33" t="str">
        <f aca="false">'Score Entry'!O21</f>
        <v>A</v>
      </c>
      <c r="K14" s="80" t="n">
        <f aca="false">'Score Entry'!Q21</f>
        <v>0.625</v>
      </c>
      <c r="L14" s="85" t="str">
        <f aca="false">IF('Score Entry'!N21&gt;=90,"Outstanding viva — exemplary conceptual understanding, technical accuracy and confidence",IF('Score Entry'!N21&gt;=75,"Excellent viva — strong knowledge and communication; minor technical refinements needed",IF('Score Entry'!N21&gt;=60,"Good viva — solid understanding demonstrated; deepen technical explanation and problem-solving",IF('Score Entry'!N21&gt;=40,"Satisfactory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15" customFormat="false" ht="21.75" hidden="false" customHeight="true" outlineLevel="0" collapsed="false">
      <c r="A15" s="40" t="n">
        <v>11</v>
      </c>
      <c r="B15" s="40" t="str">
        <f aca="false">'Score Entry'!B22</f>
        <v>S011</v>
      </c>
      <c r="C15" s="71" t="str">
        <f aca="false">'Score Entry'!C22</f>
        <v>Rahul Verma</v>
      </c>
      <c r="D15" s="42" t="str">
        <f aca="false">IF('Score Entry'!D22=4,"Excellent",IF('Score Entry'!D22=3,"Good",IF('Score Entry'!D22=2,"Fair","Poor")))</f>
        <v>Fair</v>
      </c>
      <c r="E15" s="42" t="str">
        <f aca="false">IF('Score Entry'!F22=4,"Excellent",IF('Score Entry'!F22=3,"Good",IF('Score Entry'!F22=2,"Fair","Poor")))</f>
        <v>Good</v>
      </c>
      <c r="F15" s="42" t="str">
        <f aca="false">IF('Score Entry'!H22=4,"Excellent",IF('Score Entry'!H22=3,"Good",IF('Score Entry'!H22=2,"Fair","Poor")))</f>
        <v>Fair</v>
      </c>
      <c r="G15" s="42" t="str">
        <f aca="false">IF('Score Entry'!J22=4,"Excellent",IF('Score Entry'!J22=3,"Good",IF('Score Entry'!J22=2,"Fair","Poor")))</f>
        <v>Good</v>
      </c>
      <c r="H15" s="42" t="str">
        <f aca="false">IF('Score Entry'!L22=4,"Excellent",IF('Score Entry'!L22=3,"Good",IF('Score Entry'!L22=2,"Fair","Poor")))</f>
        <v>Fair</v>
      </c>
      <c r="I15" s="77" t="n">
        <f aca="false">'Score Entry'!N22</f>
        <v>61.25</v>
      </c>
      <c r="J15" s="33" t="str">
        <f aca="false">'Score Entry'!O22</f>
        <v>A</v>
      </c>
      <c r="K15" s="80" t="n">
        <f aca="false">'Score Entry'!Q22</f>
        <v>0.6125</v>
      </c>
      <c r="L15" s="82" t="str">
        <f aca="false">IF('Score Entry'!N22&gt;=90,"Outstanding viva — exemplary conceptual understanding, technical accuracy and confidence",IF('Score Entry'!N22&gt;=75,"Excellent viva — strong knowledge and communication; minor technical refinements needed",IF('Score Entry'!N22&gt;=60,"Good viva — solid understanding demonstrated; deepen technical explanation and problem-solving",IF('Score Entry'!N22&gt;=40,"Satisfactory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16" customFormat="false" ht="21.75" hidden="false" customHeight="true" outlineLevel="0" collapsed="false">
      <c r="A16" s="45" t="n">
        <v>12</v>
      </c>
      <c r="B16" s="45" t="str">
        <f aca="false">'Score Entry'!B23</f>
        <v>S012</v>
      </c>
      <c r="C16" s="83" t="str">
        <f aca="false">'Score Entry'!C23</f>
        <v>Meera Joshi</v>
      </c>
      <c r="D16" s="42" t="str">
        <f aca="false">IF('Score Entry'!D23=4,"Excellent",IF('Score Entry'!D23=3,"Good",IF('Score Entry'!D23=2,"Fair","Poor")))</f>
        <v>Good</v>
      </c>
      <c r="E16" s="42" t="str">
        <f aca="false">IF('Score Entry'!F23=4,"Excellent",IF('Score Entry'!F23=3,"Good",IF('Score Entry'!F23=2,"Fair","Poor")))</f>
        <v>Good</v>
      </c>
      <c r="F16" s="42" t="str">
        <f aca="false">IF('Score Entry'!H23=4,"Excellent",IF('Score Entry'!H23=3,"Good",IF('Score Entry'!H23=2,"Fair","Poor")))</f>
        <v>Good</v>
      </c>
      <c r="G16" s="42" t="str">
        <f aca="false">IF('Score Entry'!J23=4,"Excellent",IF('Score Entry'!J23=3,"Good",IF('Score Entry'!J23=2,"Fair","Poor")))</f>
        <v>Good</v>
      </c>
      <c r="H16" s="42" t="str">
        <f aca="false">IF('Score Entry'!L23=4,"Excellent",IF('Score Entry'!L23=3,"Good",IF('Score Entry'!L23=2,"Fair","Poor")))</f>
        <v>Poor</v>
      </c>
      <c r="I16" s="77" t="n">
        <f aca="false">'Score Entry'!N23</f>
        <v>67.5</v>
      </c>
      <c r="J16" s="33" t="str">
        <f aca="false">'Score Entry'!O23</f>
        <v>A</v>
      </c>
      <c r="K16" s="80" t="n">
        <f aca="false">'Score Entry'!Q23</f>
        <v>0.675</v>
      </c>
      <c r="L16" s="85" t="str">
        <f aca="false">IF('Score Entry'!N23&gt;=90,"Outstanding viva — exemplary conceptual understanding, technical accuracy and confidence",IF('Score Entry'!N23&gt;=75,"Excellent viva — strong knowledge and communication; minor technical refinements needed",IF('Score Entry'!N23&gt;=60,"Good viva — solid understanding demonstrated; deepen technical explanation and problem-solving",IF('Score Entry'!N23&gt;=40,"Satisfactory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17" customFormat="false" ht="21.75" hidden="false" customHeight="true" outlineLevel="0" collapsed="false">
      <c r="A17" s="40" t="n">
        <v>13</v>
      </c>
      <c r="B17" s="40" t="str">
        <f aca="false">'Score Entry'!B24</f>
        <v>S013</v>
      </c>
      <c r="C17" s="71" t="str">
        <f aca="false">'Score Entry'!C24</f>
        <v>Suresh Pillai</v>
      </c>
      <c r="D17" s="42" t="str">
        <f aca="false">IF('Score Entry'!D24=4,"Excellent",IF('Score Entry'!D24=3,"Good",IF('Score Entry'!D24=2,"Fair","Poor")))</f>
        <v>Fair</v>
      </c>
      <c r="E17" s="42" t="str">
        <f aca="false">IF('Score Entry'!F24=4,"Excellent",IF('Score Entry'!F24=3,"Good",IF('Score Entry'!F24=2,"Fair","Poor")))</f>
        <v>Good</v>
      </c>
      <c r="F17" s="42" t="str">
        <f aca="false">IF('Score Entry'!H24=4,"Excellent",IF('Score Entry'!H24=3,"Good",IF('Score Entry'!H24=2,"Fair","Poor")))</f>
        <v>Good</v>
      </c>
      <c r="G17" s="42" t="str">
        <f aca="false">IF('Score Entry'!J24=4,"Excellent",IF('Score Entry'!J24=3,"Good",IF('Score Entry'!J24=2,"Fair","Poor")))</f>
        <v>Fair</v>
      </c>
      <c r="H17" s="42" t="str">
        <f aca="false">IF('Score Entry'!L24=4,"Excellent",IF('Score Entry'!L24=3,"Good",IF('Score Entry'!L24=2,"Fair","Poor")))</f>
        <v>Poor</v>
      </c>
      <c r="I17" s="77" t="n">
        <f aca="false">'Score Entry'!N24</f>
        <v>56.25</v>
      </c>
      <c r="J17" s="33" t="str">
        <f aca="false">'Score Entry'!O24</f>
        <v>B+</v>
      </c>
      <c r="K17" s="80" t="n">
        <f aca="false">'Score Entry'!Q24</f>
        <v>0.5625</v>
      </c>
      <c r="L17" s="82" t="str">
        <f aca="false">IF('Score Entry'!N24&gt;=90,"Outstanding viva — exemplary conceptual understanding, technical accuracy and confidence",IF('Score Entry'!N24&gt;=75,"Excellent viva — strong knowledge and communication; minor technical refinements needed",IF('Score Entry'!N24&gt;=60,"Good viva — solid understanding demonstrated; deepen technical explanation and problem-solving",IF('Score Entry'!N24&gt;=40,"Satisfactory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18" customFormat="false" ht="21.75" hidden="false" customHeight="true" outlineLevel="0" collapsed="false">
      <c r="A18" s="45" t="n">
        <v>14</v>
      </c>
      <c r="B18" s="45" t="str">
        <f aca="false">'Score Entry'!B25</f>
        <v>S014</v>
      </c>
      <c r="C18" s="83" t="str">
        <f aca="false">'Score Entry'!C25</f>
        <v>Kavya Menon</v>
      </c>
      <c r="D18" s="42" t="str">
        <f aca="false">IF('Score Entry'!D25=4,"Excellent",IF('Score Entry'!D25=3,"Good",IF('Score Entry'!D25=2,"Fair","Poor")))</f>
        <v>Good</v>
      </c>
      <c r="E18" s="42" t="str">
        <f aca="false">IF('Score Entry'!F25=4,"Excellent",IF('Score Entry'!F25=3,"Good",IF('Score Entry'!F25=2,"Fair","Poor")))</f>
        <v>Fair</v>
      </c>
      <c r="F18" s="42" t="str">
        <f aca="false">IF('Score Entry'!H25=4,"Excellent",IF('Score Entry'!H25=3,"Good",IF('Score Entry'!H25=2,"Fair","Poor")))</f>
        <v>Excellent</v>
      </c>
      <c r="G18" s="42" t="str">
        <f aca="false">IF('Score Entry'!J25=4,"Excellent",IF('Score Entry'!J25=3,"Good",IF('Score Entry'!J25=2,"Fair","Poor")))</f>
        <v>Good</v>
      </c>
      <c r="H18" s="42" t="str">
        <f aca="false">IF('Score Entry'!L25=4,"Excellent",IF('Score Entry'!L25=3,"Good",IF('Score Entry'!L25=2,"Fair","Poor")))</f>
        <v>Fair</v>
      </c>
      <c r="I18" s="77" t="n">
        <f aca="false">'Score Entry'!N25</f>
        <v>68.75</v>
      </c>
      <c r="J18" s="33" t="str">
        <f aca="false">'Score Entry'!O25</f>
        <v>A</v>
      </c>
      <c r="K18" s="80" t="n">
        <f aca="false">'Score Entry'!Q25</f>
        <v>0.6875</v>
      </c>
      <c r="L18" s="85" t="str">
        <f aca="false">IF('Score Entry'!N25&gt;=90,"Outstanding viva — exemplary conceptual understanding, technical accuracy and confidence",IF('Score Entry'!N25&gt;=75,"Excellent viva — strong knowledge and communication; minor technical refinements needed",IF('Score Entry'!N25&gt;=60,"Good viva — solid understanding demonstrated; deepen technical explanation and problem-solving",IF('Score Entry'!N25&gt;=40,"Satisfactory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19" customFormat="false" ht="21.75" hidden="false" customHeight="true" outlineLevel="0" collapsed="false">
      <c r="A19" s="40" t="n">
        <v>15</v>
      </c>
      <c r="B19" s="40" t="str">
        <f aca="false">'Score Entry'!B26</f>
        <v>S015</v>
      </c>
      <c r="C19" s="71" t="str">
        <f aca="false">'Score Entry'!C26</f>
        <v>Aditya Bhat</v>
      </c>
      <c r="D19" s="42" t="str">
        <f aca="false">IF('Score Entry'!D26=4,"Excellent",IF('Score Entry'!D26=3,"Good",IF('Score Entry'!D26=2,"Fair","Poor")))</f>
        <v>Good</v>
      </c>
      <c r="E19" s="42" t="str">
        <f aca="false">IF('Score Entry'!F26=4,"Excellent",IF('Score Entry'!F26=3,"Good",IF('Score Entry'!F26=2,"Fair","Poor")))</f>
        <v>Poor</v>
      </c>
      <c r="F19" s="42" t="str">
        <f aca="false">IF('Score Entry'!H26=4,"Excellent",IF('Score Entry'!H26=3,"Good",IF('Score Entry'!H26=2,"Fair","Poor")))</f>
        <v>Excellent</v>
      </c>
      <c r="G19" s="42" t="str">
        <f aca="false">IF('Score Entry'!J26=4,"Excellent",IF('Score Entry'!J26=3,"Good",IF('Score Entry'!J26=2,"Fair","Poor")))</f>
        <v>Poor</v>
      </c>
      <c r="H19" s="42" t="str">
        <f aca="false">IF('Score Entry'!L26=4,"Excellent",IF('Score Entry'!L26=3,"Good",IF('Score Entry'!L26=2,"Fair","Poor")))</f>
        <v>Fair</v>
      </c>
      <c r="I19" s="77" t="n">
        <f aca="false">'Score Entry'!N26</f>
        <v>52.5</v>
      </c>
      <c r="J19" s="33" t="str">
        <f aca="false">'Score Entry'!O26</f>
        <v>B+</v>
      </c>
      <c r="K19" s="80" t="n">
        <f aca="false">'Score Entry'!Q26</f>
        <v>0.525</v>
      </c>
      <c r="L19" s="82" t="str">
        <f aca="false">IF('Score Entry'!N26&gt;=90,"Outstanding viva — exemplary conceptual understanding, technical accuracy and confidence",IF('Score Entry'!N26&gt;=75,"Excellent viva — strong knowledge and communication; minor technical refinements needed",IF('Score Entry'!N26&gt;=60,"Good viva — solid understanding demonstrated; deepen technical explanation and problem-solving",IF('Score Entry'!N26&gt;=40,"Satisfactory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20" customFormat="false" ht="21.75" hidden="false" customHeight="true" outlineLevel="0" collapsed="false">
      <c r="A20" s="45" t="n">
        <v>16</v>
      </c>
      <c r="B20" s="45" t="str">
        <f aca="false">'Score Entry'!B27</f>
        <v>S016</v>
      </c>
      <c r="C20" s="83" t="str">
        <f aca="false">'Score Entry'!C27</f>
        <v>Lakshmi Das</v>
      </c>
      <c r="D20" s="42" t="str">
        <f aca="false">IF('Score Entry'!D27=4,"Excellent",IF('Score Entry'!D27=3,"Good",IF('Score Entry'!D27=2,"Fair","Poor")))</f>
        <v>Fair</v>
      </c>
      <c r="E20" s="42" t="str">
        <f aca="false">IF('Score Entry'!F27=4,"Excellent",IF('Score Entry'!F27=3,"Good",IF('Score Entry'!F27=2,"Fair","Poor")))</f>
        <v>Fair</v>
      </c>
      <c r="F20" s="42" t="str">
        <f aca="false">IF('Score Entry'!H27=4,"Excellent",IF('Score Entry'!H27=3,"Good",IF('Score Entry'!H27=2,"Fair","Poor")))</f>
        <v>Fair</v>
      </c>
      <c r="G20" s="42" t="str">
        <f aca="false">IF('Score Entry'!J27=4,"Excellent",IF('Score Entry'!J27=3,"Good",IF('Score Entry'!J27=2,"Fair","Poor")))</f>
        <v>Fair</v>
      </c>
      <c r="H20" s="42" t="str">
        <f aca="false">IF('Score Entry'!L27=4,"Excellent",IF('Score Entry'!L27=3,"Good",IF('Score Entry'!L27=2,"Fair","Poor")))</f>
        <v>Excellent</v>
      </c>
      <c r="I20" s="77" t="n">
        <f aca="false">'Score Entry'!N27</f>
        <v>57.5</v>
      </c>
      <c r="J20" s="33" t="str">
        <f aca="false">'Score Entry'!O27</f>
        <v>B+</v>
      </c>
      <c r="K20" s="80" t="n">
        <f aca="false">'Score Entry'!Q27</f>
        <v>0.575</v>
      </c>
      <c r="L20" s="85" t="str">
        <f aca="false">IF('Score Entry'!N27&gt;=90,"Outstanding viva — exemplary conceptual understanding, technical accuracy and confidence",IF('Score Entry'!N27&gt;=75,"Excellent viva — strong knowledge and communication; minor technical refinements needed",IF('Score Entry'!N27&gt;=60,"Good viva — solid understanding demonstrated; deepen technical explanation and problem-solving",IF('Score Entry'!N27&gt;=40,"Satisfactory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21" customFormat="false" ht="21.75" hidden="false" customHeight="true" outlineLevel="0" collapsed="false">
      <c r="A21" s="40" t="n">
        <v>17</v>
      </c>
      <c r="B21" s="40" t="str">
        <f aca="false">'Score Entry'!B28</f>
        <v>S017</v>
      </c>
      <c r="C21" s="71" t="str">
        <f aca="false">'Score Entry'!C28</f>
        <v>Nikhil Tiwari</v>
      </c>
      <c r="D21" s="42" t="str">
        <f aca="false">IF('Score Entry'!D28=4,"Excellent",IF('Score Entry'!D28=3,"Good",IF('Score Entry'!D28=2,"Fair","Poor")))</f>
        <v>Fair</v>
      </c>
      <c r="E21" s="42" t="str">
        <f aca="false">IF('Score Entry'!F28=4,"Excellent",IF('Score Entry'!F28=3,"Good",IF('Score Entry'!F28=2,"Fair","Poor")))</f>
        <v>Good</v>
      </c>
      <c r="F21" s="42" t="str">
        <f aca="false">IF('Score Entry'!H28=4,"Excellent",IF('Score Entry'!H28=3,"Good",IF('Score Entry'!H28=2,"Fair","Poor")))</f>
        <v>Poor</v>
      </c>
      <c r="G21" s="42" t="str">
        <f aca="false">IF('Score Entry'!J28=4,"Excellent",IF('Score Entry'!J28=3,"Good",IF('Score Entry'!J28=2,"Fair","Poor")))</f>
        <v>Poor</v>
      </c>
      <c r="H21" s="42" t="str">
        <f aca="false">IF('Score Entry'!L28=4,"Excellent",IF('Score Entry'!L28=3,"Good",IF('Score Entry'!L28=2,"Fair","Poor")))</f>
        <v>Excellent</v>
      </c>
      <c r="I21" s="77" t="n">
        <f aca="false">'Score Entry'!N28</f>
        <v>55</v>
      </c>
      <c r="J21" s="33" t="str">
        <f aca="false">'Score Entry'!O28</f>
        <v>B+</v>
      </c>
      <c r="K21" s="80" t="n">
        <f aca="false">'Score Entry'!Q28</f>
        <v>0.55</v>
      </c>
      <c r="L21" s="82" t="str">
        <f aca="false">IF('Score Entry'!N28&gt;=90,"Outstanding viva — exemplary conceptual understanding, technical accuracy and confidence",IF('Score Entry'!N28&gt;=75,"Excellent viva — strong knowledge and communication; minor technical refinements needed",IF('Score Entry'!N28&gt;=60,"Good viva — solid understanding demonstrated; deepen technical explanation and problem-solving",IF('Score Entry'!N28&gt;=40,"Satisfactory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22" customFormat="false" ht="21.75" hidden="false" customHeight="true" outlineLevel="0" collapsed="false">
      <c r="A22" s="45" t="n">
        <v>18</v>
      </c>
      <c r="B22" s="45" t="str">
        <f aca="false">'Score Entry'!B29</f>
        <v>S018</v>
      </c>
      <c r="C22" s="83" t="str">
        <f aca="false">'Score Entry'!C29</f>
        <v>Riya Shah</v>
      </c>
      <c r="D22" s="42" t="str">
        <f aca="false">IF('Score Entry'!D29=4,"Excellent",IF('Score Entry'!D29=3,"Good",IF('Score Entry'!D29=2,"Fair","Poor")))</f>
        <v>Fair</v>
      </c>
      <c r="E22" s="42" t="str">
        <f aca="false">IF('Score Entry'!F29=4,"Excellent",IF('Score Entry'!F29=3,"Good",IF('Score Entry'!F29=2,"Fair","Poor")))</f>
        <v>Fair</v>
      </c>
      <c r="F22" s="42" t="str">
        <f aca="false">IF('Score Entry'!H29=4,"Excellent",IF('Score Entry'!H29=3,"Good",IF('Score Entry'!H29=2,"Fair","Poor")))</f>
        <v>Fair</v>
      </c>
      <c r="G22" s="42" t="str">
        <f aca="false">IF('Score Entry'!J29=4,"Excellent",IF('Score Entry'!J29=3,"Good",IF('Score Entry'!J29=2,"Fair","Poor")))</f>
        <v>Fair</v>
      </c>
      <c r="H22" s="42" t="str">
        <f aca="false">IF('Score Entry'!L29=4,"Excellent",IF('Score Entry'!L29=3,"Good",IF('Score Entry'!L29=2,"Fair","Poor")))</f>
        <v>Good</v>
      </c>
      <c r="I22" s="77" t="n">
        <f aca="false">'Score Entry'!N29</f>
        <v>53.75</v>
      </c>
      <c r="J22" s="33" t="str">
        <f aca="false">'Score Entry'!O29</f>
        <v>B+</v>
      </c>
      <c r="K22" s="80" t="n">
        <f aca="false">'Score Entry'!Q29</f>
        <v>0.5375</v>
      </c>
      <c r="L22" s="85" t="str">
        <f aca="false">IF('Score Entry'!N29&gt;=90,"Outstanding viva — exemplary conceptual understanding, technical accuracy and confidence",IF('Score Entry'!N29&gt;=75,"Excellent viva — strong knowledge and communication; minor technical refinements needed",IF('Score Entry'!N29&gt;=60,"Good viva — solid understanding demonstrated; deepen technical explanation and problem-solving",IF('Score Entry'!N29&gt;=40,"Satisfactory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23" customFormat="false" ht="21.75" hidden="false" customHeight="true" outlineLevel="0" collapsed="false">
      <c r="A23" s="40" t="n">
        <v>19</v>
      </c>
      <c r="B23" s="40" t="str">
        <f aca="false">'Score Entry'!B30</f>
        <v>S019</v>
      </c>
      <c r="C23" s="71" t="str">
        <f aca="false">'Score Entry'!C30</f>
        <v>Manish Yadav</v>
      </c>
      <c r="D23" s="42" t="str">
        <f aca="false">IF('Score Entry'!D30=4,"Excellent",IF('Score Entry'!D30=3,"Good",IF('Score Entry'!D30=2,"Fair","Poor")))</f>
        <v>Good</v>
      </c>
      <c r="E23" s="42" t="str">
        <f aca="false">IF('Score Entry'!F30=4,"Excellent",IF('Score Entry'!F30=3,"Good",IF('Score Entry'!F30=2,"Fair","Poor")))</f>
        <v>Fair</v>
      </c>
      <c r="F23" s="42" t="str">
        <f aca="false">IF('Score Entry'!H30=4,"Excellent",IF('Score Entry'!H30=3,"Good",IF('Score Entry'!H30=2,"Fair","Poor")))</f>
        <v>Good</v>
      </c>
      <c r="G23" s="42" t="str">
        <f aca="false">IF('Score Entry'!J30=4,"Excellent",IF('Score Entry'!J30=3,"Good",IF('Score Entry'!J30=2,"Fair","Poor")))</f>
        <v>Good</v>
      </c>
      <c r="H23" s="42" t="str">
        <f aca="false">IF('Score Entry'!L30=4,"Excellent",IF('Score Entry'!L30=3,"Good",IF('Score Entry'!L30=2,"Fair","Poor")))</f>
        <v>Fair</v>
      </c>
      <c r="I23" s="77" t="n">
        <f aca="false">'Score Entry'!N30</f>
        <v>65</v>
      </c>
      <c r="J23" s="33" t="str">
        <f aca="false">'Score Entry'!O30</f>
        <v>A</v>
      </c>
      <c r="K23" s="80" t="n">
        <f aca="false">'Score Entry'!Q30</f>
        <v>0.65</v>
      </c>
      <c r="L23" s="82" t="str">
        <f aca="false">IF('Score Entry'!N30&gt;=90,"Outstanding viva — exemplary conceptual understanding, technical accuracy and confidence",IF('Score Entry'!N30&gt;=75,"Excellent viva — strong knowledge and communication; minor technical refinements needed",IF('Score Entry'!N30&gt;=60,"Good viva — solid understanding demonstrated; deepen technical explanation and problem-solving",IF('Score Entry'!N30&gt;=40,"Satisfactory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24" customFormat="false" ht="21.75" hidden="false" customHeight="true" outlineLevel="0" collapsed="false">
      <c r="A24" s="45" t="n">
        <v>20</v>
      </c>
      <c r="B24" s="45" t="str">
        <f aca="false">'Score Entry'!B31</f>
        <v>S020</v>
      </c>
      <c r="C24" s="83" t="str">
        <f aca="false">'Score Entry'!C31</f>
        <v>Deepa Nambiar</v>
      </c>
      <c r="D24" s="42" t="str">
        <f aca="false">IF('Score Entry'!D31=4,"Excellent",IF('Score Entry'!D31=3,"Good",IF('Score Entry'!D31=2,"Fair","Poor")))</f>
        <v>Excellent</v>
      </c>
      <c r="E24" s="42" t="str">
        <f aca="false">IF('Score Entry'!F31=4,"Excellent",IF('Score Entry'!F31=3,"Good",IF('Score Entry'!F31=2,"Fair","Poor")))</f>
        <v>Fair</v>
      </c>
      <c r="F24" s="42" t="str">
        <f aca="false">IF('Score Entry'!H31=4,"Excellent",IF('Score Entry'!H31=3,"Good",IF('Score Entry'!H31=2,"Fair","Poor")))</f>
        <v>Excellent</v>
      </c>
      <c r="G24" s="42" t="str">
        <f aca="false">IF('Score Entry'!J31=4,"Excellent",IF('Score Entry'!J31=3,"Good",IF('Score Entry'!J31=2,"Fair","Poor")))</f>
        <v>Fair</v>
      </c>
      <c r="H24" s="42" t="str">
        <f aca="false">IF('Score Entry'!L31=4,"Excellent",IF('Score Entry'!L31=3,"Good",IF('Score Entry'!L31=2,"Fair","Poor")))</f>
        <v>Poor</v>
      </c>
      <c r="I24" s="77" t="n">
        <f aca="false">'Score Entry'!N31</f>
        <v>66.25</v>
      </c>
      <c r="J24" s="33" t="str">
        <f aca="false">'Score Entry'!O31</f>
        <v>A</v>
      </c>
      <c r="K24" s="80" t="n">
        <f aca="false">'Score Entry'!Q31</f>
        <v>0.6625</v>
      </c>
      <c r="L24" s="85" t="str">
        <f aca="false">IF('Score Entry'!N31&gt;=90,"Outstanding viva — exemplary conceptual understanding, technical accuracy and confidence",IF('Score Entry'!N31&gt;=75,"Excellent viva — strong knowledge and communication; minor technical refinements needed",IF('Score Entry'!N31&gt;=60,"Good viva — solid understanding demonstrated; deepen technical explanation and problem-solving",IF('Score Entry'!N31&gt;=40,"Satisfactory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25" customFormat="false" ht="21.75" hidden="false" customHeight="true" outlineLevel="0" collapsed="false">
      <c r="A25" s="40" t="n">
        <v>21</v>
      </c>
      <c r="B25" s="40" t="str">
        <f aca="false">'Score Entry'!B32</f>
        <v>S021</v>
      </c>
      <c r="C25" s="71" t="str">
        <f aca="false">'Score Entry'!C32</f>
        <v>Siddharth Roy</v>
      </c>
      <c r="D25" s="42" t="str">
        <f aca="false">IF('Score Entry'!D32=4,"Excellent",IF('Score Entry'!D32=3,"Good",IF('Score Entry'!D32=2,"Fair","Poor")))</f>
        <v>Fair</v>
      </c>
      <c r="E25" s="42" t="str">
        <f aca="false">IF('Score Entry'!F32=4,"Excellent",IF('Score Entry'!F32=3,"Good",IF('Score Entry'!F32=2,"Fair","Poor")))</f>
        <v>Fair</v>
      </c>
      <c r="F25" s="42" t="str">
        <f aca="false">IF('Score Entry'!H32=4,"Excellent",IF('Score Entry'!H32=3,"Good",IF('Score Entry'!H32=2,"Fair","Poor")))</f>
        <v>Excellent</v>
      </c>
      <c r="G25" s="42" t="str">
        <f aca="false">IF('Score Entry'!J32=4,"Excellent",IF('Score Entry'!J32=3,"Good",IF('Score Entry'!J32=2,"Fair","Poor")))</f>
        <v>Good</v>
      </c>
      <c r="H25" s="42" t="str">
        <f aca="false">IF('Score Entry'!L32=4,"Excellent",IF('Score Entry'!L32=3,"Good",IF('Score Entry'!L32=2,"Fair","Poor")))</f>
        <v>Fair</v>
      </c>
      <c r="I25" s="77" t="n">
        <f aca="false">'Score Entry'!N32</f>
        <v>62.5</v>
      </c>
      <c r="J25" s="33" t="str">
        <f aca="false">'Score Entry'!O32</f>
        <v>A</v>
      </c>
      <c r="K25" s="80" t="n">
        <f aca="false">'Score Entry'!Q32</f>
        <v>0.625</v>
      </c>
      <c r="L25" s="82" t="str">
        <f aca="false">IF('Score Entry'!N32&gt;=90,"Outstanding viva — exemplary conceptual understanding, technical accuracy and confidence",IF('Score Entry'!N32&gt;=75,"Excellent viva — strong knowledge and communication; minor technical refinements needed",IF('Score Entry'!N32&gt;=60,"Good viva — solid understanding demonstrated; deepen technical explanation and problem-solving",IF('Score Entry'!N32&gt;=40,"Satisfactory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26" customFormat="false" ht="21.75" hidden="false" customHeight="true" outlineLevel="0" collapsed="false">
      <c r="A26" s="45" t="n">
        <v>22</v>
      </c>
      <c r="B26" s="45" t="str">
        <f aca="false">'Score Entry'!B33</f>
        <v>S022</v>
      </c>
      <c r="C26" s="83" t="str">
        <f aca="false">'Score Entry'!C33</f>
        <v>Revathi Kumar</v>
      </c>
      <c r="D26" s="42" t="str">
        <f aca="false">IF('Score Entry'!D33=4,"Excellent",IF('Score Entry'!D33=3,"Good",IF('Score Entry'!D33=2,"Fair","Poor")))</f>
        <v>Poor</v>
      </c>
      <c r="E26" s="42" t="str">
        <f aca="false">IF('Score Entry'!F33=4,"Excellent",IF('Score Entry'!F33=3,"Good",IF('Score Entry'!F33=2,"Fair","Poor")))</f>
        <v>Good</v>
      </c>
      <c r="F26" s="42" t="str">
        <f aca="false">IF('Score Entry'!H33=4,"Excellent",IF('Score Entry'!H33=3,"Good",IF('Score Entry'!H33=2,"Fair","Poor")))</f>
        <v>Good</v>
      </c>
      <c r="G26" s="42" t="str">
        <f aca="false">IF('Score Entry'!J33=4,"Excellent",IF('Score Entry'!J33=3,"Good",IF('Score Entry'!J33=2,"Fair","Poor")))</f>
        <v>Good</v>
      </c>
      <c r="H26" s="42" t="str">
        <f aca="false">IF('Score Entry'!L33=4,"Excellent",IF('Score Entry'!L33=3,"Good",IF('Score Entry'!L33=2,"Fair","Poor")))</f>
        <v>Excellent</v>
      </c>
      <c r="I26" s="77" t="n">
        <f aca="false">'Score Entry'!N33</f>
        <v>66.25</v>
      </c>
      <c r="J26" s="33" t="str">
        <f aca="false">'Score Entry'!O33</f>
        <v>A</v>
      </c>
      <c r="K26" s="80" t="n">
        <f aca="false">'Score Entry'!Q33</f>
        <v>0.6625</v>
      </c>
      <c r="L26" s="85" t="str">
        <f aca="false">IF('Score Entry'!N33&gt;=90,"Outstanding viva — exemplary conceptual understanding, technical accuracy and confidence",IF('Score Entry'!N33&gt;=75,"Excellent viva — strong knowledge and communication; minor technical refinements needed",IF('Score Entry'!N33&gt;=60,"Good viva — solid understanding demonstrated; deepen technical explanation and problem-solving",IF('Score Entry'!N33&gt;=40,"Satisfactory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27" customFormat="false" ht="21.75" hidden="false" customHeight="true" outlineLevel="0" collapsed="false">
      <c r="A27" s="40" t="n">
        <v>23</v>
      </c>
      <c r="B27" s="40" t="str">
        <f aca="false">'Score Entry'!B34</f>
        <v>S023</v>
      </c>
      <c r="C27" s="71" t="str">
        <f aca="false">'Score Entry'!C34</f>
        <v>Aakash Jain</v>
      </c>
      <c r="D27" s="42" t="str">
        <f aca="false">IF('Score Entry'!D34=4,"Excellent",IF('Score Entry'!D34=3,"Good",IF('Score Entry'!D34=2,"Fair","Poor")))</f>
        <v>Good</v>
      </c>
      <c r="E27" s="42" t="str">
        <f aca="false">IF('Score Entry'!F34=4,"Excellent",IF('Score Entry'!F34=3,"Good",IF('Score Entry'!F34=2,"Fair","Poor")))</f>
        <v>Good</v>
      </c>
      <c r="F27" s="42" t="str">
        <f aca="false">IF('Score Entry'!H34=4,"Excellent",IF('Score Entry'!H34=3,"Good",IF('Score Entry'!H34=2,"Fair","Poor")))</f>
        <v>Poor</v>
      </c>
      <c r="G27" s="42" t="str">
        <f aca="false">IF('Score Entry'!J34=4,"Excellent",IF('Score Entry'!J34=3,"Good",IF('Score Entry'!J34=2,"Fair","Poor")))</f>
        <v>Fair</v>
      </c>
      <c r="H27" s="42" t="str">
        <f aca="false">IF('Score Entry'!L34=4,"Excellent",IF('Score Entry'!L34=3,"Good",IF('Score Entry'!L34=2,"Fair","Poor")))</f>
        <v>Good</v>
      </c>
      <c r="I27" s="77" t="n">
        <f aca="false">'Score Entry'!N34</f>
        <v>62.5</v>
      </c>
      <c r="J27" s="33" t="str">
        <f aca="false">'Score Entry'!O34</f>
        <v>A</v>
      </c>
      <c r="K27" s="80" t="n">
        <f aca="false">'Score Entry'!Q34</f>
        <v>0.625</v>
      </c>
      <c r="L27" s="82" t="str">
        <f aca="false">IF('Score Entry'!N34&gt;=90,"Outstanding viva — exemplary conceptual understanding, technical accuracy and confidence",IF('Score Entry'!N34&gt;=75,"Excellent viva — strong knowledge and communication; minor technical refinements needed",IF('Score Entry'!N34&gt;=60,"Good viva — solid understanding demonstrated; deepen technical explanation and problem-solving",IF('Score Entry'!N34&gt;=40,"Satisfactory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28" customFormat="false" ht="21.75" hidden="false" customHeight="true" outlineLevel="0" collapsed="false">
      <c r="A28" s="45" t="n">
        <v>24</v>
      </c>
      <c r="B28" s="45" t="str">
        <f aca="false">'Score Entry'!B35</f>
        <v>S024</v>
      </c>
      <c r="C28" s="83" t="str">
        <f aca="false">'Score Entry'!C35</f>
        <v>Bhavana Singh</v>
      </c>
      <c r="D28" s="42" t="str">
        <f aca="false">IF('Score Entry'!D35=4,"Excellent",IF('Score Entry'!D35=3,"Good",IF('Score Entry'!D35=2,"Fair","Poor")))</f>
        <v>Excellent</v>
      </c>
      <c r="E28" s="42" t="str">
        <f aca="false">IF('Score Entry'!F35=4,"Excellent",IF('Score Entry'!F35=3,"Good",IF('Score Entry'!F35=2,"Fair","Poor")))</f>
        <v>Excellent</v>
      </c>
      <c r="F28" s="42" t="str">
        <f aca="false">IF('Score Entry'!H35=4,"Excellent",IF('Score Entry'!H35=3,"Good",IF('Score Entry'!H35=2,"Fair","Poor")))</f>
        <v>Excellent</v>
      </c>
      <c r="G28" s="42" t="str">
        <f aca="false">IF('Score Entry'!J35=4,"Excellent",IF('Score Entry'!J35=3,"Good",IF('Score Entry'!J35=2,"Fair","Poor")))</f>
        <v>Good</v>
      </c>
      <c r="H28" s="42" t="str">
        <f aca="false">IF('Score Entry'!L35=4,"Excellent",IF('Score Entry'!L35=3,"Good",IF('Score Entry'!L35=2,"Fair","Poor")))</f>
        <v>Good</v>
      </c>
      <c r="I28" s="77" t="n">
        <f aca="false">'Score Entry'!N35</f>
        <v>91.25</v>
      </c>
      <c r="J28" s="33" t="str">
        <f aca="false">'Score Entry'!O35</f>
        <v>O</v>
      </c>
      <c r="K28" s="80" t="n">
        <f aca="false">'Score Entry'!Q35</f>
        <v>0.9125</v>
      </c>
      <c r="L28" s="85" t="str">
        <f aca="false">IF('Score Entry'!N35&gt;=90,"Outstanding viva — exemplary conceptual understanding, technical accuracy and confidence",IF('Score Entry'!N35&gt;=75,"Excellent viva — strong knowledge and communication; minor technical refinements needed",IF('Score Entry'!N35&gt;=60,"Good viva — solid understanding demonstrated; deepen technical explanation and problem-solving",IF('Score Entry'!N35&gt;=40,"Satisfactory — basic concepts grasped; improve confidence, technical accuracy and spontaneous response","Needs improvement — revisit fundamentals; focus on conceptual clarity, technical reasoning and communication"))))</f>
        <v>Outstanding viva — exemplary conceptual understanding, technical accuracy and confidence</v>
      </c>
    </row>
    <row r="29" customFormat="false" ht="21.75" hidden="false" customHeight="true" outlineLevel="0" collapsed="false">
      <c r="A29" s="40" t="n">
        <v>25</v>
      </c>
      <c r="B29" s="40" t="str">
        <f aca="false">'Score Entry'!B36</f>
        <v>S025</v>
      </c>
      <c r="C29" s="71" t="str">
        <f aca="false">'Score Entry'!C36</f>
        <v>Chetan Rao</v>
      </c>
      <c r="D29" s="42" t="str">
        <f aca="false">IF('Score Entry'!D36=4,"Excellent",IF('Score Entry'!D36=3,"Good",IF('Score Entry'!D36=2,"Fair","Poor")))</f>
        <v>Poor</v>
      </c>
      <c r="E29" s="42" t="str">
        <f aca="false">IF('Score Entry'!F36=4,"Excellent",IF('Score Entry'!F36=3,"Good",IF('Score Entry'!F36=2,"Fair","Poor")))</f>
        <v>Fair</v>
      </c>
      <c r="F29" s="42" t="str">
        <f aca="false">IF('Score Entry'!H36=4,"Excellent",IF('Score Entry'!H36=3,"Good",IF('Score Entry'!H36=2,"Fair","Poor")))</f>
        <v>Fair</v>
      </c>
      <c r="G29" s="42" t="str">
        <f aca="false">IF('Score Entry'!J36=4,"Excellent",IF('Score Entry'!J36=3,"Good",IF('Score Entry'!J36=2,"Fair","Poor")))</f>
        <v>Good</v>
      </c>
      <c r="H29" s="42" t="str">
        <f aca="false">IF('Score Entry'!L36=4,"Excellent",IF('Score Entry'!L36=3,"Good",IF('Score Entry'!L36=2,"Fair","Poor")))</f>
        <v>Poor</v>
      </c>
      <c r="I29" s="77" t="n">
        <f aca="false">'Score Entry'!N36</f>
        <v>45</v>
      </c>
      <c r="J29" s="33" t="str">
        <f aca="false">'Score Entry'!O36</f>
        <v>B</v>
      </c>
      <c r="K29" s="80" t="n">
        <f aca="false">'Score Entry'!Q36</f>
        <v>0.45</v>
      </c>
      <c r="L29" s="82" t="str">
        <f aca="false">IF('Score Entry'!N36&gt;=90,"Outstanding viva — exemplary conceptual understanding, technical accuracy and confidence",IF('Score Entry'!N36&gt;=75,"Excellent viva — strong knowledge and communication; minor technical refinements needed",IF('Score Entry'!N36&gt;=60,"Good viva — solid understanding demonstrated; deepen technical explanation and problem-solving",IF('Score Entry'!N36&gt;=40,"Satisfactory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30" customFormat="false" ht="21.75" hidden="false" customHeight="true" outlineLevel="0" collapsed="false">
      <c r="A30" s="45" t="n">
        <v>26</v>
      </c>
      <c r="B30" s="45" t="str">
        <f aca="false">'Score Entry'!B37</f>
        <v>S026</v>
      </c>
      <c r="C30" s="83" t="str">
        <f aca="false">'Score Entry'!C37</f>
        <v>Divya Nair</v>
      </c>
      <c r="D30" s="42" t="str">
        <f aca="false">IF('Score Entry'!D37=4,"Excellent",IF('Score Entry'!D37=3,"Good",IF('Score Entry'!D37=2,"Fair","Poor")))</f>
        <v>Good</v>
      </c>
      <c r="E30" s="42" t="str">
        <f aca="false">IF('Score Entry'!F37=4,"Excellent",IF('Score Entry'!F37=3,"Good",IF('Score Entry'!F37=2,"Fair","Poor")))</f>
        <v>Fair</v>
      </c>
      <c r="F30" s="42" t="str">
        <f aca="false">IF('Score Entry'!H37=4,"Excellent",IF('Score Entry'!H37=3,"Good",IF('Score Entry'!H37=2,"Fair","Poor")))</f>
        <v>Fair</v>
      </c>
      <c r="G30" s="42" t="str">
        <f aca="false">IF('Score Entry'!J37=4,"Excellent",IF('Score Entry'!J37=3,"Good",IF('Score Entry'!J37=2,"Fair","Poor")))</f>
        <v>Excellent</v>
      </c>
      <c r="H30" s="42" t="str">
        <f aca="false">IF('Score Entry'!L37=4,"Excellent",IF('Score Entry'!L37=3,"Good",IF('Score Entry'!L37=2,"Fair","Poor")))</f>
        <v>Fair</v>
      </c>
      <c r="I30" s="77" t="n">
        <f aca="false">'Score Entry'!N37</f>
        <v>66.25</v>
      </c>
      <c r="J30" s="33" t="str">
        <f aca="false">'Score Entry'!O37</f>
        <v>A</v>
      </c>
      <c r="K30" s="80" t="n">
        <f aca="false">'Score Entry'!Q37</f>
        <v>0.6625</v>
      </c>
      <c r="L30" s="85" t="str">
        <f aca="false">IF('Score Entry'!N37&gt;=90,"Outstanding viva — exemplary conceptual understanding, technical accuracy and confidence",IF('Score Entry'!N37&gt;=75,"Excellent viva — strong knowledge and communication; minor technical refinements needed",IF('Score Entry'!N37&gt;=60,"Good viva — solid understanding demonstrated; deepen technical explanation and problem-solving",IF('Score Entry'!N37&gt;=40,"Satisfactory — basic concepts grasped; improve confidence, technical accuracy and spontaneous response","Needs improvement — revisit fundamentals; focus on conceptual clarity, technical reasoning and communication"))))</f>
        <v>Good viva — solid understanding demonstrated; deepen technical explanation and problem-solving</v>
      </c>
    </row>
    <row r="31" customFormat="false" ht="21.75" hidden="false" customHeight="true" outlineLevel="0" collapsed="false">
      <c r="A31" s="40" t="n">
        <v>27</v>
      </c>
      <c r="B31" s="40" t="str">
        <f aca="false">'Score Entry'!B38</f>
        <v>S027</v>
      </c>
      <c r="C31" s="71" t="str">
        <f aca="false">'Score Entry'!C38</f>
        <v>Eshan Mehta</v>
      </c>
      <c r="D31" s="42" t="str">
        <f aca="false">IF('Score Entry'!D38=4,"Excellent",IF('Score Entry'!D38=3,"Good",IF('Score Entry'!D38=2,"Fair","Poor")))</f>
        <v>Poor</v>
      </c>
      <c r="E31" s="42" t="str">
        <f aca="false">IF('Score Entry'!F38=4,"Excellent",IF('Score Entry'!F38=3,"Good",IF('Score Entry'!F38=2,"Fair","Poor")))</f>
        <v>Poor</v>
      </c>
      <c r="F31" s="42" t="str">
        <f aca="false">IF('Score Entry'!H38=4,"Excellent",IF('Score Entry'!H38=3,"Good",IF('Score Entry'!H38=2,"Fair","Poor")))</f>
        <v>Fair</v>
      </c>
      <c r="G31" s="42" t="str">
        <f aca="false">IF('Score Entry'!J38=4,"Excellent",IF('Score Entry'!J38=3,"Good",IF('Score Entry'!J38=2,"Fair","Poor")))</f>
        <v>Good</v>
      </c>
      <c r="H31" s="42" t="str">
        <f aca="false">IF('Score Entry'!L38=4,"Excellent",IF('Score Entry'!L38=3,"Good",IF('Score Entry'!L38=2,"Fair","Poor")))</f>
        <v>Good</v>
      </c>
      <c r="I31" s="77" t="n">
        <f aca="false">'Score Entry'!N38</f>
        <v>46.25</v>
      </c>
      <c r="J31" s="33" t="str">
        <f aca="false">'Score Entry'!O38</f>
        <v>B</v>
      </c>
      <c r="K31" s="80" t="n">
        <f aca="false">'Score Entry'!Q38</f>
        <v>0.4625</v>
      </c>
      <c r="L31" s="82" t="str">
        <f aca="false">IF('Score Entry'!N38&gt;=90,"Outstanding viva — exemplary conceptual understanding, technical accuracy and confidence",IF('Score Entry'!N38&gt;=75,"Excellent viva — strong knowledge and communication; minor technical refinements needed",IF('Score Entry'!N38&gt;=60,"Good viva — solid understanding demonstrated; deepen technical explanation and problem-solving",IF('Score Entry'!N38&gt;=40,"Satisfactory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32" customFormat="false" ht="21.75" hidden="false" customHeight="true" outlineLevel="0" collapsed="false">
      <c r="A32" s="45" t="n">
        <v>28</v>
      </c>
      <c r="B32" s="45" t="str">
        <f aca="false">'Score Entry'!B39</f>
        <v>S028</v>
      </c>
      <c r="C32" s="83" t="str">
        <f aca="false">'Score Entry'!C39</f>
        <v>Farah Khan</v>
      </c>
      <c r="D32" s="42" t="str">
        <f aca="false">IF('Score Entry'!D39=4,"Excellent",IF('Score Entry'!D39=3,"Good",IF('Score Entry'!D39=2,"Fair","Poor")))</f>
        <v>Poor</v>
      </c>
      <c r="E32" s="42" t="str">
        <f aca="false">IF('Score Entry'!F39=4,"Excellent",IF('Score Entry'!F39=3,"Good",IF('Score Entry'!F39=2,"Fair","Poor")))</f>
        <v>Poor</v>
      </c>
      <c r="F32" s="42" t="str">
        <f aca="false">IF('Score Entry'!H39=4,"Excellent",IF('Score Entry'!H39=3,"Good",IF('Score Entry'!H39=2,"Fair","Poor")))</f>
        <v>Poor</v>
      </c>
      <c r="G32" s="42" t="str">
        <f aca="false">IF('Score Entry'!J39=4,"Excellent",IF('Score Entry'!J39=3,"Good",IF('Score Entry'!J39=2,"Fair","Poor")))</f>
        <v>Good</v>
      </c>
      <c r="H32" s="42" t="str">
        <f aca="false">IF('Score Entry'!L39=4,"Excellent",IF('Score Entry'!L39=3,"Good",IF('Score Entry'!L39=2,"Fair","Poor")))</f>
        <v>Good</v>
      </c>
      <c r="I32" s="77" t="n">
        <f aca="false">'Score Entry'!N39</f>
        <v>42.5</v>
      </c>
      <c r="J32" s="33" t="str">
        <f aca="false">'Score Entry'!O39</f>
        <v>B</v>
      </c>
      <c r="K32" s="80" t="n">
        <f aca="false">'Score Entry'!Q39</f>
        <v>0.425</v>
      </c>
      <c r="L32" s="85" t="str">
        <f aca="false">IF('Score Entry'!N39&gt;=90,"Outstanding viva — exemplary conceptual understanding, technical accuracy and confidence",IF('Score Entry'!N39&gt;=75,"Excellent viva — strong knowledge and communication; minor technical refinements needed",IF('Score Entry'!N39&gt;=60,"Good viva — solid understanding demonstrated; deepen technical explanation and problem-solving",IF('Score Entry'!N39&gt;=40,"Satisfactory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33" customFormat="false" ht="21.75" hidden="false" customHeight="true" outlineLevel="0" collapsed="false">
      <c r="A33" s="40" t="n">
        <v>29</v>
      </c>
      <c r="B33" s="40" t="str">
        <f aca="false">'Score Entry'!B40</f>
        <v>S029</v>
      </c>
      <c r="C33" s="71" t="str">
        <f aca="false">'Score Entry'!C40</f>
        <v>Ganesh Iyer</v>
      </c>
      <c r="D33" s="42" t="str">
        <f aca="false">IF('Score Entry'!D40=4,"Excellent",IF('Score Entry'!D40=3,"Good",IF('Score Entry'!D40=2,"Fair","Poor")))</f>
        <v>Fair</v>
      </c>
      <c r="E33" s="42" t="str">
        <f aca="false">IF('Score Entry'!F40=4,"Excellent",IF('Score Entry'!F40=3,"Good",IF('Score Entry'!F40=2,"Fair","Poor")))</f>
        <v>Good</v>
      </c>
      <c r="F33" s="42" t="str">
        <f aca="false">IF('Score Entry'!H40=4,"Excellent",IF('Score Entry'!H40=3,"Good",IF('Score Entry'!H40=2,"Fair","Poor")))</f>
        <v>Good</v>
      </c>
      <c r="G33" s="42" t="str">
        <f aca="false">IF('Score Entry'!J40=4,"Excellent",IF('Score Entry'!J40=3,"Good",IF('Score Entry'!J40=2,"Fair","Poor")))</f>
        <v>Fair</v>
      </c>
      <c r="H33" s="42" t="str">
        <f aca="false">IF('Score Entry'!L40=4,"Excellent",IF('Score Entry'!L40=3,"Good",IF('Score Entry'!L40=2,"Fair","Poor")))</f>
        <v>Poor</v>
      </c>
      <c r="I33" s="77" t="n">
        <f aca="false">'Score Entry'!N40</f>
        <v>56.25</v>
      </c>
      <c r="J33" s="33" t="str">
        <f aca="false">'Score Entry'!O40</f>
        <v>B+</v>
      </c>
      <c r="K33" s="80" t="n">
        <f aca="false">'Score Entry'!Q40</f>
        <v>0.5625</v>
      </c>
      <c r="L33" s="82" t="str">
        <f aca="false">IF('Score Entry'!N40&gt;=90,"Outstanding viva — exemplary conceptual understanding, technical accuracy and confidence",IF('Score Entry'!N40&gt;=75,"Excellent viva — strong knowledge and communication; minor technical refinements needed",IF('Score Entry'!N40&gt;=60,"Good viva — solid understanding demonstrated; deepen technical explanation and problem-solving",IF('Score Entry'!N40&gt;=40,"Satisfactory — basic concepts grasped; improve confidence, technical accuracy and spontaneous response","Needs improvement — revisit fundamentals; focus on conceptual clarity, technical reasoning and communication"))))</f>
        <v>Satisfactory — basic concepts grasped; improve confidence, technical accuracy and spontaneous response</v>
      </c>
    </row>
    <row r="34" customFormat="false" ht="21.75" hidden="false" customHeight="true" outlineLevel="0" collapsed="false">
      <c r="A34" s="45" t="n">
        <v>30</v>
      </c>
      <c r="B34" s="45" t="str">
        <f aca="false">'Score Entry'!B41</f>
        <v>S030</v>
      </c>
      <c r="C34" s="83" t="str">
        <f aca="false">'Score Entry'!C41</f>
        <v>Hema Pillai</v>
      </c>
      <c r="D34" s="42" t="str">
        <f aca="false">IF('Score Entry'!D41=4,"Excellent",IF('Score Entry'!D41=3,"Good",IF('Score Entry'!D41=2,"Fair","Poor")))</f>
        <v>Excellent</v>
      </c>
      <c r="E34" s="42" t="str">
        <f aca="false">IF('Score Entry'!F41=4,"Excellent",IF('Score Entry'!F41=3,"Good",IF('Score Entry'!F41=2,"Fair","Poor")))</f>
        <v>Excellent</v>
      </c>
      <c r="F34" s="42" t="str">
        <f aca="false">IF('Score Entry'!H41=4,"Excellent",IF('Score Entry'!H41=3,"Good",IF('Score Entry'!H41=2,"Fair","Poor")))</f>
        <v>Good</v>
      </c>
      <c r="G34" s="42" t="str">
        <f aca="false">IF('Score Entry'!J41=4,"Excellent",IF('Score Entry'!J41=3,"Good",IF('Score Entry'!J41=2,"Fair","Poor")))</f>
        <v>Good</v>
      </c>
      <c r="H34" s="42" t="str">
        <f aca="false">IF('Score Entry'!L41=4,"Excellent",IF('Score Entry'!L41=3,"Good",IF('Score Entry'!L41=2,"Fair","Poor")))</f>
        <v>Good</v>
      </c>
      <c r="I34" s="77" t="n">
        <f aca="false">'Score Entry'!N41</f>
        <v>87.5</v>
      </c>
      <c r="J34" s="33" t="str">
        <f aca="false">'Score Entry'!O41</f>
        <v>A+</v>
      </c>
      <c r="K34" s="80" t="n">
        <f aca="false">'Score Entry'!Q41</f>
        <v>0.875</v>
      </c>
      <c r="L34" s="85" t="str">
        <f aca="false">IF('Score Entry'!N41&gt;=90,"Outstanding viva — exemplary conceptual understanding, technical accuracy and confidence",IF('Score Entry'!N41&gt;=75,"Excellent viva — strong knowledge and communication; minor technical refinements needed",IF('Score Entry'!N41&gt;=60,"Good viva — solid understanding demonstrated; deepen technical explanation and problem-solving",IF('Score Entry'!N41&gt;=40,"Satisfactory — basic concepts grasped; improve confidence, technical accuracy and spontaneous response","Needs improvement — revisit fundamentals; focus on conceptual clarity, technical reasoning and communication"))))</f>
        <v>Excellent viva — strong knowledge and communication; minor technical refinements needed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2026-05-14T12:56:48Z</dcterms:created>
  <dc:creator>openpyxl</dc:creator>
  <dc:description/>
  <dc:language>en-US</dc:language>
  <cp:lastModifiedBy/>
  <dcterms:modified xsi:type="dcterms:W3CDTF">2026-05-14T12:57:02Z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