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Rubrics" sheetId="1" state="visible" r:id="rId1"/>
    <sheet xmlns:r="http://schemas.openxmlformats.org/officeDocument/2006/relationships" name="Course Info &amp; Mapping" sheetId="2" state="visible" r:id="rId2"/>
    <sheet xmlns:r="http://schemas.openxmlformats.org/officeDocument/2006/relationships" name="Student Assessment" sheetId="3" state="visible" r:id="rId3"/>
    <sheet xmlns:r="http://schemas.openxmlformats.org/officeDocument/2006/relationships" name="CO Attainment Analysis" sheetId="4" state="visible" r:id="rId4"/>
    <sheet xmlns:r="http://schemas.openxmlformats.org/officeDocument/2006/relationships" name="PO-PSO Attain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4"/>
    </font>
    <font>
      <b val="1"/>
      <color rgb="00FFFFFF"/>
    </font>
    <font>
      <b val="1"/>
    </font>
    <font>
      <b val="1"/>
      <color rgb="00FFFFFF"/>
      <sz val="12"/>
    </font>
    <font>
      <color rgb="000000FF"/>
    </font>
    <font>
      <b val="1"/>
      <sz val="11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LABORATORY/WORKSHOP ASSESSMENT RUBRICS SYSTEM</t>
        </is>
      </c>
    </row>
    <row r="2">
      <c r="A2" t="inlineStr"/>
      <c r="B2" t="inlineStr"/>
    </row>
    <row r="3">
      <c r="A3" s="2" t="inlineStr">
        <is>
          <t>PURPOSE:</t>
        </is>
      </c>
      <c r="B3" t="inlineStr">
        <is>
          <t>Auto-calculated assessment system for laboratory and workshop evaluation with CO-PO/PSO mapping</t>
        </is>
      </c>
    </row>
    <row r="4">
      <c r="A4" t="inlineStr"/>
      <c r="B4" t="inlineStr"/>
    </row>
    <row r="5">
      <c r="A5" s="2" t="inlineStr">
        <is>
          <t>SHEET STRUCTURE:</t>
        </is>
      </c>
      <c r="B5" t="inlineStr"/>
    </row>
    <row r="6">
      <c r="A6" s="2" t="inlineStr">
        <is>
          <t>Sheet 1:</t>
        </is>
      </c>
      <c r="B6" t="inlineStr">
        <is>
          <t>Instructions and Assessment Rubrics Template</t>
        </is>
      </c>
    </row>
    <row r="7">
      <c r="A7" s="2" t="inlineStr">
        <is>
          <t>Sheet 2:</t>
        </is>
      </c>
      <c r="B7" t="inlineStr">
        <is>
          <t>Course Information &amp; CO-PO/PSO Mapping Matrix</t>
        </is>
      </c>
    </row>
    <row r="8">
      <c r="A8" s="2" t="inlineStr">
        <is>
          <t>Sheet 3:</t>
        </is>
      </c>
      <c r="B8" t="inlineStr">
        <is>
          <t>Student Assessment Record (Auto-calculated)</t>
        </is>
      </c>
    </row>
    <row r="9">
      <c r="A9" s="2" t="inlineStr">
        <is>
          <t>Sheet 4:</t>
        </is>
      </c>
      <c r="B9" t="inlineStr">
        <is>
          <t>CO Attainment Analysis (Auto-calculated)</t>
        </is>
      </c>
    </row>
    <row r="10">
      <c r="A10" s="2" t="inlineStr">
        <is>
          <t>Sheet 5:</t>
        </is>
      </c>
      <c r="B10" t="inlineStr">
        <is>
          <t>PO/PSO Attainment Analysis (Auto-calculated)</t>
        </is>
      </c>
    </row>
    <row r="11">
      <c r="A11" t="inlineStr"/>
      <c r="B11" t="inlineStr"/>
    </row>
    <row r="12">
      <c r="A12" s="2" t="inlineStr">
        <is>
          <t>ASSESSMENT COMPONENTS:</t>
        </is>
      </c>
      <c r="B12" t="inlineStr"/>
    </row>
    <row r="13">
      <c r="A13" s="2" t="inlineStr">
        <is>
          <t>Component 1:</t>
        </is>
      </c>
      <c r="B13" t="inlineStr">
        <is>
          <t>Preparation &amp; Pre-lab Work (10%)</t>
        </is>
      </c>
    </row>
    <row r="14">
      <c r="A14" s="2" t="inlineStr">
        <is>
          <t>Component 2:</t>
        </is>
      </c>
      <c r="B14" t="inlineStr">
        <is>
          <t>Execution &amp; Experimental Skills (30%)</t>
        </is>
      </c>
    </row>
    <row r="15">
      <c r="A15" s="2" t="inlineStr">
        <is>
          <t>Component 3:</t>
        </is>
      </c>
      <c r="B15" t="inlineStr">
        <is>
          <t>Results &amp; Analysis (30%)</t>
        </is>
      </c>
    </row>
    <row r="16">
      <c r="A16" s="2" t="inlineStr">
        <is>
          <t>Component 4:</t>
        </is>
      </c>
      <c r="B16" t="inlineStr">
        <is>
          <t>Report &amp; Documentation (20%)</t>
        </is>
      </c>
    </row>
    <row r="17">
      <c r="A17" s="2" t="inlineStr">
        <is>
          <t>Component 5:</t>
        </is>
      </c>
      <c r="B17" t="inlineStr">
        <is>
          <t>Viva-voce &amp; Understanding (10%)</t>
        </is>
      </c>
    </row>
    <row r="20">
      <c r="A20" s="3" t="inlineStr">
        <is>
          <t>DETAILED ASSESSMENT RUBRICS</t>
        </is>
      </c>
    </row>
    <row r="21">
      <c r="A21" s="4" t="inlineStr">
        <is>
          <t>Component</t>
        </is>
      </c>
      <c r="B21" s="4" t="inlineStr">
        <is>
          <t>Weight</t>
        </is>
      </c>
      <c r="C21" s="4" t="inlineStr">
        <is>
          <t>Level 4 (90-100%)
Excellent</t>
        </is>
      </c>
      <c r="D21" s="4" t="inlineStr">
        <is>
          <t>Level 3 (70-89%)
Good</t>
        </is>
      </c>
      <c r="E21" s="4" t="inlineStr">
        <is>
          <t>Level 2 (50-69%)
Satisfactory</t>
        </is>
      </c>
      <c r="F21" s="4" t="inlineStr">
        <is>
          <t>Level 1 (&lt;50%)
Poor</t>
        </is>
      </c>
    </row>
    <row r="22" ht="40" customHeight="1">
      <c r="A22" s="5" t="inlineStr">
        <is>
          <t>1. Preparation</t>
        </is>
      </c>
      <c r="B22" s="6" t="inlineStr">
        <is>
          <t>10%</t>
        </is>
      </c>
      <c r="C22" s="6" t="inlineStr">
        <is>
          <t>Complete pre-lab, accurate calculations</t>
        </is>
      </c>
      <c r="D22" s="6" t="inlineStr">
        <is>
          <t>Good preparation, most correct</t>
        </is>
      </c>
      <c r="E22" s="6" t="inlineStr">
        <is>
          <t>Basic preparation</t>
        </is>
      </c>
      <c r="F22" s="6" t="inlineStr">
        <is>
          <t>Inadequate preparation</t>
        </is>
      </c>
    </row>
    <row r="23" ht="40" customHeight="1">
      <c r="A23" s="5" t="inlineStr">
        <is>
          <t>2. Execution</t>
        </is>
      </c>
      <c r="B23" s="6" t="inlineStr">
        <is>
          <t>30%</t>
        </is>
      </c>
      <c r="C23" s="6" t="inlineStr">
        <is>
          <t>Excellent technique, independent</t>
        </is>
      </c>
      <c r="D23" s="6" t="inlineStr">
        <is>
          <t>Good skills, minimal help</t>
        </is>
      </c>
      <c r="E23" s="6" t="inlineStr">
        <is>
          <t>Basic skills</t>
        </is>
      </c>
      <c r="F23" s="6" t="inlineStr">
        <is>
          <t>Poor technique, needs help</t>
        </is>
      </c>
    </row>
    <row r="24" ht="40" customHeight="1">
      <c r="A24" s="5" t="inlineStr">
        <is>
          <t>3. Results</t>
        </is>
      </c>
      <c r="B24" s="6" t="inlineStr">
        <is>
          <t>30%</t>
        </is>
      </c>
      <c r="C24" s="6" t="inlineStr">
        <is>
          <t>Accurate, comprehensive analysis</t>
        </is>
      </c>
      <c r="D24" s="6" t="inlineStr">
        <is>
          <t>Correct results, good analysis</t>
        </is>
      </c>
      <c r="E24" s="6" t="inlineStr">
        <is>
          <t>Mostly correct</t>
        </is>
      </c>
      <c r="F24" s="6" t="inlineStr">
        <is>
          <t>Inaccurate results</t>
        </is>
      </c>
    </row>
    <row r="25" ht="40" customHeight="1">
      <c r="A25" s="5" t="inlineStr">
        <is>
          <t>4. Report</t>
        </is>
      </c>
      <c r="B25" s="6" t="inlineStr">
        <is>
          <t>20%</t>
        </is>
      </c>
      <c r="C25" s="6" t="inlineStr">
        <is>
          <t>Excellent documentation, on time</t>
        </is>
      </c>
      <c r="D25" s="6" t="inlineStr">
        <is>
          <t>Good documentation</t>
        </is>
      </c>
      <c r="E25" s="6" t="inlineStr">
        <is>
          <t>Basic documentation</t>
        </is>
      </c>
      <c r="F25" s="6" t="inlineStr">
        <is>
          <t>Poor documentation</t>
        </is>
      </c>
    </row>
    <row r="26" ht="40" customHeight="1">
      <c r="A26" s="5" t="inlineStr">
        <is>
          <t>5. Viva</t>
        </is>
      </c>
      <c r="B26" s="6" t="inlineStr">
        <is>
          <t>10%</t>
        </is>
      </c>
      <c r="C26" s="6" t="inlineStr">
        <is>
          <t>Excellent understanding</t>
        </is>
      </c>
      <c r="D26" s="6" t="inlineStr">
        <is>
          <t>Good understanding</t>
        </is>
      </c>
      <c r="E26" s="6" t="inlineStr">
        <is>
          <t>Basic understanding</t>
        </is>
      </c>
      <c r="F26" s="6" t="inlineStr">
        <is>
          <t>Poor understanding</t>
        </is>
      </c>
    </row>
  </sheetData>
  <mergeCells count="2">
    <mergeCell ref="A20:F2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7" t="inlineStr">
        <is>
          <t>COURSE INFORMATION &amp; CO-PO/PSO MAPPING MATRIX</t>
        </is>
      </c>
    </row>
    <row r="3">
      <c r="A3" s="8" t="inlineStr">
        <is>
          <t>Course Code:</t>
        </is>
      </c>
      <c r="B3" t="inlineStr">
        <is>
          <t>EC301L</t>
        </is>
      </c>
      <c r="D3" s="8" t="inlineStr">
        <is>
          <t>Course Name:</t>
        </is>
      </c>
      <c r="E3" t="inlineStr">
        <is>
          <t>Analog Electronics Laboratory</t>
        </is>
      </c>
    </row>
    <row r="4">
      <c r="A4" s="8" t="inlineStr">
        <is>
          <t>Department:</t>
        </is>
      </c>
      <c r="B4" t="inlineStr">
        <is>
          <t>Electronics and Communication Engineering</t>
        </is>
      </c>
      <c r="D4" s="8" t="inlineStr">
        <is>
          <t>Semester:</t>
        </is>
      </c>
      <c r="E4" t="inlineStr">
        <is>
          <t>3</t>
        </is>
      </c>
    </row>
    <row r="5">
      <c r="A5" s="8" t="inlineStr">
        <is>
          <t>Academic Year:</t>
        </is>
      </c>
      <c r="B5" t="inlineStr">
        <is>
          <t>2024-25</t>
        </is>
      </c>
      <c r="D5" s="8" t="inlineStr">
        <is>
          <t>Credits:</t>
        </is>
      </c>
      <c r="E5" t="inlineStr">
        <is>
          <t>1</t>
        </is>
      </c>
    </row>
    <row r="8">
      <c r="A8" s="9" t="inlineStr">
        <is>
          <t>COURSE OUTCOMES (COs)</t>
        </is>
      </c>
    </row>
    <row r="9">
      <c r="A9" s="10" t="inlineStr">
        <is>
          <t>CO</t>
        </is>
      </c>
      <c r="B9" s="10" t="inlineStr">
        <is>
          <t>Course Outcome Description</t>
        </is>
      </c>
    </row>
    <row r="10">
      <c r="A10" s="11" t="inlineStr">
        <is>
          <t>CO1</t>
        </is>
      </c>
      <c r="B10" t="inlineStr">
        <is>
          <t>Design and implement analog circuits using operational amplifiers</t>
        </is>
      </c>
    </row>
    <row r="11">
      <c r="A11" s="11" t="inlineStr">
        <is>
          <t>CO2</t>
        </is>
      </c>
      <c r="B11" t="inlineStr">
        <is>
          <t>Analyze and troubleshoot basic analog electronic circuits</t>
        </is>
      </c>
    </row>
    <row r="12">
      <c r="A12" s="11" t="inlineStr">
        <is>
          <t>CO3</t>
        </is>
      </c>
      <c r="B12" t="inlineStr">
        <is>
          <t>Use electronic measurement instruments effectively</t>
        </is>
      </c>
    </row>
    <row r="13">
      <c r="A13" s="11" t="inlineStr">
        <is>
          <t>CO4</t>
        </is>
      </c>
      <c r="B13" t="inlineStr">
        <is>
          <t>Document experimental procedures and results professionally</t>
        </is>
      </c>
    </row>
    <row r="14">
      <c r="A14" s="11" t="inlineStr">
        <is>
          <t>CO5</t>
        </is>
      </c>
      <c r="B14" t="inlineStr">
        <is>
          <t>Apply theoretical concepts to practical circuit implementation</t>
        </is>
      </c>
    </row>
    <row r="17">
      <c r="A17" s="9" t="inlineStr">
        <is>
          <t>CO-PO/PSO MAPPING MATRIX (1=Low, 2=Medium, 3=High)</t>
        </is>
      </c>
    </row>
    <row r="18">
      <c r="A18" s="10" t="inlineStr">
        <is>
          <t>CO</t>
        </is>
      </c>
      <c r="B18" s="10" t="inlineStr">
        <is>
          <t>PO1</t>
        </is>
      </c>
      <c r="C18" s="10" t="inlineStr">
        <is>
          <t>PO2</t>
        </is>
      </c>
      <c r="D18" s="10" t="inlineStr">
        <is>
          <t>PO3</t>
        </is>
      </c>
      <c r="E18" s="10" t="inlineStr">
        <is>
          <t>PO4</t>
        </is>
      </c>
      <c r="F18" s="10" t="inlineStr">
        <is>
          <t>PO5</t>
        </is>
      </c>
      <c r="G18" s="10" t="inlineStr">
        <is>
          <t>PO6</t>
        </is>
      </c>
      <c r="H18" s="10" t="inlineStr">
        <is>
          <t>PO7</t>
        </is>
      </c>
      <c r="I18" s="10" t="inlineStr">
        <is>
          <t>PO8</t>
        </is>
      </c>
      <c r="J18" s="10" t="inlineStr">
        <is>
          <t>PO9</t>
        </is>
      </c>
      <c r="K18" s="10" t="inlineStr">
        <is>
          <t>PO10</t>
        </is>
      </c>
      <c r="L18" s="10" t="inlineStr">
        <is>
          <t>PO11</t>
        </is>
      </c>
      <c r="M18" s="10" t="inlineStr">
        <is>
          <t>PO12</t>
        </is>
      </c>
      <c r="N18" s="10" t="inlineStr">
        <is>
          <t>PSO1</t>
        </is>
      </c>
      <c r="O18" s="10" t="inlineStr">
        <is>
          <t>PSO2</t>
        </is>
      </c>
    </row>
    <row r="19">
      <c r="A19" s="12" t="inlineStr">
        <is>
          <t>CO1</t>
        </is>
      </c>
      <c r="B19" s="13" t="n">
        <v>3</v>
      </c>
      <c r="C19" s="13" t="n">
        <v>2</v>
      </c>
      <c r="D19" s="13" t="n">
        <v>3</v>
      </c>
      <c r="E19" s="13" t="n">
        <v>1</v>
      </c>
      <c r="F19" s="13" t="n">
        <v>1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1</v>
      </c>
      <c r="M19" s="13" t="n">
        <v>1</v>
      </c>
      <c r="N19" s="13" t="n">
        <v>3</v>
      </c>
      <c r="O19" s="13" t="n">
        <v>2</v>
      </c>
    </row>
    <row r="20">
      <c r="A20" s="12" t="inlineStr">
        <is>
          <t>CO2</t>
        </is>
      </c>
      <c r="B20" s="13" t="n">
        <v>3</v>
      </c>
      <c r="C20" s="13" t="n">
        <v>3</v>
      </c>
      <c r="D20" s="13" t="n">
        <v>2</v>
      </c>
      <c r="E20" s="13" t="n">
        <v>2</v>
      </c>
      <c r="F20" s="13" t="n">
        <v>2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1</v>
      </c>
      <c r="M20" s="13" t="n">
        <v>1</v>
      </c>
      <c r="N20" s="13" t="n">
        <v>3</v>
      </c>
      <c r="O20" s="13" t="n">
        <v>2</v>
      </c>
    </row>
    <row r="21">
      <c r="A21" s="12" t="inlineStr">
        <is>
          <t>CO3</t>
        </is>
      </c>
      <c r="B21" s="13" t="n">
        <v>2</v>
      </c>
      <c r="C21" s="13" t="n">
        <v>2</v>
      </c>
      <c r="D21" s="13" t="n">
        <v>3</v>
      </c>
      <c r="E21" s="13" t="n">
        <v>2</v>
      </c>
      <c r="F21" s="13" t="n">
        <v>1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2</v>
      </c>
      <c r="M21" s="13" t="n">
        <v>1</v>
      </c>
      <c r="N21" s="13" t="n">
        <v>2</v>
      </c>
      <c r="O21" s="13" t="n">
        <v>3</v>
      </c>
    </row>
    <row r="22">
      <c r="A22" s="12" t="inlineStr">
        <is>
          <t>CO4</t>
        </is>
      </c>
      <c r="B22" s="13" t="n">
        <v>1</v>
      </c>
      <c r="C22" s="13" t="n">
        <v>1</v>
      </c>
      <c r="D22" s="13" t="n">
        <v>2</v>
      </c>
      <c r="E22" s="13" t="n">
        <v>1</v>
      </c>
      <c r="F22" s="13" t="n">
        <v>2</v>
      </c>
      <c r="G22" s="13" t="n">
        <v>0</v>
      </c>
      <c r="H22" s="13" t="n">
        <v>0</v>
      </c>
      <c r="I22" s="13" t="n">
        <v>1</v>
      </c>
      <c r="J22" s="13" t="n">
        <v>0</v>
      </c>
      <c r="K22" s="13" t="n">
        <v>2</v>
      </c>
      <c r="L22" s="13" t="n">
        <v>2</v>
      </c>
      <c r="M22" s="13" t="n">
        <v>1</v>
      </c>
      <c r="N22" s="13" t="n">
        <v>1</v>
      </c>
      <c r="O22" s="13" t="n">
        <v>1</v>
      </c>
    </row>
    <row r="23">
      <c r="A23" s="12" t="inlineStr">
        <is>
          <t>CO5</t>
        </is>
      </c>
      <c r="B23" s="13" t="n">
        <v>3</v>
      </c>
      <c r="C23" s="13" t="n">
        <v>3</v>
      </c>
      <c r="D23" s="13" t="n">
        <v>3</v>
      </c>
      <c r="E23" s="13" t="n">
        <v>2</v>
      </c>
      <c r="F23" s="13" t="n">
        <v>2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1</v>
      </c>
      <c r="M23" s="13" t="n">
        <v>2</v>
      </c>
      <c r="N23" s="13" t="n">
        <v>3</v>
      </c>
      <c r="O23" s="13" t="n">
        <v>3</v>
      </c>
    </row>
  </sheetData>
  <mergeCells count="3">
    <mergeCell ref="A1:O1"/>
    <mergeCell ref="A8:O8"/>
    <mergeCell ref="A17:O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7" t="inlineStr">
        <is>
          <t>STUDENT LABORATORY ASSESSMENT RECORD</t>
        </is>
      </c>
    </row>
    <row r="3">
      <c r="A3" s="14" t="inlineStr">
        <is>
          <t>Experiment: Exp 1 - Common Emitter Amplifier</t>
        </is>
      </c>
    </row>
    <row r="5">
      <c r="A5" s="4" t="inlineStr">
        <is>
          <t>Roll No</t>
        </is>
      </c>
      <c r="B5" s="4" t="inlineStr">
        <is>
          <t>Student Name</t>
        </is>
      </c>
      <c r="C5" s="4" t="inlineStr">
        <is>
          <t>Prep
(10)</t>
        </is>
      </c>
      <c r="D5" s="4" t="inlineStr">
        <is>
          <t>Exec
(30)</t>
        </is>
      </c>
      <c r="E5" s="4" t="inlineStr">
        <is>
          <t>Results
(30)</t>
        </is>
      </c>
      <c r="F5" s="4" t="inlineStr">
        <is>
          <t>Report
(20)</t>
        </is>
      </c>
      <c r="G5" s="4" t="inlineStr">
        <is>
          <t>Viva
(10)</t>
        </is>
      </c>
      <c r="H5" s="4" t="inlineStr">
        <is>
          <t>Total
(100)</t>
        </is>
      </c>
      <c r="I5" s="4" t="inlineStr">
        <is>
          <t>Grade</t>
        </is>
      </c>
      <c r="J5" s="4" t="inlineStr">
        <is>
          <t>CO1</t>
        </is>
      </c>
      <c r="K5" s="4" t="inlineStr">
        <is>
          <t>CO2</t>
        </is>
      </c>
      <c r="L5" s="4" t="inlineStr">
        <is>
          <t>CO3</t>
        </is>
      </c>
      <c r="M5" s="4" t="inlineStr">
        <is>
          <t>CO4</t>
        </is>
      </c>
      <c r="N5" s="4" t="inlineStr">
        <is>
          <t>CO5</t>
        </is>
      </c>
    </row>
    <row r="6">
      <c r="A6" t="inlineStr">
        <is>
          <t>20EC001</t>
        </is>
      </c>
      <c r="B6" t="inlineStr">
        <is>
          <t>Student 1</t>
        </is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1">
        <f>C6+D6+E6+F6+G6</f>
        <v/>
      </c>
      <c r="I6" s="11">
        <f>IF(H6&gt;=90,"O",IF(H6&gt;=80,"A+",IF(H6&gt;=70,"A",IF(H6&gt;=60,"B+",IF(H6&gt;=50,"B",IF(H6&gt;=40,"C","F"))))))</f>
        <v/>
      </c>
      <c r="J6" s="16">
        <f>H6</f>
        <v/>
      </c>
      <c r="K6" s="16">
        <f>H6</f>
        <v/>
      </c>
      <c r="L6" s="16">
        <f>H6</f>
        <v/>
      </c>
      <c r="M6" s="16">
        <f>H6</f>
        <v/>
      </c>
      <c r="N6" s="16">
        <f>H6</f>
        <v/>
      </c>
    </row>
    <row r="7">
      <c r="A7" t="inlineStr">
        <is>
          <t>20EC002</t>
        </is>
      </c>
      <c r="B7" t="inlineStr">
        <is>
          <t>Student 2</t>
        </is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1">
        <f>C7+D7+E7+F7+G7</f>
        <v/>
      </c>
      <c r="I7" s="11">
        <f>IF(H7&gt;=90,"O",IF(H7&gt;=80,"A+",IF(H7&gt;=70,"A",IF(H7&gt;=60,"B+",IF(H7&gt;=50,"B",IF(H7&gt;=40,"C","F"))))))</f>
        <v/>
      </c>
      <c r="J7" s="16">
        <f>H7</f>
        <v/>
      </c>
      <c r="K7" s="16">
        <f>H7</f>
        <v/>
      </c>
      <c r="L7" s="16">
        <f>H7</f>
        <v/>
      </c>
      <c r="M7" s="16">
        <f>H7</f>
        <v/>
      </c>
      <c r="N7" s="16">
        <f>H7</f>
        <v/>
      </c>
    </row>
    <row r="8">
      <c r="A8" t="inlineStr">
        <is>
          <t>20EC003</t>
        </is>
      </c>
      <c r="B8" t="inlineStr">
        <is>
          <t>Student 3</t>
        </is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1">
        <f>C8+D8+E8+F8+G8</f>
        <v/>
      </c>
      <c r="I8" s="11">
        <f>IF(H8&gt;=90,"O",IF(H8&gt;=80,"A+",IF(H8&gt;=70,"A",IF(H8&gt;=60,"B+",IF(H8&gt;=50,"B",IF(H8&gt;=40,"C","F"))))))</f>
        <v/>
      </c>
      <c r="J8" s="16">
        <f>H8</f>
        <v/>
      </c>
      <c r="K8" s="16">
        <f>H8</f>
        <v/>
      </c>
      <c r="L8" s="16">
        <f>H8</f>
        <v/>
      </c>
      <c r="M8" s="16">
        <f>H8</f>
        <v/>
      </c>
      <c r="N8" s="16">
        <f>H8</f>
        <v/>
      </c>
    </row>
    <row r="9">
      <c r="A9" t="inlineStr">
        <is>
          <t>20EC004</t>
        </is>
      </c>
      <c r="B9" t="inlineStr">
        <is>
          <t>Student 4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1">
        <f>C9+D9+E9+F9+G9</f>
        <v/>
      </c>
      <c r="I9" s="11">
        <f>IF(H9&gt;=90,"O",IF(H9&gt;=80,"A+",IF(H9&gt;=70,"A",IF(H9&gt;=60,"B+",IF(H9&gt;=50,"B",IF(H9&gt;=40,"C","F"))))))</f>
        <v/>
      </c>
      <c r="J9" s="16">
        <f>H9</f>
        <v/>
      </c>
      <c r="K9" s="16">
        <f>H9</f>
        <v/>
      </c>
      <c r="L9" s="16">
        <f>H9</f>
        <v/>
      </c>
      <c r="M9" s="16">
        <f>H9</f>
        <v/>
      </c>
      <c r="N9" s="16">
        <f>H9</f>
        <v/>
      </c>
    </row>
    <row r="10">
      <c r="A10" t="inlineStr">
        <is>
          <t>20EC005</t>
        </is>
      </c>
      <c r="B10" t="inlineStr">
        <is>
          <t>Student 5</t>
        </is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1">
        <f>C10+D10+E10+F10+G10</f>
        <v/>
      </c>
      <c r="I10" s="11">
        <f>IF(H10&gt;=90,"O",IF(H10&gt;=80,"A+",IF(H10&gt;=70,"A",IF(H10&gt;=60,"B+",IF(H10&gt;=50,"B",IF(H10&gt;=40,"C","F"))))))</f>
        <v/>
      </c>
      <c r="J10" s="16">
        <f>H10</f>
        <v/>
      </c>
      <c r="K10" s="16">
        <f>H10</f>
        <v/>
      </c>
      <c r="L10" s="16">
        <f>H10</f>
        <v/>
      </c>
      <c r="M10" s="16">
        <f>H10</f>
        <v/>
      </c>
      <c r="N10" s="16">
        <f>H10</f>
        <v/>
      </c>
    </row>
    <row r="12">
      <c r="A12" s="8" t="inlineStr">
        <is>
          <t>Average</t>
        </is>
      </c>
      <c r="H12" s="8">
        <f>AVERAGE(H6:H10)</f>
        <v/>
      </c>
      <c r="J12" s="11">
        <f>AVERAGE(J6:J10)</f>
        <v/>
      </c>
      <c r="K12" s="11">
        <f>AVERAGE(K6:K10)</f>
        <v/>
      </c>
      <c r="L12" s="11">
        <f>AVERAGE(L6:L10)</f>
        <v/>
      </c>
      <c r="M12" s="11">
        <f>AVERAGE(M6:M10)</f>
        <v/>
      </c>
      <c r="N12" s="11">
        <f>AVERAGE(N6:N10)</f>
        <v/>
      </c>
    </row>
  </sheetData>
  <mergeCells count="2"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12" customWidth="1" min="4" max="4"/>
    <col width="12" customWidth="1" min="5" max="5"/>
    <col width="15" customWidth="1" min="6" max="6"/>
    <col width="20" customWidth="1" min="7" max="7"/>
  </cols>
  <sheetData>
    <row r="1">
      <c r="A1" s="17" t="inlineStr">
        <is>
          <t>COURSE OUTCOME ATTAINMENT ANALYSIS</t>
        </is>
      </c>
    </row>
    <row r="3">
      <c r="A3" s="10" t="inlineStr">
        <is>
          <t>CO</t>
        </is>
      </c>
      <c r="B3" s="10" t="inlineStr">
        <is>
          <t>Description</t>
        </is>
      </c>
      <c r="C3" s="10" t="inlineStr">
        <is>
          <t>Target</t>
        </is>
      </c>
      <c r="D3" s="10" t="inlineStr">
        <is>
          <t>Average</t>
        </is>
      </c>
      <c r="E3" s="10" t="inlineStr">
        <is>
          <t>Attainment</t>
        </is>
      </c>
      <c r="F3" s="10" t="inlineStr">
        <is>
          <t>Status</t>
        </is>
      </c>
      <c r="G3" s="10" t="inlineStr">
        <is>
          <t>Action</t>
        </is>
      </c>
    </row>
    <row r="4">
      <c r="A4" s="11" t="inlineStr">
        <is>
          <t>CO1</t>
        </is>
      </c>
      <c r="B4" t="inlineStr">
        <is>
          <t>Design and implement analog circuits</t>
        </is>
      </c>
      <c r="C4" s="15" t="n">
        <v>60</v>
      </c>
      <c r="D4" s="18">
        <f>'Student Assessment'!J12</f>
        <v/>
      </c>
      <c r="E4" s="18">
        <f>D4</f>
        <v/>
      </c>
      <c r="F4" s="18">
        <f>IF(E4&gt;=C4,"Achieved","Not Achieved")</f>
        <v/>
      </c>
      <c r="G4">
        <f>IF(E4&lt;C4,"Review methods","Continue")</f>
        <v/>
      </c>
    </row>
    <row r="5">
      <c r="A5" s="11" t="inlineStr">
        <is>
          <t>CO2</t>
        </is>
      </c>
      <c r="B5" t="inlineStr">
        <is>
          <t>Analyze and troubleshoot circuits</t>
        </is>
      </c>
      <c r="C5" s="15" t="n">
        <v>60</v>
      </c>
      <c r="D5" s="18">
        <f>'Student Assessment'!K12</f>
        <v/>
      </c>
      <c r="E5" s="18">
        <f>D5</f>
        <v/>
      </c>
      <c r="F5" s="18">
        <f>IF(E5&gt;=C5,"Achieved","Not Achieved")</f>
        <v/>
      </c>
      <c r="G5">
        <f>IF(E5&lt;C5,"Review methods","Continue")</f>
        <v/>
      </c>
    </row>
    <row r="6">
      <c r="A6" s="11" t="inlineStr">
        <is>
          <t>CO3</t>
        </is>
      </c>
      <c r="B6" t="inlineStr">
        <is>
          <t>Use measurement instruments</t>
        </is>
      </c>
      <c r="C6" s="15" t="n">
        <v>60</v>
      </c>
      <c r="D6" s="18">
        <f>'Student Assessment'!L12</f>
        <v/>
      </c>
      <c r="E6" s="18">
        <f>D6</f>
        <v/>
      </c>
      <c r="F6" s="18">
        <f>IF(E6&gt;=C6,"Achieved","Not Achieved")</f>
        <v/>
      </c>
      <c r="G6">
        <f>IF(E6&lt;C6,"Review methods","Continue")</f>
        <v/>
      </c>
    </row>
    <row r="7">
      <c r="A7" s="11" t="inlineStr">
        <is>
          <t>CO4</t>
        </is>
      </c>
      <c r="B7" t="inlineStr">
        <is>
          <t>Document procedures professionally</t>
        </is>
      </c>
      <c r="C7" s="15" t="n">
        <v>60</v>
      </c>
      <c r="D7" s="18">
        <f>'Student Assessment'!M12</f>
        <v/>
      </c>
      <c r="E7" s="18">
        <f>D7</f>
        <v/>
      </c>
      <c r="F7" s="18">
        <f>IF(E7&gt;=C7,"Achieved","Not Achieved")</f>
        <v/>
      </c>
      <c r="G7">
        <f>IF(E7&lt;C7,"Review methods","Continue")</f>
        <v/>
      </c>
    </row>
    <row r="8">
      <c r="A8" s="11" t="inlineStr">
        <is>
          <t>CO5</t>
        </is>
      </c>
      <c r="B8" t="inlineStr">
        <is>
          <t>Apply theoretical concepts</t>
        </is>
      </c>
      <c r="C8" s="15" t="n">
        <v>60</v>
      </c>
      <c r="D8" s="18">
        <f>'Student Assessment'!N12</f>
        <v/>
      </c>
      <c r="E8" s="18">
        <f>D8</f>
        <v/>
      </c>
      <c r="F8" s="18">
        <f>IF(E8&gt;=C8,"Achieved","Not Achieved")</f>
        <v/>
      </c>
      <c r="G8">
        <f>IF(E8&lt;C8,"Review methods","Continue")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7" t="inlineStr">
        <is>
          <t>PO &amp; PSO ATTAINMENT ANALYSIS</t>
        </is>
      </c>
    </row>
    <row r="3">
      <c r="A3" s="19" t="inlineStr">
        <is>
          <t>PO/PSO</t>
        </is>
      </c>
      <c r="B3" s="19" t="inlineStr">
        <is>
          <t>Description</t>
        </is>
      </c>
      <c r="C3" s="19" t="inlineStr">
        <is>
          <t>Target</t>
        </is>
      </c>
      <c r="D3" s="19" t="inlineStr">
        <is>
          <t>Weighted</t>
        </is>
      </c>
      <c r="E3" s="19" t="inlineStr">
        <is>
          <t>Attainment</t>
        </is>
      </c>
      <c r="F3" s="19" t="inlineStr">
        <is>
          <t>Status</t>
        </is>
      </c>
    </row>
    <row r="4">
      <c r="A4" s="11" t="inlineStr">
        <is>
          <t>PO1</t>
        </is>
      </c>
      <c r="B4" t="inlineStr">
        <is>
          <t>Engineering knowledge</t>
        </is>
      </c>
      <c r="C4" s="15" t="n">
        <v>60</v>
      </c>
      <c r="D4" s="18">
        <f>SUMPRODUCT('CO Attainment Analysis'!$E$4:$E$8,'Course Info &amp; Mapping'!B$21:B$25)/SUMIF('Course Info &amp; Mapping'!B$21:B$25,"&gt;0")</f>
        <v/>
      </c>
      <c r="E4" s="18">
        <f>D4</f>
        <v/>
      </c>
      <c r="F4" s="18">
        <f>IF(E4&gt;=C4,"Achieved","Not Achieved")</f>
        <v/>
      </c>
    </row>
    <row r="5">
      <c r="A5" s="11" t="inlineStr">
        <is>
          <t>PO2</t>
        </is>
      </c>
      <c r="B5" t="inlineStr">
        <is>
          <t>Problem analysis</t>
        </is>
      </c>
      <c r="C5" s="15" t="n">
        <v>60</v>
      </c>
      <c r="D5" s="18">
        <f>SUMPRODUCT('CO Attainment Analysis'!$E$4:$E$8,'Course Info &amp; Mapping'!C$21:C$25)/SUMIF('Course Info &amp; Mapping'!C$21:C$25,"&gt;0")</f>
        <v/>
      </c>
      <c r="E5" s="18">
        <f>D5</f>
        <v/>
      </c>
      <c r="F5" s="18">
        <f>IF(E5&gt;=C5,"Achieved","Not Achieved")</f>
        <v/>
      </c>
    </row>
    <row r="6">
      <c r="A6" s="11" t="inlineStr">
        <is>
          <t>PO3</t>
        </is>
      </c>
      <c r="B6" t="inlineStr">
        <is>
          <t>Design solutions</t>
        </is>
      </c>
      <c r="C6" s="15" t="n">
        <v>60</v>
      </c>
      <c r="D6" s="18">
        <f>SUMPRODUCT('CO Attainment Analysis'!$E$4:$E$8,'Course Info &amp; Mapping'!D$21:D$25)/SUMIF('Course Info &amp; Mapping'!D$21:D$25,"&gt;0")</f>
        <v/>
      </c>
      <c r="E6" s="18">
        <f>D6</f>
        <v/>
      </c>
      <c r="F6" s="18">
        <f>IF(E6&gt;=C6,"Achieved","Not Achieved")</f>
        <v/>
      </c>
    </row>
    <row r="7">
      <c r="A7" s="11" t="inlineStr">
        <is>
          <t>PO4</t>
        </is>
      </c>
      <c r="B7" t="inlineStr">
        <is>
          <t>Investigations</t>
        </is>
      </c>
      <c r="C7" s="15" t="n">
        <v>60</v>
      </c>
      <c r="D7" s="18">
        <f>SUMPRODUCT('CO Attainment Analysis'!$E$4:$E$8,'Course Info &amp; Mapping'!E$21:E$25)/SUMIF('Course Info &amp; Mapping'!E$21:E$25,"&gt;0")</f>
        <v/>
      </c>
      <c r="E7" s="18">
        <f>D7</f>
        <v/>
      </c>
      <c r="F7" s="18">
        <f>IF(E7&gt;=C7,"Achieved","Not Achieved")</f>
        <v/>
      </c>
    </row>
    <row r="8">
      <c r="A8" s="11" t="inlineStr">
        <is>
          <t>PO5</t>
        </is>
      </c>
      <c r="B8" t="inlineStr">
        <is>
          <t>Modern tools</t>
        </is>
      </c>
      <c r="C8" s="15" t="n">
        <v>60</v>
      </c>
      <c r="D8" s="18">
        <f>SUMPRODUCT('CO Attainment Analysis'!$E$4:$E$8,'Course Info &amp; Mapping'!F$21:F$25)/SUMIF('Course Info &amp; Mapping'!F$21:F$25,"&gt;0")</f>
        <v/>
      </c>
      <c r="E8" s="18">
        <f>D8</f>
        <v/>
      </c>
      <c r="F8" s="18">
        <f>IF(E8&gt;=C8,"Achieved","Not Achieved")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2026-05-06T05:21:00Z</dcterms:created>
  <dcterms:modified xmlns:dcterms="http://purl.org/dc/terms/" xmlns:xsi="http://www.w3.org/2001/XMLSchema-instance" xsi:type="dcterms:W3CDTF">2026-05-06T05:21:00Z</dcterms:modified>
</cp:coreProperties>
</file>