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lines" sheetId="1" state="visible" r:id="rId3"/>
    <sheet name="CS301" sheetId="2" state="visible" r:id="rId4"/>
    <sheet name="CS302" sheetId="3" state="visible" r:id="rId5"/>
    <sheet name="Combined CO-PO Matrix" sheetId="4" state="visible" r:id="rId6"/>
    <sheet name="CS303" sheetId="5" state="visible" r:id="rId7"/>
    <sheet name="Method Comparison" sheetId="6" state="visible" r:id="rId8"/>
    <sheet name="CS304" sheetId="7" state="visible" r:id="rId9"/>
    <sheet name="CS305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<sst xmlns="http://schemas.openxmlformats.org/spreadsheetml/2006/main" count="1270" uniqueCount="225">
  <si>
    <t xml:space="preserve">CO–PO MAPPING: 20 ADDITIONAL METHODS  —  Auto-Calculation Workbook</t>
  </si>
  <si>
    <t xml:space="preserve">Based on: NBA OBE Guidelines  |  Additional Methods beyond Contact Hours, Assessment Tools, Assessment Type, Keywords &amp; Rubrics</t>
  </si>
  <si>
    <t xml:space="preserve">UNIVERSAL MAPPING LEVELS  (apply to all 20 methods)</t>
  </si>
  <si>
    <t xml:space="preserve">Level</t>
  </si>
  <si>
    <t xml:space="preserve">Symbol</t>
  </si>
  <si>
    <t xml:space="preserve">General Threshold</t>
  </si>
  <si>
    <t xml:space="preserve">Meaning</t>
  </si>
  <si>
    <t xml:space="preserve">Example From Methods</t>
  </si>
  <si>
    <t xml:space="preserve">No Mapping</t>
  </si>
  <si>
    <t xml:space="preserve">—</t>
  </si>
  <si>
    <t xml:space="preserve">Score=0 / No link</t>
  </si>
  <si>
    <t xml:space="preserve">CO does not contribute to PO</t>
  </si>
  <si>
    <t xml:space="preserve">No industry relevance; no tool usage; individual task only</t>
  </si>
  <si>
    <t xml:space="preserve">Low</t>
  </si>
  <si>
    <t xml:space="preserve">1</t>
  </si>
  <si>
    <t xml:space="preserve">Low score / partial link</t>
  </si>
  <si>
    <t xml:space="preserve">Small contribution to PO</t>
  </si>
  <si>
    <t xml:space="preserve">Simple theoretical problem; observation-only lab; reading only</t>
  </si>
  <si>
    <t xml:space="preserve">Medium</t>
  </si>
  <si>
    <t xml:space="preserve">2</t>
  </si>
  <si>
    <t xml:space="preserve">Moderate score / major link</t>
  </si>
  <si>
    <t xml:space="preserve">Moderate contribution to PO</t>
  </si>
  <si>
    <t xml:space="preserve">Guided experiment; mini project; moderate industry relevance</t>
  </si>
  <si>
    <t xml:space="preserve">High</t>
  </si>
  <si>
    <t xml:space="preserve">3</t>
  </si>
  <si>
    <t xml:space="preserve">High score / exact match</t>
  </si>
  <si>
    <t xml:space="preserve">Strong contribution to PO</t>
  </si>
  <si>
    <t xml:space="preserve">Design+implement+analyze lab; capstone project; strong real-world application</t>
  </si>
  <si>
    <t xml:space="preserve">20 ADDITIONAL METHODS — QUICK REFERENCE</t>
  </si>
  <si>
    <t xml:space="preserve">#</t>
  </si>
  <si>
    <t xml:space="preserve">ID</t>
  </si>
  <si>
    <t xml:space="preserve">Method Name</t>
  </si>
  <si>
    <t xml:space="preserve">Input Type</t>
  </si>
  <si>
    <t xml:space="preserve">Mapping Formula / Logic</t>
  </si>
  <si>
    <t xml:space="preserve">Primary POs</t>
  </si>
  <si>
    <t xml:space="preserve">M01</t>
  </si>
  <si>
    <t xml:space="preserve">Bloom's Taxonomy Level</t>
  </si>
  <si>
    <t xml:space="preserve">Bloom Level (1–6)</t>
  </si>
  <si>
    <t xml:space="preserve">'=IF(input&gt;=5,3,IF(input&gt;=3,2,IF(input&gt;=1,1,0)))</t>
  </si>
  <si>
    <t xml:space="preserve">PO1  |  PO2  |  PO3</t>
  </si>
  <si>
    <t xml:space="preserve">M02</t>
  </si>
  <si>
    <t xml:space="preserve">Syllabus Content Coverage</t>
  </si>
  <si>
    <t xml:space="preserve">Percentage (0–100)</t>
  </si>
  <si>
    <t xml:space="preserve">'=IF(input&gt;40,3,IF(input&gt;15,2,IF(input&gt;5,1,0)))</t>
  </si>
  <si>
    <t xml:space="preserve">PO1  |  PO2</t>
  </si>
  <si>
    <t xml:space="preserve">M03</t>
  </si>
  <si>
    <t xml:space="preserve">Problem Complexity</t>
  </si>
  <si>
    <t xml:space="preserve">Level (0–3)</t>
  </si>
  <si>
    <t xml:space="preserve">'=IF(input&gt;=3,3,IF(input&gt;=2,2,IF(input&gt;=1,1,0)))</t>
  </si>
  <si>
    <t xml:space="preserve">PO2  |  PO3</t>
  </si>
  <si>
    <t xml:space="preserve">M04</t>
  </si>
  <si>
    <t xml:space="preserve">Laboratory Experiment Depth</t>
  </si>
  <si>
    <t xml:space="preserve">PO4  |  PO5</t>
  </si>
  <si>
    <t xml:space="preserve">M05</t>
  </si>
  <si>
    <t xml:space="preserve">Industry/Relevance Based</t>
  </si>
  <si>
    <t xml:space="preserve">PO3  |  PO5  |  PO11</t>
  </si>
  <si>
    <t xml:space="preserve">M06</t>
  </si>
  <si>
    <t xml:space="preserve">Project-Based Mapping</t>
  </si>
  <si>
    <t xml:space="preserve">PO3  |  PO9  |  PO10  |  PO11</t>
  </si>
  <si>
    <t xml:space="preserve">M07</t>
  </si>
  <si>
    <t xml:space="preserve">Practical Skill Demonstration</t>
  </si>
  <si>
    <t xml:space="preserve">PO5  |  PO4</t>
  </si>
  <si>
    <t xml:space="preserve">M08</t>
  </si>
  <si>
    <t xml:space="preserve">Real-World Application</t>
  </si>
  <si>
    <t xml:space="preserve">PO6  |  PO7</t>
  </si>
  <si>
    <t xml:space="preserve">M09</t>
  </si>
  <si>
    <t xml:space="preserve">Interdisciplinary Integration</t>
  </si>
  <si>
    <t xml:space="preserve">PO3  |  PO5  |  PO12</t>
  </si>
  <si>
    <t xml:space="preserve">M10</t>
  </si>
  <si>
    <t xml:space="preserve">Innovation and Creativity</t>
  </si>
  <si>
    <t xml:space="preserve">PO3  |  PO12</t>
  </si>
  <si>
    <t xml:space="preserve">M11</t>
  </si>
  <si>
    <t xml:space="preserve">Research Orientation</t>
  </si>
  <si>
    <t xml:space="preserve">PO4  |  PO12</t>
  </si>
  <si>
    <t xml:space="preserve">M12</t>
  </si>
  <si>
    <t xml:space="preserve">Teamwork Contribution</t>
  </si>
  <si>
    <t xml:space="preserve">PO9</t>
  </si>
  <si>
    <t xml:space="preserve">M13</t>
  </si>
  <si>
    <t xml:space="preserve">Communication Intensity</t>
  </si>
  <si>
    <t xml:space="preserve">PO10</t>
  </si>
  <si>
    <t xml:space="preserve">M14</t>
  </si>
  <si>
    <t xml:space="preserve">Software/Tool Utilization</t>
  </si>
  <si>
    <t xml:space="preserve">PO5</t>
  </si>
  <si>
    <t xml:space="preserve">M15</t>
  </si>
  <si>
    <t xml:space="preserve">Mini Case Study</t>
  </si>
  <si>
    <t xml:space="preserve">PO6  |  PO8</t>
  </si>
  <si>
    <t xml:space="preserve">M16</t>
  </si>
  <si>
    <t xml:space="preserve">Course Articulation Matrix</t>
  </si>
  <si>
    <t xml:space="preserve">'=IF(input&gt;60,3,IF(input&gt;40,2,IF(input&gt;25,1,0)))</t>
  </si>
  <si>
    <t xml:space="preserve">M17</t>
  </si>
  <si>
    <t xml:space="preserve">Direct–Indirect Combination</t>
  </si>
  <si>
    <t xml:space="preserve">Weighted % (0–100)</t>
  </si>
  <si>
    <t xml:space="preserve">'=IF(input&gt;70,3,IF(input&gt;50,2,IF(input&gt;40,1,0)))</t>
  </si>
  <si>
    <t xml:space="preserve">M18</t>
  </si>
  <si>
    <t xml:space="preserve">Competency-Based Mapping</t>
  </si>
  <si>
    <t xml:space="preserve">PO3  |  PO9  |  PO10</t>
  </si>
  <si>
    <t xml:space="preserve">M19</t>
  </si>
  <si>
    <t xml:space="preserve">Graduate Attribute Alignment</t>
  </si>
  <si>
    <t xml:space="preserve">PO7  |  PO8  |  PO12</t>
  </si>
  <si>
    <t xml:space="preserve">M20</t>
  </si>
  <si>
    <t xml:space="preserve">Weighted Rubric Score</t>
  </si>
  <si>
    <t xml:space="preserve">'=IF(input&gt;70,3,IF(input&gt;40,2,IF(input&gt;0,1,0)))</t>
  </si>
  <si>
    <t xml:space="preserve">PO5  |  PO9  |  PO10  |  PO11</t>
  </si>
  <si>
    <t xml:space="preserve">NBA RECOMMENDED: COMBINED APPROACH (Multiple Methods Together)</t>
  </si>
  <si>
    <t xml:space="preserve">Criterion</t>
  </si>
  <si>
    <t xml:space="preserve">Weight</t>
  </si>
  <si>
    <t xml:space="preserve">Sheet Reference</t>
  </si>
  <si>
    <t xml:space="preserve">Keywords/Action Verbs</t>
  </si>
  <si>
    <t xml:space="preserve">20%</t>
  </si>
  <si>
    <t xml:space="preserve">Keywords_CO_PO_Mapping.xlsx</t>
  </si>
  <si>
    <t xml:space="preserve">Contact Hours (L-T-P-S)</t>
  </si>
  <si>
    <t xml:space="preserve">LTPS_CO_PO_Mapping_AutoCalc.xlsx</t>
  </si>
  <si>
    <t xml:space="preserve">Assessment Type</t>
  </si>
  <si>
    <t xml:space="preserve">AssessmentType_CO_PO_Mapping.xlsx</t>
  </si>
  <si>
    <t xml:space="preserve">Rubric-Based Records</t>
  </si>
  <si>
    <t xml:space="preserve">CriticalAssessment_PO5_PO12_Mapping.xlsx</t>
  </si>
  <si>
    <t xml:space="preserve">This workbook — Method M01</t>
  </si>
  <si>
    <t xml:space="preserve">HOW TO USE THIS WORKBOOK</t>
  </si>
  <si>
    <t xml:space="preserve">1. Open any course sheet (CS301–CS305)  →  Enter input score in YELLOW cells per method per CO</t>
  </si>
  <si>
    <t xml:space="preserve">2. Input types: Bloom Level (1–6) for M01 | Percentage (0–100) for M02,M16,M17,M20 | Level 0–3 for all others</t>
  </si>
  <si>
    <t xml:space="preserve">3. Mapping Level auto-calculates using the formula for each method  →  Symbol (—/1/2/3) also auto-shown</t>
  </si>
  <si>
    <t xml:space="preserve">4. Weighted Combined Score auto-calculates: weighted average of all 20 method levels</t>
  </si>
  <si>
    <t xml:space="preserve">5. Final Mapping Level auto-derived from combined score</t>
  </si>
  <si>
    <t xml:space="preserve">6. 'Combined CO-PO Matrix' sheet — full matrix showing final combined levels for all courses</t>
  </si>
  <si>
    <t xml:space="preserve">7. 'Method Comparison' sheet — see how each method scores per CO for detailed NBA justification</t>
  </si>
  <si>
    <t xml:space="preserve">8. 'PO Summary Dashboard' — programme-level attainment across all 20 methods</t>
  </si>
  <si>
    <t xml:space="preserve">ADDITIONAL CO–PO MAPPING (20 Methods) — Data Structures &amp; Algorithms (CS301)</t>
  </si>
  <si>
    <t xml:space="preserve">Enter input scores in YELLOW cells per method per CO  |  Level auto-calculates per method  |  Combined weighted score gives Final Mapping Level  |  All 20 methods from NBA OBE Additional Guidelines</t>
  </si>
  <si>
    <t xml:space="preserve">Input Types →</t>
  </si>
  <si>
    <t xml:space="preserve">Bloom 1–6</t>
  </si>
  <si>
    <t xml:space="preserve">Percent 0–100</t>
  </si>
  <si>
    <t xml:space="preserve">Level 0–3</t>
  </si>
  <si>
    <t xml:space="preserve">Weighted % 0–100</t>
  </si>
  <si>
    <t xml:space="preserve">CO</t>
  </si>
  <si>
    <t xml:space="preserve">CO Topic</t>
  </si>
  <si>
    <t xml:space="preserve">INPUT SCORES (Edit Yellow Cells)</t>
  </si>
  <si>
    <t xml:space="preserve">MAPPING LEVELS (Auto-Calculated per Method)</t>
  </si>
  <si>
    <t xml:space="preserve">Combined
Weighted
Score</t>
  </si>
  <si>
    <t xml:space="preserve">Final
Mapping
Level</t>
  </si>
  <si>
    <t xml:space="preserve">Final
Symbol</t>
  </si>
  <si>
    <t xml:space="preserve">PROGRAMME OUTCOMES (PO1–PO12)</t>
  </si>
  <si>
    <t xml:space="preserve">PSOs</t>
  </si>
  <si>
    <t xml:space="preserve">Method →</t>
  </si>
  <si>
    <t xml:space="preserve">Wtd Avg</t>
  </si>
  <si>
    <t xml:space="preserve">0–3</t>
  </si>
  <si>
    <t xml:space="preserve">—/1/2/3</t>
  </si>
  <si>
    <t xml:space="preserve">PO1</t>
  </si>
  <si>
    <t xml:space="preserve">PO2</t>
  </si>
  <si>
    <t xml:space="preserve">PO3</t>
  </si>
  <si>
    <t xml:space="preserve">PO4</t>
  </si>
  <si>
    <t xml:space="preserve">PO6</t>
  </si>
  <si>
    <t xml:space="preserve">PO7</t>
  </si>
  <si>
    <t xml:space="preserve">PO8</t>
  </si>
  <si>
    <t xml:space="preserve">PO11</t>
  </si>
  <si>
    <t xml:space="preserve">PO12</t>
  </si>
  <si>
    <t xml:space="preserve">PSO1</t>
  </si>
  <si>
    <t xml:space="preserve">PSO2</t>
  </si>
  <si>
    <t xml:space="preserve">PSO3</t>
  </si>
  <si>
    <t xml:space="preserve">Method Weights (Equal = 5%)</t>
  </si>
  <si>
    <t xml:space="preserve">↓  Enter scores in YELLOW cells (columns C–V)  →  All calculations auto-update  ↓</t>
  </si>
  <si>
    <t xml:space="preserve">CO1</t>
  </si>
  <si>
    <t xml:space="preserve">Arrays, Linked Lists, Stacks, Queues</t>
  </si>
  <si>
    <t xml:space="preserve">CO2</t>
  </si>
  <si>
    <t xml:space="preserve">Trees and Binary Search Trees</t>
  </si>
  <si>
    <t xml:space="preserve">CO3</t>
  </si>
  <si>
    <t xml:space="preserve">Graphs: BFS, DFS, Shortest Paths</t>
  </si>
  <si>
    <t xml:space="preserve">CO4</t>
  </si>
  <si>
    <t xml:space="preserve">Sorting and Searching Algorithms</t>
  </si>
  <si>
    <t xml:space="preserve">CO5</t>
  </si>
  <si>
    <t xml:space="preserve">Hashing and Complexity Analysis</t>
  </si>
  <si>
    <t xml:space="preserve">COURSE AVG</t>
  </si>
  <si>
    <t xml:space="preserve">ADDITIONAL CO–PO MAPPING (20 Methods) — Database Management Systems (CS302)</t>
  </si>
  <si>
    <t xml:space="preserve">ER Model and Relational Algebra</t>
  </si>
  <si>
    <t xml:space="preserve">SQL: DDL, DML, Complex Queries</t>
  </si>
  <si>
    <t xml:space="preserve">Normalization: 1NF to BCNF</t>
  </si>
  <si>
    <t xml:space="preserve">Transaction Management &amp; Concurrency</t>
  </si>
  <si>
    <t xml:space="preserve">Indexing &amp; Query Optimization</t>
  </si>
  <si>
    <t xml:space="preserve">COMBINED CO–PO MAPPING MATRIX (All 20 Additional Methods) — Auto-linked</t>
  </si>
  <si>
    <t xml:space="preserve">Final Level = Combined Weighted Score of all 20 additional methods  |  — = CO not relevant to that PO  |  1=Low  2=Medium  3=High</t>
  </si>
  <si>
    <t xml:space="preserve">LEGEND →</t>
  </si>
  <si>
    <t xml:space="preserve">— Not Relevant</t>
  </si>
  <si>
    <t xml:space="preserve">1 Low</t>
  </si>
  <si>
    <t xml:space="preserve">2 Medium</t>
  </si>
  <si>
    <t xml:space="preserve">3 High</t>
  </si>
  <si>
    <t xml:space="preserve">Course</t>
  </si>
  <si>
    <t xml:space="preserve">Code</t>
  </si>
  <si>
    <t xml:space="preserve">Comb
Level</t>
  </si>
  <si>
    <t xml:space="preserve">PROGRAMME OUTCOMES</t>
  </si>
  <si>
    <t xml:space="preserve">Data Structures &amp; Algorithms</t>
  </si>
  <si>
    <t xml:space="preserve">CS301</t>
  </si>
  <si>
    <t xml:space="preserve">Database Management Systems</t>
  </si>
  <si>
    <t xml:space="preserve">CS302</t>
  </si>
  <si>
    <t xml:space="preserve">Computer Networks</t>
  </si>
  <si>
    <t xml:space="preserve">CS303</t>
  </si>
  <si>
    <t xml:space="preserve">Operating Systems</t>
  </si>
  <si>
    <t xml:space="preserve">CS304</t>
  </si>
  <si>
    <t xml:space="preserve">Machine Learning</t>
  </si>
  <si>
    <t xml:space="preserve">CS305</t>
  </si>
  <si>
    <t xml:space="preserve">CO6</t>
  </si>
  <si>
    <t xml:space="preserve">DEPT AVERAGE</t>
  </si>
  <si>
    <t xml:space="preserve">ADDITIONAL CO–PO MAPPING (20 Methods) — Computer Networks (CS303)</t>
  </si>
  <si>
    <t xml:space="preserve">OSI and TCP/IP Model</t>
  </si>
  <si>
    <t xml:space="preserve">Data Link Layer Protocols</t>
  </si>
  <si>
    <t xml:space="preserve">Network Layer: IP &amp; Routing</t>
  </si>
  <si>
    <t xml:space="preserve">Transport Layer: TCP &amp; UDP</t>
  </si>
  <si>
    <t xml:space="preserve">Application Layer Protocols</t>
  </si>
  <si>
    <t xml:space="preserve">METHOD COMPARISON — ALL 20 ADDITIONAL METHODS × ALL COURSES</t>
  </si>
  <si>
    <t xml:space="preserve">All values auto-linked from course sheets. Shows mapping level per method per CO.</t>
  </si>
  <si>
    <t xml:space="preserve">MAPPING LEVELS PER METHOD (Auto-linked)</t>
  </si>
  <si>
    <t xml:space="preserve">Combined
Final
Level</t>
  </si>
  <si>
    <t xml:space="preserve">Comb
Score</t>
  </si>
  <si>
    <t xml:space="preserve">Final
Level</t>
  </si>
  <si>
    <t xml:space="preserve">ADDITIONAL CO–PO MAPPING (20 Methods) — Operating Systems (CS304)</t>
  </si>
  <si>
    <t xml:space="preserve">Process Management &amp; Scheduling</t>
  </si>
  <si>
    <t xml:space="preserve">Synchronization &amp; Deadlock</t>
  </si>
  <si>
    <t xml:space="preserve">Memory Management: Paging &amp; Segmentation</t>
  </si>
  <si>
    <t xml:space="preserve">File System Management</t>
  </si>
  <si>
    <t xml:space="preserve">I/O Management &amp; Disk Scheduling</t>
  </si>
  <si>
    <t xml:space="preserve">ADDITIONAL CO–PO MAPPING (20 Methods) — Machine Learning (CS305)</t>
  </si>
  <si>
    <t xml:space="preserve">Supervised Learning: Regression &amp; SVM</t>
  </si>
  <si>
    <t xml:space="preserve">Classification: Decision Trees &amp; KNN</t>
  </si>
  <si>
    <t xml:space="preserve">Neural Networks &amp; Deep Learning</t>
  </si>
  <si>
    <t xml:space="preserve">Unsupervised Learning: Clustering &amp; PCA</t>
  </si>
  <si>
    <t xml:space="preserve">Model Evaluation &amp; Optimization</t>
  </si>
  <si>
    <t xml:space="preserve">Applied ML Projects &amp; Case Studies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</si>
</sst>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"/>
    <numFmt numFmtId="167" formatCode="0.00"/>
    <numFmt numFmtId="168" formatCode="@"/>
    <numFmt numFmtId="169" formatCode="0.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40404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8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375623"/>
      <name val="Arial"/>
      <family val="0"/>
      <charset val="1"/>
    </font>
    <font>
      <b val="true"/>
      <sz val="8"/>
      <color rgb="FF00695C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00695C"/>
      <name val="Arial"/>
      <family val="0"/>
      <charset val="1"/>
    </font>
    <font>
      <sz val="10"/>
      <color rgb="FFCCCCCC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9"/>
      <color rgb="FFFFFFFF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5D4037"/>
      </patternFill>
    </fill>
    <fill>
      <patternFill patternType="solid">
        <fgColor rgb="FF404040"/>
        <bgColor rgb="FF5D4037"/>
      </patternFill>
    </fill>
    <fill>
      <patternFill patternType="solid">
        <fgColor rgb="FFF2F2F2"/>
        <bgColor rgb="FFEFEBE9"/>
      </patternFill>
    </fill>
    <fill>
      <patternFill patternType="solid">
        <fgColor rgb="FFFCE4D6"/>
        <bgColor rgb="FFFCE4EC"/>
      </patternFill>
    </fill>
    <fill>
      <patternFill patternType="solid">
        <fgColor rgb="FFFFF8DC"/>
        <bgColor rgb="FFF9FBE7"/>
      </patternFill>
    </fill>
    <fill>
      <patternFill patternType="solid">
        <fgColor rgb="FFE2EFDA"/>
        <bgColor rgb="FFE0F2F1"/>
      </patternFill>
    </fill>
    <fill>
      <patternFill patternType="solid">
        <fgColor rgb="FF00695C"/>
        <bgColor rgb="FF008080"/>
      </patternFill>
    </fill>
    <fill>
      <patternFill patternType="solid">
        <fgColor rgb="FFBDD7EE"/>
        <bgColor rgb="FFCCCCCC"/>
      </patternFill>
    </fill>
    <fill>
      <patternFill patternType="solid">
        <fgColor rgb="FFFFFFFF"/>
        <bgColor rgb="FFF9FBE7"/>
      </patternFill>
    </fill>
    <fill>
      <patternFill patternType="solid">
        <fgColor rgb="FFE0F2F1"/>
        <bgColor rgb="FFDEEAF1"/>
      </patternFill>
    </fill>
    <fill>
      <patternFill patternType="solid">
        <fgColor rgb="FFE2D9F3"/>
        <bgColor rgb="FFDEEAF1"/>
      </patternFill>
    </fill>
    <fill>
      <patternFill patternType="solid">
        <fgColor rgb="FF375623"/>
        <bgColor rgb="FF4E5D27"/>
      </patternFill>
    </fill>
    <fill>
      <patternFill patternType="solid">
        <fgColor rgb="FFC55A11"/>
        <bgColor rgb="FF993300"/>
      </patternFill>
    </fill>
    <fill>
      <patternFill patternType="solid">
        <fgColor rgb="FF8B0000"/>
        <bgColor rgb="FF800000"/>
      </patternFill>
    </fill>
    <fill>
      <patternFill patternType="solid">
        <fgColor rgb="FFFCE4EC"/>
        <bgColor rgb="FFFCE4D6"/>
      </patternFill>
    </fill>
    <fill>
      <patternFill patternType="solid">
        <fgColor rgb="FF283593"/>
        <bgColor rgb="FF1F3864"/>
      </patternFill>
    </fill>
    <fill>
      <patternFill patternType="solid">
        <fgColor rgb="FFE8EAF6"/>
        <bgColor rgb="FFDEEAF1"/>
      </patternFill>
    </fill>
    <fill>
      <patternFill patternType="solid">
        <fgColor rgb="FF4E5D27"/>
        <bgColor rgb="FF375623"/>
      </patternFill>
    </fill>
    <fill>
      <patternFill patternType="solid">
        <fgColor rgb="FFF9FBE7"/>
        <bgColor rgb="FFFFF8DC"/>
      </patternFill>
    </fill>
    <fill>
      <patternFill patternType="solid">
        <fgColor rgb="FF5D4037"/>
        <bgColor rgb="FF404040"/>
      </patternFill>
    </fill>
    <fill>
      <patternFill patternType="solid">
        <fgColor rgb="FFEFEBE9"/>
        <bgColor rgb="FFE8EAF6"/>
      </patternFill>
    </fill>
    <fill>
      <patternFill patternType="solid">
        <fgColor rgb="FF70AD47"/>
        <bgColor rgb="FF339966"/>
      </patternFill>
    </fill>
    <fill>
      <patternFill patternType="solid">
        <fgColor rgb="FFDEEAF1"/>
        <bgColor rgb="FFE8EAF6"/>
      </patternFill>
    </fill>
    <fill>
      <patternFill patternType="solid">
        <fgColor rgb="FFFFF2CC"/>
        <bgColor rgb="FFFFF8D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>
        <color rgb="FF595959"/>
      </top>
      <bottom style="medium"/>
      <diagonal/>
    </border>
    <border diagonalUp="false" diagonalDown="false">
      <left style="medium"/>
      <right/>
      <top style="thin">
        <color rgb="FF595959"/>
      </top>
      <bottom style="medium"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2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9FBE7"/>
      <rgbColor rgb="FFFF00FF"/>
      <rgbColor rgb="FF00FFFF"/>
      <rgbColor rgb="FF8B0000"/>
      <rgbColor rgb="FF008000"/>
      <rgbColor rgb="FF000080"/>
      <rgbColor rgb="FF4E5D27"/>
      <rgbColor rgb="FF800080"/>
      <rgbColor rgb="FF00695C"/>
      <rgbColor rgb="FFCCCCCC"/>
      <rgbColor rgb="FF808080"/>
      <rgbColor rgb="FFEFEBE9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E2D9F3"/>
      <rgbColor rgb="FFFCE4EC"/>
      <rgbColor rgb="FFE8EAF6"/>
      <rgbColor rgb="FFFCE4D6"/>
      <rgbColor rgb="FF2E75B6"/>
      <rgbColor rgb="FF33CCCC"/>
      <rgbColor rgb="FF99CC00"/>
      <rgbColor rgb="FFFFCC00"/>
      <rgbColor rgb="FFFF9900"/>
      <rgbColor rgb="FFC55A11"/>
      <rgbColor rgb="FF595959"/>
      <rgbColor rgb="FF70AD47"/>
      <rgbColor rgb="FF1F3864"/>
      <rgbColor rgb="FF339966"/>
      <rgbColor rgb="FF003300"/>
      <rgbColor rgb="FF375623"/>
      <rgbColor rgb="FF993300"/>
      <rgbColor rgb="FF5D4037"/>
      <rgbColor rgb="FF283593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11" min="6" style="1" width="14"/>
  </cols>
  <sheetData>
    <row r="1" customFormat="false" ht="4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9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6" t="s">
        <v>7</v>
      </c>
      <c r="F5" s="6"/>
      <c r="G5" s="6"/>
      <c r="H5" s="6"/>
      <c r="I5" s="6"/>
      <c r="J5" s="6"/>
      <c r="K5" s="6"/>
    </row>
    <row r="6" customFormat="false" ht="21.75" hidden="false" customHeight="true" outlineLevel="0" collapsed="false">
      <c r="A6" s="7" t="s">
        <v>8</v>
      </c>
      <c r="B6" s="8" t="s">
        <v>9</v>
      </c>
      <c r="C6" s="9" t="s">
        <v>10</v>
      </c>
      <c r="D6" s="9" t="s">
        <v>11</v>
      </c>
      <c r="E6" s="10" t="s">
        <v>12</v>
      </c>
      <c r="F6" s="10"/>
      <c r="G6" s="10"/>
      <c r="H6" s="10"/>
      <c r="I6" s="10"/>
      <c r="J6" s="10"/>
      <c r="K6" s="10"/>
    </row>
    <row r="7" customFormat="false" ht="21.75" hidden="false" customHeight="true" outlineLevel="0" collapsed="false">
      <c r="A7" s="11" t="s">
        <v>13</v>
      </c>
      <c r="B7" s="12" t="s">
        <v>14</v>
      </c>
      <c r="C7" s="13" t="s">
        <v>15</v>
      </c>
      <c r="D7" s="13" t="s">
        <v>16</v>
      </c>
      <c r="E7" s="14" t="s">
        <v>17</v>
      </c>
      <c r="F7" s="14"/>
      <c r="G7" s="14"/>
      <c r="H7" s="14"/>
      <c r="I7" s="14"/>
      <c r="J7" s="14"/>
      <c r="K7" s="14"/>
    </row>
    <row r="8" customFormat="false" ht="21.75" hidden="false" customHeight="true" outlineLevel="0" collapsed="false">
      <c r="A8" s="15" t="s">
        <v>18</v>
      </c>
      <c r="B8" s="16" t="s">
        <v>19</v>
      </c>
      <c r="C8" s="17" t="s">
        <v>20</v>
      </c>
      <c r="D8" s="17" t="s">
        <v>21</v>
      </c>
      <c r="E8" s="18" t="s">
        <v>22</v>
      </c>
      <c r="F8" s="18"/>
      <c r="G8" s="18"/>
      <c r="H8" s="18"/>
      <c r="I8" s="18"/>
      <c r="J8" s="18"/>
      <c r="K8" s="18"/>
    </row>
    <row r="9" customFormat="false" ht="21.75" hidden="false" customHeight="true" outlineLevel="0" collapsed="false">
      <c r="A9" s="19" t="s">
        <v>23</v>
      </c>
      <c r="B9" s="20" t="s">
        <v>24</v>
      </c>
      <c r="C9" s="21" t="s">
        <v>25</v>
      </c>
      <c r="D9" s="21" t="s">
        <v>26</v>
      </c>
      <c r="E9" s="22" t="s">
        <v>27</v>
      </c>
      <c r="F9" s="22"/>
      <c r="G9" s="22"/>
      <c r="H9" s="22"/>
      <c r="I9" s="22"/>
      <c r="J9" s="22"/>
      <c r="K9" s="22"/>
    </row>
    <row r="11" customFormat="false" ht="21.75" hidden="false" customHeight="true" outlineLevel="0" collapsed="false">
      <c r="A11" s="23" t="s">
        <v>28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customFormat="false" ht="18" hidden="false" customHeight="true" outlineLevel="0" collapsed="false">
      <c r="A12" s="5" t="s">
        <v>29</v>
      </c>
      <c r="B12" s="5" t="s">
        <v>30</v>
      </c>
      <c r="C12" s="5" t="s">
        <v>31</v>
      </c>
      <c r="D12" s="5" t="s">
        <v>32</v>
      </c>
      <c r="E12" s="5" t="s">
        <v>33</v>
      </c>
      <c r="F12" s="5" t="s">
        <v>34</v>
      </c>
      <c r="G12" s="5"/>
      <c r="H12" s="5"/>
      <c r="I12" s="5"/>
      <c r="J12" s="5"/>
      <c r="K12" s="5"/>
    </row>
    <row r="13" customFormat="false" ht="19.5" hidden="false" customHeight="true" outlineLevel="0" collapsed="false">
      <c r="A13" s="24" t="n">
        <v>1</v>
      </c>
      <c r="B13" s="25" t="s">
        <v>35</v>
      </c>
      <c r="C13" s="7" t="s">
        <v>36</v>
      </c>
      <c r="D13" s="17" t="s">
        <v>37</v>
      </c>
      <c r="E13" s="26" t="s">
        <v>38</v>
      </c>
      <c r="F13" s="27" t="s">
        <v>39</v>
      </c>
      <c r="G13" s="27"/>
      <c r="H13" s="27"/>
      <c r="I13" s="27"/>
      <c r="J13" s="27"/>
      <c r="K13" s="27"/>
    </row>
    <row r="14" customFormat="false" ht="19.5" hidden="false" customHeight="true" outlineLevel="0" collapsed="false">
      <c r="A14" s="28" t="n">
        <v>2</v>
      </c>
      <c r="B14" s="29" t="s">
        <v>40</v>
      </c>
      <c r="C14" s="30" t="s">
        <v>41</v>
      </c>
      <c r="D14" s="17" t="s">
        <v>42</v>
      </c>
      <c r="E14" s="31" t="s">
        <v>43</v>
      </c>
      <c r="F14" s="32" t="s">
        <v>44</v>
      </c>
      <c r="G14" s="32"/>
      <c r="H14" s="32"/>
      <c r="I14" s="32"/>
      <c r="J14" s="32"/>
      <c r="K14" s="32"/>
    </row>
    <row r="15" customFormat="false" ht="19.5" hidden="false" customHeight="true" outlineLevel="0" collapsed="false">
      <c r="A15" s="24" t="n">
        <v>3</v>
      </c>
      <c r="B15" s="33" t="s">
        <v>45</v>
      </c>
      <c r="C15" s="7" t="s">
        <v>46</v>
      </c>
      <c r="D15" s="17" t="s">
        <v>47</v>
      </c>
      <c r="E15" s="26" t="s">
        <v>48</v>
      </c>
      <c r="F15" s="34" t="s">
        <v>49</v>
      </c>
      <c r="G15" s="34"/>
      <c r="H15" s="34"/>
      <c r="I15" s="34"/>
      <c r="J15" s="34"/>
      <c r="K15" s="34"/>
    </row>
    <row r="16" customFormat="false" ht="19.5" hidden="false" customHeight="true" outlineLevel="0" collapsed="false">
      <c r="A16" s="28" t="n">
        <v>4</v>
      </c>
      <c r="B16" s="35" t="s">
        <v>50</v>
      </c>
      <c r="C16" s="30" t="s">
        <v>51</v>
      </c>
      <c r="D16" s="17" t="s">
        <v>47</v>
      </c>
      <c r="E16" s="31" t="s">
        <v>48</v>
      </c>
      <c r="F16" s="36" t="s">
        <v>52</v>
      </c>
      <c r="G16" s="36"/>
      <c r="H16" s="36"/>
      <c r="I16" s="36"/>
      <c r="J16" s="36"/>
      <c r="K16" s="36"/>
    </row>
    <row r="17" customFormat="false" ht="19.5" hidden="false" customHeight="true" outlineLevel="0" collapsed="false">
      <c r="A17" s="24" t="n">
        <v>5</v>
      </c>
      <c r="B17" s="37" t="s">
        <v>53</v>
      </c>
      <c r="C17" s="7" t="s">
        <v>54</v>
      </c>
      <c r="D17" s="17" t="s">
        <v>47</v>
      </c>
      <c r="E17" s="26" t="s">
        <v>48</v>
      </c>
      <c r="F17" s="38" t="s">
        <v>55</v>
      </c>
      <c r="G17" s="38"/>
      <c r="H17" s="38"/>
      <c r="I17" s="38"/>
      <c r="J17" s="38"/>
      <c r="K17" s="38"/>
    </row>
    <row r="18" customFormat="false" ht="19.5" hidden="false" customHeight="true" outlineLevel="0" collapsed="false">
      <c r="A18" s="28" t="n">
        <v>6</v>
      </c>
      <c r="B18" s="39" t="s">
        <v>56</v>
      </c>
      <c r="C18" s="30" t="s">
        <v>57</v>
      </c>
      <c r="D18" s="17" t="s">
        <v>47</v>
      </c>
      <c r="E18" s="31" t="s">
        <v>48</v>
      </c>
      <c r="F18" s="40" t="s">
        <v>58</v>
      </c>
      <c r="G18" s="40"/>
      <c r="H18" s="40"/>
      <c r="I18" s="40"/>
      <c r="J18" s="40"/>
      <c r="K18" s="40"/>
    </row>
    <row r="19" customFormat="false" ht="19.5" hidden="false" customHeight="true" outlineLevel="0" collapsed="false">
      <c r="A19" s="24" t="n">
        <v>7</v>
      </c>
      <c r="B19" s="41" t="s">
        <v>59</v>
      </c>
      <c r="C19" s="7" t="s">
        <v>60</v>
      </c>
      <c r="D19" s="17" t="s">
        <v>47</v>
      </c>
      <c r="E19" s="26" t="s">
        <v>48</v>
      </c>
      <c r="F19" s="42" t="s">
        <v>61</v>
      </c>
      <c r="G19" s="42"/>
      <c r="H19" s="42"/>
      <c r="I19" s="42"/>
      <c r="J19" s="42"/>
      <c r="K19" s="42"/>
    </row>
    <row r="20" customFormat="false" ht="19.5" hidden="false" customHeight="true" outlineLevel="0" collapsed="false">
      <c r="A20" s="28" t="n">
        <v>8</v>
      </c>
      <c r="B20" s="43" t="s">
        <v>62</v>
      </c>
      <c r="C20" s="30" t="s">
        <v>63</v>
      </c>
      <c r="D20" s="17" t="s">
        <v>47</v>
      </c>
      <c r="E20" s="31" t="s">
        <v>48</v>
      </c>
      <c r="F20" s="44" t="s">
        <v>64</v>
      </c>
      <c r="G20" s="44"/>
      <c r="H20" s="44"/>
      <c r="I20" s="44"/>
      <c r="J20" s="44"/>
      <c r="K20" s="44"/>
    </row>
    <row r="21" customFormat="false" ht="19.5" hidden="false" customHeight="true" outlineLevel="0" collapsed="false">
      <c r="A21" s="24" t="n">
        <v>9</v>
      </c>
      <c r="B21" s="45" t="s">
        <v>65</v>
      </c>
      <c r="C21" s="7" t="s">
        <v>66</v>
      </c>
      <c r="D21" s="17" t="s">
        <v>47</v>
      </c>
      <c r="E21" s="26" t="s">
        <v>48</v>
      </c>
      <c r="F21" s="46" t="s">
        <v>67</v>
      </c>
      <c r="G21" s="46"/>
      <c r="H21" s="46"/>
      <c r="I21" s="46"/>
      <c r="J21" s="46"/>
      <c r="K21" s="46"/>
    </row>
    <row r="22" customFormat="false" ht="19.5" hidden="false" customHeight="true" outlineLevel="0" collapsed="false">
      <c r="A22" s="28" t="n">
        <v>10</v>
      </c>
      <c r="B22" s="47" t="s">
        <v>68</v>
      </c>
      <c r="C22" s="30" t="s">
        <v>69</v>
      </c>
      <c r="D22" s="17" t="s">
        <v>47</v>
      </c>
      <c r="E22" s="31" t="s">
        <v>48</v>
      </c>
      <c r="F22" s="36" t="s">
        <v>70</v>
      </c>
      <c r="G22" s="36"/>
      <c r="H22" s="36"/>
      <c r="I22" s="36"/>
      <c r="J22" s="36"/>
      <c r="K22" s="36"/>
    </row>
    <row r="23" customFormat="false" ht="19.5" hidden="false" customHeight="true" outlineLevel="0" collapsed="false">
      <c r="A23" s="24" t="n">
        <v>11</v>
      </c>
      <c r="B23" s="25" t="s">
        <v>71</v>
      </c>
      <c r="C23" s="7" t="s">
        <v>72</v>
      </c>
      <c r="D23" s="17" t="s">
        <v>47</v>
      </c>
      <c r="E23" s="26" t="s">
        <v>48</v>
      </c>
      <c r="F23" s="48" t="s">
        <v>73</v>
      </c>
      <c r="G23" s="48"/>
      <c r="H23" s="48"/>
      <c r="I23" s="48"/>
      <c r="J23" s="48"/>
      <c r="K23" s="48"/>
    </row>
    <row r="24" customFormat="false" ht="19.5" hidden="false" customHeight="true" outlineLevel="0" collapsed="false">
      <c r="A24" s="28" t="n">
        <v>12</v>
      </c>
      <c r="B24" s="29" t="s">
        <v>74</v>
      </c>
      <c r="C24" s="30" t="s">
        <v>75</v>
      </c>
      <c r="D24" s="17" t="s">
        <v>47</v>
      </c>
      <c r="E24" s="31" t="s">
        <v>48</v>
      </c>
      <c r="F24" s="32" t="s">
        <v>76</v>
      </c>
      <c r="G24" s="32"/>
      <c r="H24" s="32"/>
      <c r="I24" s="32"/>
      <c r="J24" s="32"/>
      <c r="K24" s="32"/>
    </row>
    <row r="25" customFormat="false" ht="19.5" hidden="false" customHeight="true" outlineLevel="0" collapsed="false">
      <c r="A25" s="24" t="n">
        <v>13</v>
      </c>
      <c r="B25" s="33" t="s">
        <v>77</v>
      </c>
      <c r="C25" s="7" t="s">
        <v>78</v>
      </c>
      <c r="D25" s="17" t="s">
        <v>47</v>
      </c>
      <c r="E25" s="26" t="s">
        <v>48</v>
      </c>
      <c r="F25" s="34" t="s">
        <v>79</v>
      </c>
      <c r="G25" s="34"/>
      <c r="H25" s="34"/>
      <c r="I25" s="34"/>
      <c r="J25" s="34"/>
      <c r="K25" s="34"/>
    </row>
    <row r="26" customFormat="false" ht="19.5" hidden="false" customHeight="true" outlineLevel="0" collapsed="false">
      <c r="A26" s="28" t="n">
        <v>14</v>
      </c>
      <c r="B26" s="37" t="s">
        <v>80</v>
      </c>
      <c r="C26" s="30" t="s">
        <v>81</v>
      </c>
      <c r="D26" s="17" t="s">
        <v>47</v>
      </c>
      <c r="E26" s="31" t="s">
        <v>48</v>
      </c>
      <c r="F26" s="38" t="s">
        <v>82</v>
      </c>
      <c r="G26" s="38"/>
      <c r="H26" s="38"/>
      <c r="I26" s="38"/>
      <c r="J26" s="38"/>
      <c r="K26" s="38"/>
    </row>
    <row r="27" customFormat="false" ht="19.5" hidden="false" customHeight="true" outlineLevel="0" collapsed="false">
      <c r="A27" s="24" t="n">
        <v>15</v>
      </c>
      <c r="B27" s="39" t="s">
        <v>83</v>
      </c>
      <c r="C27" s="7" t="s">
        <v>84</v>
      </c>
      <c r="D27" s="17" t="s">
        <v>47</v>
      </c>
      <c r="E27" s="26" t="s">
        <v>48</v>
      </c>
      <c r="F27" s="38" t="s">
        <v>85</v>
      </c>
      <c r="G27" s="38"/>
      <c r="H27" s="38"/>
      <c r="I27" s="38"/>
      <c r="J27" s="38"/>
      <c r="K27" s="38"/>
    </row>
    <row r="28" customFormat="false" ht="19.5" hidden="false" customHeight="true" outlineLevel="0" collapsed="false">
      <c r="A28" s="28" t="n">
        <v>16</v>
      </c>
      <c r="B28" s="41" t="s">
        <v>86</v>
      </c>
      <c r="C28" s="30" t="s">
        <v>87</v>
      </c>
      <c r="D28" s="17" t="s">
        <v>42</v>
      </c>
      <c r="E28" s="31" t="s">
        <v>88</v>
      </c>
      <c r="F28" s="42" t="s">
        <v>39</v>
      </c>
      <c r="G28" s="42"/>
      <c r="H28" s="42"/>
      <c r="I28" s="42"/>
      <c r="J28" s="42"/>
      <c r="K28" s="42"/>
    </row>
    <row r="29" customFormat="false" ht="19.5" hidden="false" customHeight="true" outlineLevel="0" collapsed="false">
      <c r="A29" s="24" t="n">
        <v>17</v>
      </c>
      <c r="B29" s="35" t="s">
        <v>89</v>
      </c>
      <c r="C29" s="7" t="s">
        <v>90</v>
      </c>
      <c r="D29" s="17" t="s">
        <v>91</v>
      </c>
      <c r="E29" s="26" t="s">
        <v>92</v>
      </c>
      <c r="F29" s="36" t="s">
        <v>44</v>
      </c>
      <c r="G29" s="36"/>
      <c r="H29" s="36"/>
      <c r="I29" s="36"/>
      <c r="J29" s="36"/>
      <c r="K29" s="36"/>
    </row>
    <row r="30" customFormat="false" ht="19.5" hidden="false" customHeight="true" outlineLevel="0" collapsed="false">
      <c r="A30" s="28" t="n">
        <v>18</v>
      </c>
      <c r="B30" s="43" t="s">
        <v>93</v>
      </c>
      <c r="C30" s="30" t="s">
        <v>94</v>
      </c>
      <c r="D30" s="17" t="s">
        <v>47</v>
      </c>
      <c r="E30" s="31" t="s">
        <v>48</v>
      </c>
      <c r="F30" s="44" t="s">
        <v>95</v>
      </c>
      <c r="G30" s="44"/>
      <c r="H30" s="44"/>
      <c r="I30" s="44"/>
      <c r="J30" s="44"/>
      <c r="K30" s="44"/>
    </row>
    <row r="31" customFormat="false" ht="19.5" hidden="false" customHeight="true" outlineLevel="0" collapsed="false">
      <c r="A31" s="24" t="n">
        <v>19</v>
      </c>
      <c r="B31" s="45" t="s">
        <v>96</v>
      </c>
      <c r="C31" s="7" t="s">
        <v>97</v>
      </c>
      <c r="D31" s="17" t="s">
        <v>47</v>
      </c>
      <c r="E31" s="26" t="s">
        <v>48</v>
      </c>
      <c r="F31" s="46" t="s">
        <v>98</v>
      </c>
      <c r="G31" s="46"/>
      <c r="H31" s="46"/>
      <c r="I31" s="46"/>
      <c r="J31" s="46"/>
      <c r="K31" s="46"/>
    </row>
    <row r="32" customFormat="false" ht="19.5" hidden="false" customHeight="true" outlineLevel="0" collapsed="false">
      <c r="A32" s="28" t="n">
        <v>20</v>
      </c>
      <c r="B32" s="47" t="s">
        <v>99</v>
      </c>
      <c r="C32" s="30" t="s">
        <v>100</v>
      </c>
      <c r="D32" s="17" t="s">
        <v>42</v>
      </c>
      <c r="E32" s="31" t="s">
        <v>101</v>
      </c>
      <c r="F32" s="36" t="s">
        <v>102</v>
      </c>
      <c r="G32" s="36"/>
      <c r="H32" s="36"/>
      <c r="I32" s="36"/>
      <c r="J32" s="36"/>
      <c r="K32" s="36"/>
    </row>
    <row r="34" customFormat="false" ht="21.75" hidden="false" customHeight="true" outlineLevel="0" collapsed="false">
      <c r="A34" s="49" t="s">
        <v>103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</row>
    <row r="35" customFormat="false" ht="18" hidden="false" customHeight="true" outlineLevel="0" collapsed="false">
      <c r="A35" s="5" t="s">
        <v>104</v>
      </c>
      <c r="B35" s="5" t="s">
        <v>105</v>
      </c>
      <c r="C35" s="5" t="s">
        <v>106</v>
      </c>
    </row>
    <row r="36" customFormat="false" ht="18" hidden="false" customHeight="true" outlineLevel="0" collapsed="false">
      <c r="A36" s="50" t="s">
        <v>107</v>
      </c>
      <c r="B36" s="51" t="s">
        <v>108</v>
      </c>
      <c r="C36" s="52" t="s">
        <v>109</v>
      </c>
      <c r="D36" s="52"/>
      <c r="E36" s="52"/>
      <c r="F36" s="52"/>
      <c r="G36" s="52"/>
      <c r="H36" s="52"/>
      <c r="I36" s="52"/>
      <c r="J36" s="52"/>
      <c r="K36" s="52"/>
    </row>
    <row r="37" customFormat="false" ht="18" hidden="false" customHeight="true" outlineLevel="0" collapsed="false">
      <c r="A37" s="53" t="s">
        <v>110</v>
      </c>
      <c r="B37" s="51" t="s">
        <v>108</v>
      </c>
      <c r="C37" s="54" t="s">
        <v>111</v>
      </c>
      <c r="D37" s="54"/>
      <c r="E37" s="54"/>
      <c r="F37" s="54"/>
      <c r="G37" s="54"/>
      <c r="H37" s="54"/>
      <c r="I37" s="54"/>
      <c r="J37" s="54"/>
      <c r="K37" s="54"/>
    </row>
    <row r="38" customFormat="false" ht="18" hidden="false" customHeight="true" outlineLevel="0" collapsed="false">
      <c r="A38" s="50" t="s">
        <v>112</v>
      </c>
      <c r="B38" s="51" t="s">
        <v>108</v>
      </c>
      <c r="C38" s="52" t="s">
        <v>113</v>
      </c>
      <c r="D38" s="52"/>
      <c r="E38" s="52"/>
      <c r="F38" s="52"/>
      <c r="G38" s="52"/>
      <c r="H38" s="52"/>
      <c r="I38" s="52"/>
      <c r="J38" s="52"/>
      <c r="K38" s="52"/>
    </row>
    <row r="39" customFormat="false" ht="18" hidden="false" customHeight="true" outlineLevel="0" collapsed="false">
      <c r="A39" s="53" t="s">
        <v>114</v>
      </c>
      <c r="B39" s="51" t="s">
        <v>108</v>
      </c>
      <c r="C39" s="54" t="s">
        <v>115</v>
      </c>
      <c r="D39" s="54"/>
      <c r="E39" s="54"/>
      <c r="F39" s="54"/>
      <c r="G39" s="54"/>
      <c r="H39" s="54"/>
      <c r="I39" s="54"/>
      <c r="J39" s="54"/>
      <c r="K39" s="54"/>
    </row>
    <row r="40" customFormat="false" ht="18" hidden="false" customHeight="true" outlineLevel="0" collapsed="false">
      <c r="A40" s="50" t="s">
        <v>36</v>
      </c>
      <c r="B40" s="51" t="s">
        <v>108</v>
      </c>
      <c r="C40" s="52" t="s">
        <v>116</v>
      </c>
      <c r="D40" s="52"/>
      <c r="E40" s="52"/>
      <c r="F40" s="52"/>
      <c r="G40" s="52"/>
      <c r="H40" s="52"/>
      <c r="I40" s="52"/>
      <c r="J40" s="52"/>
      <c r="K40" s="52"/>
    </row>
    <row r="42" customFormat="false" ht="21.75" hidden="false" customHeight="true" outlineLevel="0" collapsed="false">
      <c r="A42" s="55" t="s">
        <v>117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</row>
    <row r="43" customFormat="false" ht="18" hidden="false" customHeight="true" outlineLevel="0" collapsed="false">
      <c r="A43" s="56" t="s">
        <v>118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</row>
    <row r="44" customFormat="false" ht="18" hidden="false" customHeight="true" outlineLevel="0" collapsed="false">
      <c r="A44" s="57" t="s">
        <v>119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</row>
    <row r="45" customFormat="false" ht="18" hidden="false" customHeight="true" outlineLevel="0" collapsed="false">
      <c r="A45" s="56" t="s">
        <v>120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</row>
    <row r="46" customFormat="false" ht="18" hidden="false" customHeight="true" outlineLevel="0" collapsed="false">
      <c r="A46" s="57" t="s">
        <v>121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</row>
    <row r="47" customFormat="false" ht="18" hidden="false" customHeight="true" outlineLevel="0" collapsed="false">
      <c r="A47" s="56" t="s">
        <v>122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</row>
    <row r="48" customFormat="false" ht="18" hidden="false" customHeight="true" outlineLevel="0" collapsed="false">
      <c r="A48" s="57" t="s">
        <v>123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</row>
    <row r="49" customFormat="false" ht="18" hidden="false" customHeight="true" outlineLevel="0" collapsed="false">
      <c r="A49" s="56" t="s">
        <v>124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</row>
    <row r="50" customFormat="false" ht="18" hidden="false" customHeight="true" outlineLevel="0" collapsed="false">
      <c r="A50" s="57" t="s">
        <v>125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</row>
  </sheetData>
  <mergeCells count="45">
    <mergeCell ref="A1:K1"/>
    <mergeCell ref="A2:K2"/>
    <mergeCell ref="A4:K4"/>
    <mergeCell ref="E5:K5"/>
    <mergeCell ref="E6:K6"/>
    <mergeCell ref="E7:K7"/>
    <mergeCell ref="E8:K8"/>
    <mergeCell ref="E9:K9"/>
    <mergeCell ref="A11:K11"/>
    <mergeCell ref="F12:K12"/>
    <mergeCell ref="F13:K13"/>
    <mergeCell ref="F14:K14"/>
    <mergeCell ref="F15:K15"/>
    <mergeCell ref="F16:K16"/>
    <mergeCell ref="F17:K17"/>
    <mergeCell ref="F18:K18"/>
    <mergeCell ref="F19:K19"/>
    <mergeCell ref="F20:K20"/>
    <mergeCell ref="F21:K21"/>
    <mergeCell ref="F22:K22"/>
    <mergeCell ref="F23:K23"/>
    <mergeCell ref="F24:K24"/>
    <mergeCell ref="F25:K25"/>
    <mergeCell ref="F26:K26"/>
    <mergeCell ref="F27:K27"/>
    <mergeCell ref="F28:K28"/>
    <mergeCell ref="F29:K29"/>
    <mergeCell ref="F30:K30"/>
    <mergeCell ref="F31:K31"/>
    <mergeCell ref="F32:K32"/>
    <mergeCell ref="A34:K34"/>
    <mergeCell ref="C36:K36"/>
    <mergeCell ref="C37:K37"/>
    <mergeCell ref="C38:K38"/>
    <mergeCell ref="C39:K39"/>
    <mergeCell ref="C40:K40"/>
    <mergeCell ref="A42:K42"/>
    <mergeCell ref="A43:K43"/>
    <mergeCell ref="A44:K44"/>
    <mergeCell ref="A45:K45"/>
    <mergeCell ref="A46:K46"/>
    <mergeCell ref="A47:K47"/>
    <mergeCell ref="A48:K48"/>
    <mergeCell ref="A49:K49"/>
    <mergeCell ref="A50:K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22" min="3" style="1" width="8"/>
    <col collapsed="false" customWidth="true" hidden="false" outlineLevel="0" max="42" min="23" style="1" width="7"/>
    <col collapsed="false" customWidth="true" hidden="false" outlineLevel="0" max="43" min="43" style="1" width="10"/>
    <col collapsed="false" customWidth="true" hidden="false" outlineLevel="0" max="45" min="44" style="1" width="9"/>
    <col collapsed="false" customWidth="true" hidden="false" outlineLevel="0" max="60" min="46" style="1" width="8"/>
  </cols>
  <sheetData>
    <row r="1" customFormat="false" ht="36" hidden="false" customHeight="true" outlineLevel="0" collapsed="false">
      <c r="A1" s="58" t="s">
        <v>126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</row>
    <row r="2" customFormat="false" ht="13.5" hidden="false" customHeight="true" outlineLevel="0" collapsed="false">
      <c r="A2" s="59" t="s">
        <v>127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</row>
    <row r="3" customFormat="false" ht="4.5" hidden="false" customHeight="true" outlineLevel="0" collapsed="false"/>
    <row r="4" customFormat="false" ht="15.75" hidden="false" customHeight="true" outlineLevel="0" collapsed="false">
      <c r="A4" s="6" t="s">
        <v>128</v>
      </c>
      <c r="B4" s="6"/>
      <c r="C4" s="60" t="s">
        <v>129</v>
      </c>
      <c r="D4" s="61" t="s">
        <v>130</v>
      </c>
      <c r="E4" s="62" t="s">
        <v>131</v>
      </c>
      <c r="F4" s="63" t="s">
        <v>132</v>
      </c>
    </row>
    <row r="5" customFormat="false" ht="21.75" hidden="false" customHeight="true" outlineLevel="0" collapsed="false">
      <c r="A5" s="5" t="s">
        <v>133</v>
      </c>
      <c r="B5" s="5" t="s">
        <v>134</v>
      </c>
      <c r="C5" s="64" t="s">
        <v>135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5" t="s">
        <v>136</v>
      </c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6" t="s">
        <v>137</v>
      </c>
      <c r="AR5" s="66" t="s">
        <v>138</v>
      </c>
      <c r="AS5" s="67" t="s">
        <v>139</v>
      </c>
      <c r="AT5" s="65" t="s">
        <v>140</v>
      </c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8" t="s">
        <v>141</v>
      </c>
      <c r="BG5" s="68"/>
      <c r="BH5" s="68"/>
    </row>
    <row r="6" customFormat="false" ht="27.75" hidden="false" customHeight="true" outlineLevel="0" collapsed="false">
      <c r="A6" s="24"/>
      <c r="B6" s="69" t="s">
        <v>142</v>
      </c>
      <c r="C6" s="70" t="s">
        <v>35</v>
      </c>
      <c r="D6" s="71" t="s">
        <v>40</v>
      </c>
      <c r="E6" s="72" t="s">
        <v>45</v>
      </c>
      <c r="F6" s="73" t="s">
        <v>50</v>
      </c>
      <c r="G6" s="74" t="s">
        <v>53</v>
      </c>
      <c r="H6" s="75" t="s">
        <v>56</v>
      </c>
      <c r="I6" s="76" t="s">
        <v>59</v>
      </c>
      <c r="J6" s="77" t="s">
        <v>62</v>
      </c>
      <c r="K6" s="78" t="s">
        <v>65</v>
      </c>
      <c r="L6" s="79" t="s">
        <v>68</v>
      </c>
      <c r="M6" s="70" t="s">
        <v>71</v>
      </c>
      <c r="N6" s="71" t="s">
        <v>74</v>
      </c>
      <c r="O6" s="72" t="s">
        <v>77</v>
      </c>
      <c r="P6" s="74" t="s">
        <v>80</v>
      </c>
      <c r="Q6" s="75" t="s">
        <v>83</v>
      </c>
      <c r="R6" s="76" t="s">
        <v>86</v>
      </c>
      <c r="S6" s="73" t="s">
        <v>89</v>
      </c>
      <c r="T6" s="77" t="s">
        <v>93</v>
      </c>
      <c r="U6" s="78" t="s">
        <v>96</v>
      </c>
      <c r="V6" s="79" t="s">
        <v>99</v>
      </c>
      <c r="W6" s="70" t="s">
        <v>35</v>
      </c>
      <c r="X6" s="71" t="s">
        <v>40</v>
      </c>
      <c r="Y6" s="72" t="s">
        <v>45</v>
      </c>
      <c r="Z6" s="73" t="s">
        <v>50</v>
      </c>
      <c r="AA6" s="74" t="s">
        <v>53</v>
      </c>
      <c r="AB6" s="75" t="s">
        <v>56</v>
      </c>
      <c r="AC6" s="76" t="s">
        <v>59</v>
      </c>
      <c r="AD6" s="77" t="s">
        <v>62</v>
      </c>
      <c r="AE6" s="78" t="s">
        <v>65</v>
      </c>
      <c r="AF6" s="79" t="s">
        <v>68</v>
      </c>
      <c r="AG6" s="70" t="s">
        <v>71</v>
      </c>
      <c r="AH6" s="71" t="s">
        <v>74</v>
      </c>
      <c r="AI6" s="72" t="s">
        <v>77</v>
      </c>
      <c r="AJ6" s="74" t="s">
        <v>80</v>
      </c>
      <c r="AK6" s="75" t="s">
        <v>83</v>
      </c>
      <c r="AL6" s="76" t="s">
        <v>86</v>
      </c>
      <c r="AM6" s="73" t="s">
        <v>89</v>
      </c>
      <c r="AN6" s="77" t="s">
        <v>93</v>
      </c>
      <c r="AO6" s="78" t="s">
        <v>96</v>
      </c>
      <c r="AP6" s="79" t="s">
        <v>99</v>
      </c>
      <c r="AQ6" s="80" t="s">
        <v>143</v>
      </c>
      <c r="AR6" s="80" t="s">
        <v>144</v>
      </c>
      <c r="AS6" s="81" t="s">
        <v>145</v>
      </c>
      <c r="AT6" s="25" t="s">
        <v>146</v>
      </c>
      <c r="AU6" s="25" t="s">
        <v>147</v>
      </c>
      <c r="AV6" s="25" t="s">
        <v>148</v>
      </c>
      <c r="AW6" s="25" t="s">
        <v>149</v>
      </c>
      <c r="AX6" s="25" t="s">
        <v>82</v>
      </c>
      <c r="AY6" s="25" t="s">
        <v>150</v>
      </c>
      <c r="AZ6" s="25" t="s">
        <v>151</v>
      </c>
      <c r="BA6" s="25" t="s">
        <v>152</v>
      </c>
      <c r="BB6" s="25" t="s">
        <v>76</v>
      </c>
      <c r="BC6" s="25" t="s">
        <v>79</v>
      </c>
      <c r="BD6" s="25" t="s">
        <v>153</v>
      </c>
      <c r="BE6" s="25" t="s">
        <v>154</v>
      </c>
      <c r="BF6" s="33" t="s">
        <v>155</v>
      </c>
      <c r="BG6" s="33" t="s">
        <v>156</v>
      </c>
      <c r="BH6" s="33" t="s">
        <v>157</v>
      </c>
    </row>
    <row r="7" customFormat="false" ht="15.75" hidden="false" customHeight="true" outlineLevel="0" collapsed="false">
      <c r="A7" s="82" t="s">
        <v>158</v>
      </c>
      <c r="B7" s="82"/>
      <c r="C7" s="83" t="n">
        <v>0.05</v>
      </c>
      <c r="D7" s="83" t="n">
        <v>0.05</v>
      </c>
      <c r="E7" s="83" t="n">
        <v>0.05</v>
      </c>
      <c r="F7" s="83" t="n">
        <v>0.05</v>
      </c>
      <c r="G7" s="83" t="n">
        <v>0.05</v>
      </c>
      <c r="H7" s="83" t="n">
        <v>0.05</v>
      </c>
      <c r="I7" s="83" t="n">
        <v>0.05</v>
      </c>
      <c r="J7" s="83" t="n">
        <v>0.05</v>
      </c>
      <c r="K7" s="83" t="n">
        <v>0.05</v>
      </c>
      <c r="L7" s="83" t="n">
        <v>0.05</v>
      </c>
      <c r="M7" s="83" t="n">
        <v>0.05</v>
      </c>
      <c r="N7" s="83" t="n">
        <v>0.05</v>
      </c>
      <c r="O7" s="83" t="n">
        <v>0.05</v>
      </c>
      <c r="P7" s="83" t="n">
        <v>0.05</v>
      </c>
      <c r="Q7" s="83" t="n">
        <v>0.05</v>
      </c>
      <c r="R7" s="83" t="n">
        <v>0.05</v>
      </c>
      <c r="S7" s="83" t="n">
        <v>0.05</v>
      </c>
      <c r="T7" s="83" t="n">
        <v>0.05</v>
      </c>
      <c r="U7" s="83" t="n">
        <v>0.05</v>
      </c>
      <c r="V7" s="83" t="n">
        <v>0.05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83" t="n">
        <f aca="false">SUM(C7:V7)</f>
        <v>1</v>
      </c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customFormat="false" ht="12.75" hidden="false" customHeight="true" outlineLevel="0" collapsed="false">
      <c r="A8" s="84" t="s">
        <v>159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</row>
    <row r="9" customFormat="false" ht="21.75" hidden="false" customHeight="true" outlineLevel="0" collapsed="false">
      <c r="A9" s="85" t="s">
        <v>160</v>
      </c>
      <c r="B9" s="50" t="s">
        <v>161</v>
      </c>
      <c r="C9" s="86" t="n">
        <v>3</v>
      </c>
      <c r="D9" s="86" t="n">
        <v>35</v>
      </c>
      <c r="E9" s="86" t="n">
        <v>2</v>
      </c>
      <c r="F9" s="86" t="n">
        <v>2</v>
      </c>
      <c r="G9" s="86" t="n">
        <v>2</v>
      </c>
      <c r="H9" s="86" t="n">
        <v>1</v>
      </c>
      <c r="I9" s="86" t="n">
        <v>2</v>
      </c>
      <c r="J9" s="86" t="n">
        <v>1</v>
      </c>
      <c r="K9" s="86" t="n">
        <v>1</v>
      </c>
      <c r="L9" s="86" t="n">
        <v>1</v>
      </c>
      <c r="M9" s="86" t="n">
        <v>1</v>
      </c>
      <c r="N9" s="86" t="n">
        <v>1</v>
      </c>
      <c r="O9" s="86" t="n">
        <v>1</v>
      </c>
      <c r="P9" s="86" t="n">
        <v>2</v>
      </c>
      <c r="Q9" s="86" t="n">
        <v>1</v>
      </c>
      <c r="R9" s="86" t="n">
        <v>40</v>
      </c>
      <c r="S9" s="86" t="n">
        <v>72</v>
      </c>
      <c r="T9" s="86" t="n">
        <v>2</v>
      </c>
      <c r="U9" s="86" t="n">
        <v>1</v>
      </c>
      <c r="V9" s="86" t="n">
        <v>55</v>
      </c>
      <c r="W9" s="87" t="n">
        <f aca="false">IF(C9&gt;=5,3,IF(C9&gt;=3,2,IF(C9&gt;=1,1,0)))</f>
        <v>2</v>
      </c>
      <c r="X9" s="88" t="n">
        <f aca="false">IF(D9&gt;40,3,IF(D9&gt;15,2,IF(D9&gt;5,1,0)))</f>
        <v>2</v>
      </c>
      <c r="Y9" s="89" t="n">
        <f aca="false">IF(E9&gt;=3,3,IF(E9&gt;=2,2,IF(E9&gt;=1,1,0)))</f>
        <v>2</v>
      </c>
      <c r="Z9" s="90" t="n">
        <f aca="false">IF(F9&gt;=3,3,IF(F9&gt;=2,2,IF(F9&gt;=1,1,0)))</f>
        <v>2</v>
      </c>
      <c r="AA9" s="91" t="n">
        <f aca="false">IF(G9&gt;=3,3,IF(G9&gt;=2,2,IF(G9&gt;=1,1,0)))</f>
        <v>2</v>
      </c>
      <c r="AB9" s="92" t="n">
        <f aca="false">IF(H9&gt;=3,3,IF(H9&gt;=2,2,IF(H9&gt;=1,1,0)))</f>
        <v>1</v>
      </c>
      <c r="AC9" s="93" t="n">
        <f aca="false">IF(I9&gt;=3,3,IF(I9&gt;=2,2,IF(I9&gt;=1,1,0)))</f>
        <v>2</v>
      </c>
      <c r="AD9" s="94" t="n">
        <f aca="false">IF(J9&gt;=3,3,IF(J9&gt;=2,2,IF(J9&gt;=1,1,0)))</f>
        <v>1</v>
      </c>
      <c r="AE9" s="95" t="n">
        <f aca="false">IF(K9&gt;=3,3,IF(K9&gt;=2,2,IF(K9&gt;=1,1,0)))</f>
        <v>1</v>
      </c>
      <c r="AF9" s="90" t="n">
        <f aca="false">IF(L9&gt;=3,3,IF(L9&gt;=2,2,IF(L9&gt;=1,1,0)))</f>
        <v>1</v>
      </c>
      <c r="AG9" s="96" t="n">
        <f aca="false">IF(M9&gt;=3,3,IF(M9&gt;=2,2,IF(M9&gt;=1,1,0)))</f>
        <v>1</v>
      </c>
      <c r="AH9" s="88" t="n">
        <f aca="false">IF(N9&gt;=3,3,IF(N9&gt;=2,2,IF(N9&gt;=1,1,0)))</f>
        <v>1</v>
      </c>
      <c r="AI9" s="89" t="n">
        <f aca="false">IF(O9&gt;=3,3,IF(O9&gt;=2,2,IF(O9&gt;=1,1,0)))</f>
        <v>1</v>
      </c>
      <c r="AJ9" s="91" t="n">
        <f aca="false">IF(P9&gt;=3,3,IF(P9&gt;=2,2,IF(P9&gt;=1,1,0)))</f>
        <v>2</v>
      </c>
      <c r="AK9" s="91" t="n">
        <f aca="false">IF(Q9&gt;=3,3,IF(Q9&gt;=2,2,IF(Q9&gt;=1,1,0)))</f>
        <v>1</v>
      </c>
      <c r="AL9" s="93" t="n">
        <f aca="false">IF(R9&gt;60,3,IF(R9&gt;40,2,IF(R9&gt;25,1,0)))</f>
        <v>1</v>
      </c>
      <c r="AM9" s="90" t="n">
        <f aca="false">IF(S9&gt;70,3,IF(S9&gt;50,2,IF(S9&gt;40,1,0)))</f>
        <v>3</v>
      </c>
      <c r="AN9" s="94" t="n">
        <f aca="false">IF(T9&gt;=3,3,IF(T9&gt;=2,2,IF(T9&gt;=1,1,0)))</f>
        <v>2</v>
      </c>
      <c r="AO9" s="95" t="n">
        <f aca="false">IF(U9&gt;=3,3,IF(U9&gt;=2,2,IF(U9&gt;=1,1,0)))</f>
        <v>1</v>
      </c>
      <c r="AP9" s="90" t="n">
        <f aca="false">IF(V9&gt;70,3,IF(V9&gt;40,2,IF(V9&gt;0,1,0)))</f>
        <v>2</v>
      </c>
      <c r="AQ9" s="97" t="n">
        <f aca="false">IFERROR(SUMPRODUCT(C7:V7,W9:AP9)/SUM(C7:V7),0)</f>
        <v>1.55</v>
      </c>
      <c r="AR9" s="98" t="n">
        <f aca="false">IF(AQ9&gt;=2.5,3,IF(AQ9&gt;=1.5,2,IF(AQ9&gt;=0.5,1,0)))</f>
        <v>2</v>
      </c>
      <c r="AS9" s="99" t="str">
        <f aca="false">IF(AR9=0,"—",TEXT(AR9,"0"))</f>
        <v>2</v>
      </c>
      <c r="AT9" s="100" t="str">
        <f aca="false">IF(AR9=0,"—",TEXT(AR9,"0"))</f>
        <v>2</v>
      </c>
      <c r="AU9" s="100" t="str">
        <f aca="false">IF(AR9=0,"—",TEXT(AR9,"0"))</f>
        <v>2</v>
      </c>
      <c r="AV9" s="100" t="str">
        <f aca="false">IF(AR9=0,"—",TEXT(AR9,"0"))</f>
        <v>2</v>
      </c>
      <c r="AW9" s="101" t="s">
        <v>9</v>
      </c>
      <c r="AX9" s="101" t="s">
        <v>9</v>
      </c>
      <c r="AY9" s="101" t="s">
        <v>9</v>
      </c>
      <c r="AZ9" s="101" t="s">
        <v>9</v>
      </c>
      <c r="BA9" s="101" t="s">
        <v>9</v>
      </c>
      <c r="BB9" s="101" t="s">
        <v>9</v>
      </c>
      <c r="BC9" s="101" t="s">
        <v>9</v>
      </c>
      <c r="BD9" s="101" t="s">
        <v>9</v>
      </c>
      <c r="BE9" s="100" t="str">
        <f aca="false">IF(AR9=0,"—",TEXT(AR9,"0"))</f>
        <v>2</v>
      </c>
      <c r="BF9" s="101" t="s">
        <v>9</v>
      </c>
      <c r="BG9" s="101" t="s">
        <v>9</v>
      </c>
      <c r="BH9" s="101" t="s">
        <v>9</v>
      </c>
    </row>
    <row r="10" customFormat="false" ht="21.75" hidden="false" customHeight="true" outlineLevel="0" collapsed="false">
      <c r="A10" s="85" t="s">
        <v>162</v>
      </c>
      <c r="B10" s="53" t="s">
        <v>163</v>
      </c>
      <c r="C10" s="86" t="n">
        <v>4</v>
      </c>
      <c r="D10" s="86" t="n">
        <v>40</v>
      </c>
      <c r="E10" s="86" t="n">
        <v>3</v>
      </c>
      <c r="F10" s="86" t="n">
        <v>2</v>
      </c>
      <c r="G10" s="86" t="n">
        <v>2</v>
      </c>
      <c r="H10" s="86" t="n">
        <v>2</v>
      </c>
      <c r="I10" s="86" t="n">
        <v>2</v>
      </c>
      <c r="J10" s="86" t="n">
        <v>2</v>
      </c>
      <c r="K10" s="86" t="n">
        <v>1</v>
      </c>
      <c r="L10" s="86" t="n">
        <v>2</v>
      </c>
      <c r="M10" s="86" t="n">
        <v>2</v>
      </c>
      <c r="N10" s="86" t="n">
        <v>2</v>
      </c>
      <c r="O10" s="86" t="n">
        <v>1</v>
      </c>
      <c r="P10" s="86" t="n">
        <v>2</v>
      </c>
      <c r="Q10" s="86" t="n">
        <v>1</v>
      </c>
      <c r="R10" s="86" t="n">
        <v>45</v>
      </c>
      <c r="S10" s="86" t="n">
        <v>75</v>
      </c>
      <c r="T10" s="86" t="n">
        <v>2</v>
      </c>
      <c r="U10" s="86" t="n">
        <v>1</v>
      </c>
      <c r="V10" s="86" t="n">
        <v>60</v>
      </c>
      <c r="W10" s="87" t="n">
        <f aca="false">IF(C10&gt;=5,3,IF(C10&gt;=3,2,IF(C10&gt;=1,1,0)))</f>
        <v>2</v>
      </c>
      <c r="X10" s="88" t="n">
        <f aca="false">IF(D10&gt;40,3,IF(D10&gt;15,2,IF(D10&gt;5,1,0)))</f>
        <v>2</v>
      </c>
      <c r="Y10" s="89" t="n">
        <f aca="false">IF(E10&gt;=3,3,IF(E10&gt;=2,2,IF(E10&gt;=1,1,0)))</f>
        <v>3</v>
      </c>
      <c r="Z10" s="90" t="n">
        <f aca="false">IF(F10&gt;=3,3,IF(F10&gt;=2,2,IF(F10&gt;=1,1,0)))</f>
        <v>2</v>
      </c>
      <c r="AA10" s="91" t="n">
        <f aca="false">IF(G10&gt;=3,3,IF(G10&gt;=2,2,IF(G10&gt;=1,1,0)))</f>
        <v>2</v>
      </c>
      <c r="AB10" s="92" t="n">
        <f aca="false">IF(H10&gt;=3,3,IF(H10&gt;=2,2,IF(H10&gt;=1,1,0)))</f>
        <v>2</v>
      </c>
      <c r="AC10" s="93" t="n">
        <f aca="false">IF(I10&gt;=3,3,IF(I10&gt;=2,2,IF(I10&gt;=1,1,0)))</f>
        <v>2</v>
      </c>
      <c r="AD10" s="94" t="n">
        <f aca="false">IF(J10&gt;=3,3,IF(J10&gt;=2,2,IF(J10&gt;=1,1,0)))</f>
        <v>2</v>
      </c>
      <c r="AE10" s="95" t="n">
        <f aca="false">IF(K10&gt;=3,3,IF(K10&gt;=2,2,IF(K10&gt;=1,1,0)))</f>
        <v>1</v>
      </c>
      <c r="AF10" s="90" t="n">
        <f aca="false">IF(L10&gt;=3,3,IF(L10&gt;=2,2,IF(L10&gt;=1,1,0)))</f>
        <v>2</v>
      </c>
      <c r="AG10" s="96" t="n">
        <f aca="false">IF(M10&gt;=3,3,IF(M10&gt;=2,2,IF(M10&gt;=1,1,0)))</f>
        <v>2</v>
      </c>
      <c r="AH10" s="88" t="n">
        <f aca="false">IF(N10&gt;=3,3,IF(N10&gt;=2,2,IF(N10&gt;=1,1,0)))</f>
        <v>2</v>
      </c>
      <c r="AI10" s="89" t="n">
        <f aca="false">IF(O10&gt;=3,3,IF(O10&gt;=2,2,IF(O10&gt;=1,1,0)))</f>
        <v>1</v>
      </c>
      <c r="AJ10" s="91" t="n">
        <f aca="false">IF(P10&gt;=3,3,IF(P10&gt;=2,2,IF(P10&gt;=1,1,0)))</f>
        <v>2</v>
      </c>
      <c r="AK10" s="91" t="n">
        <f aca="false">IF(Q10&gt;=3,3,IF(Q10&gt;=2,2,IF(Q10&gt;=1,1,0)))</f>
        <v>1</v>
      </c>
      <c r="AL10" s="93" t="n">
        <f aca="false">IF(R10&gt;60,3,IF(R10&gt;40,2,IF(R10&gt;25,1,0)))</f>
        <v>2</v>
      </c>
      <c r="AM10" s="90" t="n">
        <f aca="false">IF(S10&gt;70,3,IF(S10&gt;50,2,IF(S10&gt;40,1,0)))</f>
        <v>3</v>
      </c>
      <c r="AN10" s="94" t="n">
        <f aca="false">IF(T10&gt;=3,3,IF(T10&gt;=2,2,IF(T10&gt;=1,1,0)))</f>
        <v>2</v>
      </c>
      <c r="AO10" s="95" t="n">
        <f aca="false">IF(U10&gt;=3,3,IF(U10&gt;=2,2,IF(U10&gt;=1,1,0)))</f>
        <v>1</v>
      </c>
      <c r="AP10" s="90" t="n">
        <f aca="false">IF(V10&gt;70,3,IF(V10&gt;40,2,IF(V10&gt;0,1,0)))</f>
        <v>2</v>
      </c>
      <c r="AQ10" s="97" t="n">
        <f aca="false">IFERROR(SUMPRODUCT(C7:V7,W10:AP10)/SUM(C7:V7),0)</f>
        <v>1.9</v>
      </c>
      <c r="AR10" s="98" t="n">
        <f aca="false">IF(AQ10&gt;=2.5,3,IF(AQ10&gt;=1.5,2,IF(AQ10&gt;=0.5,1,0)))</f>
        <v>2</v>
      </c>
      <c r="AS10" s="99" t="str">
        <f aca="false">IF(AR10=0,"—",TEXT(AR10,"0"))</f>
        <v>2</v>
      </c>
      <c r="AT10" s="102" t="str">
        <f aca="false">IF(AR10=0,"—",TEXT(AR10,"0"))</f>
        <v>2</v>
      </c>
      <c r="AU10" s="102" t="str">
        <f aca="false">IF(AR10=0,"—",TEXT(AR10,"0"))</f>
        <v>2</v>
      </c>
      <c r="AV10" s="102" t="str">
        <f aca="false">IF(AR10=0,"—",TEXT(AR10,"0"))</f>
        <v>2</v>
      </c>
      <c r="AW10" s="102" t="str">
        <f aca="false">IF(AR10=0,"—",TEXT(AR10,"0"))</f>
        <v>2</v>
      </c>
      <c r="AX10" s="103" t="s">
        <v>9</v>
      </c>
      <c r="AY10" s="103" t="s">
        <v>9</v>
      </c>
      <c r="AZ10" s="103" t="s">
        <v>9</v>
      </c>
      <c r="BA10" s="103" t="s">
        <v>9</v>
      </c>
      <c r="BB10" s="103" t="s">
        <v>9</v>
      </c>
      <c r="BC10" s="103" t="s">
        <v>9</v>
      </c>
      <c r="BD10" s="103" t="s">
        <v>9</v>
      </c>
      <c r="BE10" s="102" t="str">
        <f aca="false">IF(AR10=0,"—",TEXT(AR10,"0"))</f>
        <v>2</v>
      </c>
      <c r="BF10" s="103" t="s">
        <v>9</v>
      </c>
      <c r="BG10" s="103" t="s">
        <v>9</v>
      </c>
      <c r="BH10" s="103" t="s">
        <v>9</v>
      </c>
    </row>
    <row r="11" customFormat="false" ht="21.75" hidden="false" customHeight="true" outlineLevel="0" collapsed="false">
      <c r="A11" s="85" t="s">
        <v>164</v>
      </c>
      <c r="B11" s="50" t="s">
        <v>165</v>
      </c>
      <c r="C11" s="86" t="n">
        <v>5</v>
      </c>
      <c r="D11" s="86" t="n">
        <v>45</v>
      </c>
      <c r="E11" s="86" t="n">
        <v>3</v>
      </c>
      <c r="F11" s="86" t="n">
        <v>3</v>
      </c>
      <c r="G11" s="86" t="n">
        <v>3</v>
      </c>
      <c r="H11" s="86" t="n">
        <v>2</v>
      </c>
      <c r="I11" s="86" t="n">
        <v>3</v>
      </c>
      <c r="J11" s="86" t="n">
        <v>2</v>
      </c>
      <c r="K11" s="86" t="n">
        <v>2</v>
      </c>
      <c r="L11" s="86" t="n">
        <v>2</v>
      </c>
      <c r="M11" s="86" t="n">
        <v>2</v>
      </c>
      <c r="N11" s="86" t="n">
        <v>2</v>
      </c>
      <c r="O11" s="86" t="n">
        <v>2</v>
      </c>
      <c r="P11" s="86" t="n">
        <v>3</v>
      </c>
      <c r="Q11" s="86" t="n">
        <v>2</v>
      </c>
      <c r="R11" s="86" t="n">
        <v>55</v>
      </c>
      <c r="S11" s="86" t="n">
        <v>78</v>
      </c>
      <c r="T11" s="86" t="n">
        <v>3</v>
      </c>
      <c r="U11" s="86" t="n">
        <v>2</v>
      </c>
      <c r="V11" s="86" t="n">
        <v>72</v>
      </c>
      <c r="W11" s="87" t="n">
        <f aca="false">IF(C11&gt;=5,3,IF(C11&gt;=3,2,IF(C11&gt;=1,1,0)))</f>
        <v>3</v>
      </c>
      <c r="X11" s="88" t="n">
        <f aca="false">IF(D11&gt;40,3,IF(D11&gt;15,2,IF(D11&gt;5,1,0)))</f>
        <v>3</v>
      </c>
      <c r="Y11" s="89" t="n">
        <f aca="false">IF(E11&gt;=3,3,IF(E11&gt;=2,2,IF(E11&gt;=1,1,0)))</f>
        <v>3</v>
      </c>
      <c r="Z11" s="90" t="n">
        <f aca="false">IF(F11&gt;=3,3,IF(F11&gt;=2,2,IF(F11&gt;=1,1,0)))</f>
        <v>3</v>
      </c>
      <c r="AA11" s="91" t="n">
        <f aca="false">IF(G11&gt;=3,3,IF(G11&gt;=2,2,IF(G11&gt;=1,1,0)))</f>
        <v>3</v>
      </c>
      <c r="AB11" s="92" t="n">
        <f aca="false">IF(H11&gt;=3,3,IF(H11&gt;=2,2,IF(H11&gt;=1,1,0)))</f>
        <v>2</v>
      </c>
      <c r="AC11" s="93" t="n">
        <f aca="false">IF(I11&gt;=3,3,IF(I11&gt;=2,2,IF(I11&gt;=1,1,0)))</f>
        <v>3</v>
      </c>
      <c r="AD11" s="94" t="n">
        <f aca="false">IF(J11&gt;=3,3,IF(J11&gt;=2,2,IF(J11&gt;=1,1,0)))</f>
        <v>2</v>
      </c>
      <c r="AE11" s="95" t="n">
        <f aca="false">IF(K11&gt;=3,3,IF(K11&gt;=2,2,IF(K11&gt;=1,1,0)))</f>
        <v>2</v>
      </c>
      <c r="AF11" s="90" t="n">
        <f aca="false">IF(L11&gt;=3,3,IF(L11&gt;=2,2,IF(L11&gt;=1,1,0)))</f>
        <v>2</v>
      </c>
      <c r="AG11" s="96" t="n">
        <f aca="false">IF(M11&gt;=3,3,IF(M11&gt;=2,2,IF(M11&gt;=1,1,0)))</f>
        <v>2</v>
      </c>
      <c r="AH11" s="88" t="n">
        <f aca="false">IF(N11&gt;=3,3,IF(N11&gt;=2,2,IF(N11&gt;=1,1,0)))</f>
        <v>2</v>
      </c>
      <c r="AI11" s="89" t="n">
        <f aca="false">IF(O11&gt;=3,3,IF(O11&gt;=2,2,IF(O11&gt;=1,1,0)))</f>
        <v>2</v>
      </c>
      <c r="AJ11" s="91" t="n">
        <f aca="false">IF(P11&gt;=3,3,IF(P11&gt;=2,2,IF(P11&gt;=1,1,0)))</f>
        <v>3</v>
      </c>
      <c r="AK11" s="91" t="n">
        <f aca="false">IF(Q11&gt;=3,3,IF(Q11&gt;=2,2,IF(Q11&gt;=1,1,0)))</f>
        <v>2</v>
      </c>
      <c r="AL11" s="93" t="n">
        <f aca="false">IF(R11&gt;60,3,IF(R11&gt;40,2,IF(R11&gt;25,1,0)))</f>
        <v>2</v>
      </c>
      <c r="AM11" s="90" t="n">
        <f aca="false">IF(S11&gt;70,3,IF(S11&gt;50,2,IF(S11&gt;40,1,0)))</f>
        <v>3</v>
      </c>
      <c r="AN11" s="94" t="n">
        <f aca="false">IF(T11&gt;=3,3,IF(T11&gt;=2,2,IF(T11&gt;=1,1,0)))</f>
        <v>3</v>
      </c>
      <c r="AO11" s="95" t="n">
        <f aca="false">IF(U11&gt;=3,3,IF(U11&gt;=2,2,IF(U11&gt;=1,1,0)))</f>
        <v>2</v>
      </c>
      <c r="AP11" s="90" t="n">
        <f aca="false">IF(V11&gt;70,3,IF(V11&gt;40,2,IF(V11&gt;0,1,0)))</f>
        <v>3</v>
      </c>
      <c r="AQ11" s="97" t="n">
        <f aca="false">IFERROR(SUMPRODUCT(C7:V7,W11:AP11)/SUM(C7:V7),0)</f>
        <v>2.5</v>
      </c>
      <c r="AR11" s="98" t="n">
        <f aca="false">IF(AQ11&gt;=2.5,3,IF(AQ11&gt;=1.5,2,IF(AQ11&gt;=0.5,1,0)))</f>
        <v>3</v>
      </c>
      <c r="AS11" s="99" t="str">
        <f aca="false">IF(AR11=0,"—",TEXT(AR11,"0"))</f>
        <v>3</v>
      </c>
      <c r="AT11" s="100" t="str">
        <f aca="false">IF(AR11=0,"—",TEXT(AR11,"0"))</f>
        <v>3</v>
      </c>
      <c r="AU11" s="100" t="str">
        <f aca="false">IF(AR11=0,"—",TEXT(AR11,"0"))</f>
        <v>3</v>
      </c>
      <c r="AV11" s="100" t="str">
        <f aca="false">IF(AR11=0,"—",TEXT(AR11,"0"))</f>
        <v>3</v>
      </c>
      <c r="AW11" s="100" t="str">
        <f aca="false">IF(AR11=0,"—",TEXT(AR11,"0"))</f>
        <v>3</v>
      </c>
      <c r="AX11" s="100" t="str">
        <f aca="false">IF(AR11=0,"—",TEXT(AR11,"0"))</f>
        <v>3</v>
      </c>
      <c r="AY11" s="101" t="s">
        <v>9</v>
      </c>
      <c r="AZ11" s="101" t="s">
        <v>9</v>
      </c>
      <c r="BA11" s="101" t="s">
        <v>9</v>
      </c>
      <c r="BB11" s="101" t="s">
        <v>9</v>
      </c>
      <c r="BC11" s="101" t="s">
        <v>9</v>
      </c>
      <c r="BD11" s="101" t="s">
        <v>9</v>
      </c>
      <c r="BE11" s="100" t="str">
        <f aca="false">IF(AR11=0,"—",TEXT(AR11,"0"))</f>
        <v>3</v>
      </c>
      <c r="BF11" s="101" t="s">
        <v>9</v>
      </c>
      <c r="BG11" s="101" t="s">
        <v>9</v>
      </c>
      <c r="BH11" s="101" t="s">
        <v>9</v>
      </c>
    </row>
    <row r="12" customFormat="false" ht="21.75" hidden="false" customHeight="true" outlineLevel="0" collapsed="false">
      <c r="A12" s="85" t="s">
        <v>166</v>
      </c>
      <c r="B12" s="53" t="s">
        <v>167</v>
      </c>
      <c r="C12" s="86" t="n">
        <v>4</v>
      </c>
      <c r="D12" s="86" t="n">
        <v>38</v>
      </c>
      <c r="E12" s="86" t="n">
        <v>3</v>
      </c>
      <c r="F12" s="86" t="n">
        <v>2</v>
      </c>
      <c r="G12" s="86" t="n">
        <v>2</v>
      </c>
      <c r="H12" s="86" t="n">
        <v>2</v>
      </c>
      <c r="I12" s="86" t="n">
        <v>2</v>
      </c>
      <c r="J12" s="86" t="n">
        <v>1</v>
      </c>
      <c r="K12" s="86" t="n">
        <v>1</v>
      </c>
      <c r="L12" s="86" t="n">
        <v>2</v>
      </c>
      <c r="M12" s="86" t="n">
        <v>2</v>
      </c>
      <c r="N12" s="86" t="n">
        <v>1</v>
      </c>
      <c r="O12" s="86" t="n">
        <v>1</v>
      </c>
      <c r="P12" s="86" t="n">
        <v>2</v>
      </c>
      <c r="Q12" s="86" t="n">
        <v>1</v>
      </c>
      <c r="R12" s="86" t="n">
        <v>42</v>
      </c>
      <c r="S12" s="86" t="n">
        <v>73</v>
      </c>
      <c r="T12" s="86" t="n">
        <v>2</v>
      </c>
      <c r="U12" s="86" t="n">
        <v>1</v>
      </c>
      <c r="V12" s="86" t="n">
        <v>58</v>
      </c>
      <c r="W12" s="87" t="n">
        <f aca="false">IF(C12&gt;=5,3,IF(C12&gt;=3,2,IF(C12&gt;=1,1,0)))</f>
        <v>2</v>
      </c>
      <c r="X12" s="88" t="n">
        <f aca="false">IF(D12&gt;40,3,IF(D12&gt;15,2,IF(D12&gt;5,1,0)))</f>
        <v>2</v>
      </c>
      <c r="Y12" s="89" t="n">
        <f aca="false">IF(E12&gt;=3,3,IF(E12&gt;=2,2,IF(E12&gt;=1,1,0)))</f>
        <v>3</v>
      </c>
      <c r="Z12" s="90" t="n">
        <f aca="false">IF(F12&gt;=3,3,IF(F12&gt;=2,2,IF(F12&gt;=1,1,0)))</f>
        <v>2</v>
      </c>
      <c r="AA12" s="91" t="n">
        <f aca="false">IF(G12&gt;=3,3,IF(G12&gt;=2,2,IF(G12&gt;=1,1,0)))</f>
        <v>2</v>
      </c>
      <c r="AB12" s="92" t="n">
        <f aca="false">IF(H12&gt;=3,3,IF(H12&gt;=2,2,IF(H12&gt;=1,1,0)))</f>
        <v>2</v>
      </c>
      <c r="AC12" s="93" t="n">
        <f aca="false">IF(I12&gt;=3,3,IF(I12&gt;=2,2,IF(I12&gt;=1,1,0)))</f>
        <v>2</v>
      </c>
      <c r="AD12" s="94" t="n">
        <f aca="false">IF(J12&gt;=3,3,IF(J12&gt;=2,2,IF(J12&gt;=1,1,0)))</f>
        <v>1</v>
      </c>
      <c r="AE12" s="95" t="n">
        <f aca="false">IF(K12&gt;=3,3,IF(K12&gt;=2,2,IF(K12&gt;=1,1,0)))</f>
        <v>1</v>
      </c>
      <c r="AF12" s="90" t="n">
        <f aca="false">IF(L12&gt;=3,3,IF(L12&gt;=2,2,IF(L12&gt;=1,1,0)))</f>
        <v>2</v>
      </c>
      <c r="AG12" s="96" t="n">
        <f aca="false">IF(M12&gt;=3,3,IF(M12&gt;=2,2,IF(M12&gt;=1,1,0)))</f>
        <v>2</v>
      </c>
      <c r="AH12" s="88" t="n">
        <f aca="false">IF(N12&gt;=3,3,IF(N12&gt;=2,2,IF(N12&gt;=1,1,0)))</f>
        <v>1</v>
      </c>
      <c r="AI12" s="89" t="n">
        <f aca="false">IF(O12&gt;=3,3,IF(O12&gt;=2,2,IF(O12&gt;=1,1,0)))</f>
        <v>1</v>
      </c>
      <c r="AJ12" s="91" t="n">
        <f aca="false">IF(P12&gt;=3,3,IF(P12&gt;=2,2,IF(P12&gt;=1,1,0)))</f>
        <v>2</v>
      </c>
      <c r="AK12" s="91" t="n">
        <f aca="false">IF(Q12&gt;=3,3,IF(Q12&gt;=2,2,IF(Q12&gt;=1,1,0)))</f>
        <v>1</v>
      </c>
      <c r="AL12" s="93" t="n">
        <f aca="false">IF(R12&gt;60,3,IF(R12&gt;40,2,IF(R12&gt;25,1,0)))</f>
        <v>2</v>
      </c>
      <c r="AM12" s="90" t="n">
        <f aca="false">IF(S12&gt;70,3,IF(S12&gt;50,2,IF(S12&gt;40,1,0)))</f>
        <v>3</v>
      </c>
      <c r="AN12" s="94" t="n">
        <f aca="false">IF(T12&gt;=3,3,IF(T12&gt;=2,2,IF(T12&gt;=1,1,0)))</f>
        <v>2</v>
      </c>
      <c r="AO12" s="95" t="n">
        <f aca="false">IF(U12&gt;=3,3,IF(U12&gt;=2,2,IF(U12&gt;=1,1,0)))</f>
        <v>1</v>
      </c>
      <c r="AP12" s="90" t="n">
        <f aca="false">IF(V12&gt;70,3,IF(V12&gt;40,2,IF(V12&gt;0,1,0)))</f>
        <v>2</v>
      </c>
      <c r="AQ12" s="97" t="n">
        <f aca="false">IFERROR(SUMPRODUCT(C7:V7,W12:AP12)/SUM(C7:V7),0)</f>
        <v>1.8</v>
      </c>
      <c r="AR12" s="98" t="n">
        <f aca="false">IF(AQ12&gt;=2.5,3,IF(AQ12&gt;=1.5,2,IF(AQ12&gt;=0.5,1,0)))</f>
        <v>2</v>
      </c>
      <c r="AS12" s="99" t="str">
        <f aca="false">IF(AR12=0,"—",TEXT(AR12,"0"))</f>
        <v>2</v>
      </c>
      <c r="AT12" s="102" t="str">
        <f aca="false">IF(AR12=0,"—",TEXT(AR12,"0"))</f>
        <v>2</v>
      </c>
      <c r="AU12" s="102" t="str">
        <f aca="false">IF(AR12=0,"—",TEXT(AR12,"0"))</f>
        <v>2</v>
      </c>
      <c r="AV12" s="102" t="str">
        <f aca="false">IF(AR12=0,"—",TEXT(AR12,"0"))</f>
        <v>2</v>
      </c>
      <c r="AW12" s="103" t="s">
        <v>9</v>
      </c>
      <c r="AX12" s="103" t="s">
        <v>9</v>
      </c>
      <c r="AY12" s="103" t="s">
        <v>9</v>
      </c>
      <c r="AZ12" s="103" t="s">
        <v>9</v>
      </c>
      <c r="BA12" s="103" t="s">
        <v>9</v>
      </c>
      <c r="BB12" s="103" t="s">
        <v>9</v>
      </c>
      <c r="BC12" s="103" t="s">
        <v>9</v>
      </c>
      <c r="BD12" s="103" t="s">
        <v>9</v>
      </c>
      <c r="BE12" s="102" t="str">
        <f aca="false">IF(AR12=0,"—",TEXT(AR12,"0"))</f>
        <v>2</v>
      </c>
      <c r="BF12" s="103" t="s">
        <v>9</v>
      </c>
      <c r="BG12" s="103" t="s">
        <v>9</v>
      </c>
      <c r="BH12" s="103" t="s">
        <v>9</v>
      </c>
    </row>
    <row r="13" customFormat="false" ht="21.75" hidden="false" customHeight="true" outlineLevel="0" collapsed="false">
      <c r="A13" s="85" t="s">
        <v>168</v>
      </c>
      <c r="B13" s="50" t="s">
        <v>169</v>
      </c>
      <c r="C13" s="86" t="n">
        <v>4</v>
      </c>
      <c r="D13" s="86" t="n">
        <v>38</v>
      </c>
      <c r="E13" s="86" t="n">
        <v>3</v>
      </c>
      <c r="F13" s="86" t="n">
        <v>2</v>
      </c>
      <c r="G13" s="86" t="n">
        <v>2</v>
      </c>
      <c r="H13" s="86" t="n">
        <v>1</v>
      </c>
      <c r="I13" s="86" t="n">
        <v>2</v>
      </c>
      <c r="J13" s="86" t="n">
        <v>2</v>
      </c>
      <c r="K13" s="86" t="n">
        <v>1</v>
      </c>
      <c r="L13" s="86" t="n">
        <v>2</v>
      </c>
      <c r="M13" s="86" t="n">
        <v>2</v>
      </c>
      <c r="N13" s="86" t="n">
        <v>1</v>
      </c>
      <c r="O13" s="86" t="n">
        <v>2</v>
      </c>
      <c r="P13" s="86" t="n">
        <v>2</v>
      </c>
      <c r="Q13" s="86" t="n">
        <v>2</v>
      </c>
      <c r="R13" s="86" t="n">
        <v>48</v>
      </c>
      <c r="S13" s="86" t="n">
        <v>74</v>
      </c>
      <c r="T13" s="86" t="n">
        <v>2</v>
      </c>
      <c r="U13" s="86" t="n">
        <v>2</v>
      </c>
      <c r="V13" s="86" t="n">
        <v>65</v>
      </c>
      <c r="W13" s="87" t="n">
        <f aca="false">IF(C13&gt;=5,3,IF(C13&gt;=3,2,IF(C13&gt;=1,1,0)))</f>
        <v>2</v>
      </c>
      <c r="X13" s="88" t="n">
        <f aca="false">IF(D13&gt;40,3,IF(D13&gt;15,2,IF(D13&gt;5,1,0)))</f>
        <v>2</v>
      </c>
      <c r="Y13" s="89" t="n">
        <f aca="false">IF(E13&gt;=3,3,IF(E13&gt;=2,2,IF(E13&gt;=1,1,0)))</f>
        <v>3</v>
      </c>
      <c r="Z13" s="90" t="n">
        <f aca="false">IF(F13&gt;=3,3,IF(F13&gt;=2,2,IF(F13&gt;=1,1,0)))</f>
        <v>2</v>
      </c>
      <c r="AA13" s="91" t="n">
        <f aca="false">IF(G13&gt;=3,3,IF(G13&gt;=2,2,IF(G13&gt;=1,1,0)))</f>
        <v>2</v>
      </c>
      <c r="AB13" s="92" t="n">
        <f aca="false">IF(H13&gt;=3,3,IF(H13&gt;=2,2,IF(H13&gt;=1,1,0)))</f>
        <v>1</v>
      </c>
      <c r="AC13" s="93" t="n">
        <f aca="false">IF(I13&gt;=3,3,IF(I13&gt;=2,2,IF(I13&gt;=1,1,0)))</f>
        <v>2</v>
      </c>
      <c r="AD13" s="94" t="n">
        <f aca="false">IF(J13&gt;=3,3,IF(J13&gt;=2,2,IF(J13&gt;=1,1,0)))</f>
        <v>2</v>
      </c>
      <c r="AE13" s="95" t="n">
        <f aca="false">IF(K13&gt;=3,3,IF(K13&gt;=2,2,IF(K13&gt;=1,1,0)))</f>
        <v>1</v>
      </c>
      <c r="AF13" s="90" t="n">
        <f aca="false">IF(L13&gt;=3,3,IF(L13&gt;=2,2,IF(L13&gt;=1,1,0)))</f>
        <v>2</v>
      </c>
      <c r="AG13" s="96" t="n">
        <f aca="false">IF(M13&gt;=3,3,IF(M13&gt;=2,2,IF(M13&gt;=1,1,0)))</f>
        <v>2</v>
      </c>
      <c r="AH13" s="88" t="n">
        <f aca="false">IF(N13&gt;=3,3,IF(N13&gt;=2,2,IF(N13&gt;=1,1,0)))</f>
        <v>1</v>
      </c>
      <c r="AI13" s="89" t="n">
        <f aca="false">IF(O13&gt;=3,3,IF(O13&gt;=2,2,IF(O13&gt;=1,1,0)))</f>
        <v>2</v>
      </c>
      <c r="AJ13" s="91" t="n">
        <f aca="false">IF(P13&gt;=3,3,IF(P13&gt;=2,2,IF(P13&gt;=1,1,0)))</f>
        <v>2</v>
      </c>
      <c r="AK13" s="91" t="n">
        <f aca="false">IF(Q13&gt;=3,3,IF(Q13&gt;=2,2,IF(Q13&gt;=1,1,0)))</f>
        <v>2</v>
      </c>
      <c r="AL13" s="93" t="n">
        <f aca="false">IF(R13&gt;60,3,IF(R13&gt;40,2,IF(R13&gt;25,1,0)))</f>
        <v>2</v>
      </c>
      <c r="AM13" s="90" t="n">
        <f aca="false">IF(S13&gt;70,3,IF(S13&gt;50,2,IF(S13&gt;40,1,0)))</f>
        <v>3</v>
      </c>
      <c r="AN13" s="94" t="n">
        <f aca="false">IF(T13&gt;=3,3,IF(T13&gt;=2,2,IF(T13&gt;=1,1,0)))</f>
        <v>2</v>
      </c>
      <c r="AO13" s="95" t="n">
        <f aca="false">IF(U13&gt;=3,3,IF(U13&gt;=2,2,IF(U13&gt;=1,1,0)))</f>
        <v>2</v>
      </c>
      <c r="AP13" s="90" t="n">
        <f aca="false">IF(V13&gt;70,3,IF(V13&gt;40,2,IF(V13&gt;0,1,0)))</f>
        <v>2</v>
      </c>
      <c r="AQ13" s="97" t="n">
        <f aca="false">IFERROR(SUMPRODUCT(C7:V7,W13:AP13)/SUM(C7:V7),0)</f>
        <v>1.95</v>
      </c>
      <c r="AR13" s="98" t="n">
        <f aca="false">IF(AQ13&gt;=2.5,3,IF(AQ13&gt;=1.5,2,IF(AQ13&gt;=0.5,1,0)))</f>
        <v>2</v>
      </c>
      <c r="AS13" s="99" t="str">
        <f aca="false">IF(AR13=0,"—",TEXT(AR13,"0"))</f>
        <v>2</v>
      </c>
      <c r="AT13" s="100" t="str">
        <f aca="false">IF(AR13=0,"—",TEXT(AR13,"0"))</f>
        <v>2</v>
      </c>
      <c r="AU13" s="100" t="str">
        <f aca="false">IF(AR13=0,"—",TEXT(AR13,"0"))</f>
        <v>2</v>
      </c>
      <c r="AV13" s="101" t="s">
        <v>9</v>
      </c>
      <c r="AW13" s="101" t="s">
        <v>9</v>
      </c>
      <c r="AX13" s="101" t="s">
        <v>9</v>
      </c>
      <c r="AY13" s="101" t="s">
        <v>9</v>
      </c>
      <c r="AZ13" s="101" t="s">
        <v>9</v>
      </c>
      <c r="BA13" s="101" t="s">
        <v>9</v>
      </c>
      <c r="BB13" s="101" t="s">
        <v>9</v>
      </c>
      <c r="BC13" s="101" t="s">
        <v>9</v>
      </c>
      <c r="BD13" s="101" t="s">
        <v>9</v>
      </c>
      <c r="BE13" s="100" t="str">
        <f aca="false">IF(AR13=0,"—",TEXT(AR13,"0"))</f>
        <v>2</v>
      </c>
      <c r="BF13" s="101" t="s">
        <v>9</v>
      </c>
      <c r="BG13" s="101" t="s">
        <v>9</v>
      </c>
      <c r="BH13" s="101" t="s">
        <v>9</v>
      </c>
    </row>
    <row r="15" customFormat="false" ht="21.75" hidden="false" customHeight="true" outlineLevel="0" collapsed="false">
      <c r="A15" s="104" t="s">
        <v>170</v>
      </c>
      <c r="B15" s="104"/>
      <c r="C15" s="105" t="n">
        <f aca="false">AVERAGE(C9:C13)</f>
        <v>4</v>
      </c>
      <c r="D15" s="105" t="n">
        <f aca="false">AVERAGE(D9:D13)</f>
        <v>39.2</v>
      </c>
      <c r="E15" s="105" t="n">
        <f aca="false">AVERAGE(E9:E13)</f>
        <v>2.8</v>
      </c>
      <c r="F15" s="105" t="n">
        <f aca="false">AVERAGE(F9:F13)</f>
        <v>2.2</v>
      </c>
      <c r="G15" s="105" t="n">
        <f aca="false">AVERAGE(G9:G13)</f>
        <v>2.2</v>
      </c>
      <c r="H15" s="105" t="n">
        <f aca="false">AVERAGE(H9:H13)</f>
        <v>1.6</v>
      </c>
      <c r="I15" s="105" t="n">
        <f aca="false">AVERAGE(I9:I13)</f>
        <v>2.2</v>
      </c>
      <c r="J15" s="105" t="n">
        <f aca="false">AVERAGE(J9:J13)</f>
        <v>1.6</v>
      </c>
      <c r="K15" s="105" t="n">
        <f aca="false">AVERAGE(K9:K13)</f>
        <v>1.2</v>
      </c>
      <c r="L15" s="105" t="n">
        <f aca="false">AVERAGE(L9:L13)</f>
        <v>1.8</v>
      </c>
      <c r="M15" s="105" t="n">
        <f aca="false">AVERAGE(M9:M13)</f>
        <v>1.8</v>
      </c>
      <c r="N15" s="105" t="n">
        <f aca="false">AVERAGE(N9:N13)</f>
        <v>1.4</v>
      </c>
      <c r="O15" s="105" t="n">
        <f aca="false">AVERAGE(O9:O13)</f>
        <v>1.4</v>
      </c>
      <c r="P15" s="105" t="n">
        <f aca="false">AVERAGE(P9:P13)</f>
        <v>2.2</v>
      </c>
      <c r="Q15" s="105" t="n">
        <f aca="false">AVERAGE(Q9:Q13)</f>
        <v>1.4</v>
      </c>
      <c r="R15" s="105" t="n">
        <f aca="false">AVERAGE(R9:R13)</f>
        <v>46</v>
      </c>
      <c r="S15" s="105" t="n">
        <f aca="false">AVERAGE(S9:S13)</f>
        <v>74.4</v>
      </c>
      <c r="T15" s="105" t="n">
        <f aca="false">AVERAGE(T9:T13)</f>
        <v>2.2</v>
      </c>
      <c r="U15" s="105" t="n">
        <f aca="false">AVERAGE(U9:U13)</f>
        <v>1.4</v>
      </c>
      <c r="V15" s="105" t="n">
        <f aca="false">AVERAGE(V9:V13)</f>
        <v>62</v>
      </c>
      <c r="W15" s="105" t="n">
        <f aca="false">AVERAGE(W9:W13)</f>
        <v>2.2</v>
      </c>
      <c r="X15" s="105" t="n">
        <f aca="false">AVERAGE(X9:X13)</f>
        <v>2.2</v>
      </c>
      <c r="Y15" s="105" t="n">
        <f aca="false">AVERAGE(Y9:Y13)</f>
        <v>2.8</v>
      </c>
      <c r="Z15" s="105" t="n">
        <f aca="false">AVERAGE(Z9:Z13)</f>
        <v>2.2</v>
      </c>
      <c r="AA15" s="105" t="n">
        <f aca="false">AVERAGE(AA9:AA13)</f>
        <v>2.2</v>
      </c>
      <c r="AB15" s="105" t="n">
        <f aca="false">AVERAGE(AB9:AB13)</f>
        <v>1.6</v>
      </c>
      <c r="AC15" s="105" t="n">
        <f aca="false">AVERAGE(AC9:AC13)</f>
        <v>2.2</v>
      </c>
      <c r="AD15" s="105" t="n">
        <f aca="false">AVERAGE(AD9:AD13)</f>
        <v>1.6</v>
      </c>
      <c r="AE15" s="105" t="n">
        <f aca="false">AVERAGE(AE9:AE13)</f>
        <v>1.2</v>
      </c>
      <c r="AF15" s="105" t="n">
        <f aca="false">AVERAGE(AF9:AF13)</f>
        <v>1.8</v>
      </c>
      <c r="AG15" s="105" t="n">
        <f aca="false">AVERAGE(AG9:AG13)</f>
        <v>1.8</v>
      </c>
      <c r="AH15" s="105" t="n">
        <f aca="false">AVERAGE(AH9:AH13)</f>
        <v>1.4</v>
      </c>
      <c r="AI15" s="105" t="n">
        <f aca="false">AVERAGE(AI9:AI13)</f>
        <v>1.4</v>
      </c>
      <c r="AJ15" s="105" t="n">
        <f aca="false">AVERAGE(AJ9:AJ13)</f>
        <v>2.2</v>
      </c>
      <c r="AK15" s="105" t="n">
        <f aca="false">AVERAGE(AK9:AK13)</f>
        <v>1.4</v>
      </c>
      <c r="AL15" s="105" t="n">
        <f aca="false">AVERAGE(AL9:AL13)</f>
        <v>1.8</v>
      </c>
      <c r="AM15" s="105" t="n">
        <f aca="false">AVERAGE(AM9:AM13)</f>
        <v>3</v>
      </c>
      <c r="AN15" s="105" t="n">
        <f aca="false">AVERAGE(AN9:AN13)</f>
        <v>2.2</v>
      </c>
      <c r="AO15" s="105" t="n">
        <f aca="false">AVERAGE(AO9:AO13)</f>
        <v>1.4</v>
      </c>
      <c r="AP15" s="105" t="n">
        <f aca="false">AVERAGE(AP9:AP13)</f>
        <v>2.2</v>
      </c>
      <c r="AQ15" s="106" t="n">
        <f aca="false">AVERAGE(AQ9:AQ13)</f>
        <v>1.94</v>
      </c>
      <c r="AR15" s="105" t="n">
        <f aca="false">AVERAGE(AR9:AR13)</f>
        <v>2.2</v>
      </c>
      <c r="AS15" s="107"/>
      <c r="AT15" s="105" t="str">
        <f aca="false">IFERROR(AVERAGEIF(AT9:AT13,"&lt;&gt;—"),"")</f>
        <v/>
      </c>
      <c r="AU15" s="105" t="str">
        <f aca="false">IFERROR(AVERAGEIF(AU9:AU13,"&lt;&gt;—"),"")</f>
        <v/>
      </c>
      <c r="AV15" s="105" t="str">
        <f aca="false">IFERROR(AVERAGEIF(AV9:AV13,"&lt;&gt;—"),"")</f>
        <v/>
      </c>
      <c r="AW15" s="105" t="str">
        <f aca="false">IFERROR(AVERAGEIF(AW9:AW13,"&lt;&gt;—"),"")</f>
        <v/>
      </c>
      <c r="AX15" s="105" t="str">
        <f aca="false">IFERROR(AVERAGEIF(AX9:AX13,"&lt;&gt;—"),"")</f>
        <v/>
      </c>
      <c r="AY15" s="105" t="str">
        <f aca="false">IFERROR(AVERAGEIF(AY9:AY13,"&lt;&gt;—"),"")</f>
        <v/>
      </c>
      <c r="AZ15" s="105" t="str">
        <f aca="false">IFERROR(AVERAGEIF(AZ9:AZ13,"&lt;&gt;—"),"")</f>
        <v/>
      </c>
      <c r="BA15" s="105" t="str">
        <f aca="false">IFERROR(AVERAGEIF(BA9:BA13,"&lt;&gt;—"),"")</f>
        <v/>
      </c>
      <c r="BB15" s="105" t="str">
        <f aca="false">IFERROR(AVERAGEIF(BB9:BB13,"&lt;&gt;—"),"")</f>
        <v/>
      </c>
      <c r="BC15" s="105" t="str">
        <f aca="false">IFERROR(AVERAGEIF(BC9:BC13,"&lt;&gt;—"),"")</f>
        <v/>
      </c>
      <c r="BD15" s="105" t="str">
        <f aca="false">IFERROR(AVERAGEIF(BD9:BD13,"&lt;&gt;—"),"")</f>
        <v/>
      </c>
      <c r="BE15" s="105" t="str">
        <f aca="false">IFERROR(AVERAGEIF(BE9:BE13,"&lt;&gt;—"),"")</f>
        <v/>
      </c>
      <c r="BF15" s="105" t="str">
        <f aca="false">IFERROR(AVERAGEIF(BF9:BF13,"&lt;&gt;—"),"")</f>
        <v/>
      </c>
      <c r="BG15" s="105" t="str">
        <f aca="false">IFERROR(AVERAGEIF(BG9:BG13,"&lt;&gt;—"),"")</f>
        <v/>
      </c>
      <c r="BH15" s="105" t="str">
        <f aca="false">IFERROR(AVERAGEIF(BH9:BH13,"&lt;&gt;—"),"")</f>
        <v/>
      </c>
    </row>
  </sheetData>
  <mergeCells count="10">
    <mergeCell ref="A1:BH1"/>
    <mergeCell ref="A2:BH2"/>
    <mergeCell ref="A4:B4"/>
    <mergeCell ref="C5:V5"/>
    <mergeCell ref="W5:AP5"/>
    <mergeCell ref="AT5:BE5"/>
    <mergeCell ref="BF5:BH5"/>
    <mergeCell ref="A7:B7"/>
    <mergeCell ref="A8:BH8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22" min="3" style="1" width="8"/>
    <col collapsed="false" customWidth="true" hidden="false" outlineLevel="0" max="42" min="23" style="1" width="7"/>
    <col collapsed="false" customWidth="true" hidden="false" outlineLevel="0" max="43" min="43" style="1" width="10"/>
    <col collapsed="false" customWidth="true" hidden="false" outlineLevel="0" max="45" min="44" style="1" width="9"/>
    <col collapsed="false" customWidth="true" hidden="false" outlineLevel="0" max="60" min="46" style="1" width="8"/>
  </cols>
  <sheetData>
    <row r="1" customFormat="false" ht="36" hidden="false" customHeight="true" outlineLevel="0" collapsed="false">
      <c r="A1" s="58" t="s">
        <v>171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</row>
    <row r="2" customFormat="false" ht="13.5" hidden="false" customHeight="true" outlineLevel="0" collapsed="false">
      <c r="A2" s="59" t="s">
        <v>127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</row>
    <row r="3" customFormat="false" ht="4.5" hidden="false" customHeight="true" outlineLevel="0" collapsed="false"/>
    <row r="4" customFormat="false" ht="15.75" hidden="false" customHeight="true" outlineLevel="0" collapsed="false">
      <c r="A4" s="6" t="s">
        <v>128</v>
      </c>
      <c r="B4" s="6"/>
      <c r="C4" s="60" t="s">
        <v>129</v>
      </c>
      <c r="D4" s="61" t="s">
        <v>130</v>
      </c>
      <c r="E4" s="62" t="s">
        <v>131</v>
      </c>
      <c r="F4" s="63" t="s">
        <v>132</v>
      </c>
    </row>
    <row r="5" customFormat="false" ht="21.75" hidden="false" customHeight="true" outlineLevel="0" collapsed="false">
      <c r="A5" s="5" t="s">
        <v>133</v>
      </c>
      <c r="B5" s="5" t="s">
        <v>134</v>
      </c>
      <c r="C5" s="64" t="s">
        <v>135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5" t="s">
        <v>136</v>
      </c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6" t="s">
        <v>137</v>
      </c>
      <c r="AR5" s="66" t="s">
        <v>138</v>
      </c>
      <c r="AS5" s="67" t="s">
        <v>139</v>
      </c>
      <c r="AT5" s="65" t="s">
        <v>140</v>
      </c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8" t="s">
        <v>141</v>
      </c>
      <c r="BG5" s="68"/>
      <c r="BH5" s="68"/>
    </row>
    <row r="6" customFormat="false" ht="27.75" hidden="false" customHeight="true" outlineLevel="0" collapsed="false">
      <c r="A6" s="24"/>
      <c r="B6" s="69" t="s">
        <v>142</v>
      </c>
      <c r="C6" s="70" t="s">
        <v>35</v>
      </c>
      <c r="D6" s="71" t="s">
        <v>40</v>
      </c>
      <c r="E6" s="72" t="s">
        <v>45</v>
      </c>
      <c r="F6" s="73" t="s">
        <v>50</v>
      </c>
      <c r="G6" s="74" t="s">
        <v>53</v>
      </c>
      <c r="H6" s="75" t="s">
        <v>56</v>
      </c>
      <c r="I6" s="76" t="s">
        <v>59</v>
      </c>
      <c r="J6" s="77" t="s">
        <v>62</v>
      </c>
      <c r="K6" s="78" t="s">
        <v>65</v>
      </c>
      <c r="L6" s="79" t="s">
        <v>68</v>
      </c>
      <c r="M6" s="70" t="s">
        <v>71</v>
      </c>
      <c r="N6" s="71" t="s">
        <v>74</v>
      </c>
      <c r="O6" s="72" t="s">
        <v>77</v>
      </c>
      <c r="P6" s="74" t="s">
        <v>80</v>
      </c>
      <c r="Q6" s="75" t="s">
        <v>83</v>
      </c>
      <c r="R6" s="76" t="s">
        <v>86</v>
      </c>
      <c r="S6" s="73" t="s">
        <v>89</v>
      </c>
      <c r="T6" s="77" t="s">
        <v>93</v>
      </c>
      <c r="U6" s="78" t="s">
        <v>96</v>
      </c>
      <c r="V6" s="79" t="s">
        <v>99</v>
      </c>
      <c r="W6" s="70" t="s">
        <v>35</v>
      </c>
      <c r="X6" s="71" t="s">
        <v>40</v>
      </c>
      <c r="Y6" s="72" t="s">
        <v>45</v>
      </c>
      <c r="Z6" s="73" t="s">
        <v>50</v>
      </c>
      <c r="AA6" s="74" t="s">
        <v>53</v>
      </c>
      <c r="AB6" s="75" t="s">
        <v>56</v>
      </c>
      <c r="AC6" s="76" t="s">
        <v>59</v>
      </c>
      <c r="AD6" s="77" t="s">
        <v>62</v>
      </c>
      <c r="AE6" s="78" t="s">
        <v>65</v>
      </c>
      <c r="AF6" s="79" t="s">
        <v>68</v>
      </c>
      <c r="AG6" s="70" t="s">
        <v>71</v>
      </c>
      <c r="AH6" s="71" t="s">
        <v>74</v>
      </c>
      <c r="AI6" s="72" t="s">
        <v>77</v>
      </c>
      <c r="AJ6" s="74" t="s">
        <v>80</v>
      </c>
      <c r="AK6" s="75" t="s">
        <v>83</v>
      </c>
      <c r="AL6" s="76" t="s">
        <v>86</v>
      </c>
      <c r="AM6" s="73" t="s">
        <v>89</v>
      </c>
      <c r="AN6" s="77" t="s">
        <v>93</v>
      </c>
      <c r="AO6" s="78" t="s">
        <v>96</v>
      </c>
      <c r="AP6" s="79" t="s">
        <v>99</v>
      </c>
      <c r="AQ6" s="80" t="s">
        <v>143</v>
      </c>
      <c r="AR6" s="80" t="s">
        <v>144</v>
      </c>
      <c r="AS6" s="81" t="s">
        <v>145</v>
      </c>
      <c r="AT6" s="25" t="s">
        <v>146</v>
      </c>
      <c r="AU6" s="25" t="s">
        <v>147</v>
      </c>
      <c r="AV6" s="25" t="s">
        <v>148</v>
      </c>
      <c r="AW6" s="25" t="s">
        <v>149</v>
      </c>
      <c r="AX6" s="25" t="s">
        <v>82</v>
      </c>
      <c r="AY6" s="25" t="s">
        <v>150</v>
      </c>
      <c r="AZ6" s="25" t="s">
        <v>151</v>
      </c>
      <c r="BA6" s="25" t="s">
        <v>152</v>
      </c>
      <c r="BB6" s="25" t="s">
        <v>76</v>
      </c>
      <c r="BC6" s="25" t="s">
        <v>79</v>
      </c>
      <c r="BD6" s="25" t="s">
        <v>153</v>
      </c>
      <c r="BE6" s="25" t="s">
        <v>154</v>
      </c>
      <c r="BF6" s="33" t="s">
        <v>155</v>
      </c>
      <c r="BG6" s="33" t="s">
        <v>156</v>
      </c>
      <c r="BH6" s="33" t="s">
        <v>157</v>
      </c>
    </row>
    <row r="7" customFormat="false" ht="15.75" hidden="false" customHeight="true" outlineLevel="0" collapsed="false">
      <c r="A7" s="82" t="s">
        <v>158</v>
      </c>
      <c r="B7" s="82"/>
      <c r="C7" s="83" t="n">
        <v>0.05</v>
      </c>
      <c r="D7" s="83" t="n">
        <v>0.05</v>
      </c>
      <c r="E7" s="83" t="n">
        <v>0.05</v>
      </c>
      <c r="F7" s="83" t="n">
        <v>0.05</v>
      </c>
      <c r="G7" s="83" t="n">
        <v>0.05</v>
      </c>
      <c r="H7" s="83" t="n">
        <v>0.05</v>
      </c>
      <c r="I7" s="83" t="n">
        <v>0.05</v>
      </c>
      <c r="J7" s="83" t="n">
        <v>0.05</v>
      </c>
      <c r="K7" s="83" t="n">
        <v>0.05</v>
      </c>
      <c r="L7" s="83" t="n">
        <v>0.05</v>
      </c>
      <c r="M7" s="83" t="n">
        <v>0.05</v>
      </c>
      <c r="N7" s="83" t="n">
        <v>0.05</v>
      </c>
      <c r="O7" s="83" t="n">
        <v>0.05</v>
      </c>
      <c r="P7" s="83" t="n">
        <v>0.05</v>
      </c>
      <c r="Q7" s="83" t="n">
        <v>0.05</v>
      </c>
      <c r="R7" s="83" t="n">
        <v>0.05</v>
      </c>
      <c r="S7" s="83" t="n">
        <v>0.05</v>
      </c>
      <c r="T7" s="83" t="n">
        <v>0.05</v>
      </c>
      <c r="U7" s="83" t="n">
        <v>0.05</v>
      </c>
      <c r="V7" s="83" t="n">
        <v>0.05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83" t="n">
        <f aca="false">SUM(C7:V7)</f>
        <v>1</v>
      </c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customFormat="false" ht="12.75" hidden="false" customHeight="true" outlineLevel="0" collapsed="false">
      <c r="A8" s="84" t="s">
        <v>159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</row>
    <row r="9" customFormat="false" ht="21.75" hidden="false" customHeight="true" outlineLevel="0" collapsed="false">
      <c r="A9" s="85" t="s">
        <v>160</v>
      </c>
      <c r="B9" s="50" t="s">
        <v>172</v>
      </c>
      <c r="C9" s="86" t="n">
        <v>2</v>
      </c>
      <c r="D9" s="86" t="n">
        <v>28</v>
      </c>
      <c r="E9" s="86" t="n">
        <v>2</v>
      </c>
      <c r="F9" s="86" t="n">
        <v>1</v>
      </c>
      <c r="G9" s="86" t="n">
        <v>2</v>
      </c>
      <c r="H9" s="86" t="n">
        <v>1</v>
      </c>
      <c r="I9" s="86" t="n">
        <v>1</v>
      </c>
      <c r="J9" s="86" t="n">
        <v>1</v>
      </c>
      <c r="K9" s="86" t="n">
        <v>1</v>
      </c>
      <c r="L9" s="86" t="n">
        <v>1</v>
      </c>
      <c r="M9" s="86" t="n">
        <v>1</v>
      </c>
      <c r="N9" s="86" t="n">
        <v>1</v>
      </c>
      <c r="O9" s="86" t="n">
        <v>1</v>
      </c>
      <c r="P9" s="86" t="n">
        <v>1</v>
      </c>
      <c r="Q9" s="86" t="n">
        <v>1</v>
      </c>
      <c r="R9" s="86" t="n">
        <v>32</v>
      </c>
      <c r="S9" s="86" t="n">
        <v>65</v>
      </c>
      <c r="T9" s="86" t="n">
        <v>1</v>
      </c>
      <c r="U9" s="86" t="n">
        <v>1</v>
      </c>
      <c r="V9" s="86" t="n">
        <v>42</v>
      </c>
      <c r="W9" s="87" t="n">
        <f aca="false">IF(C9&gt;=5,3,IF(C9&gt;=3,2,IF(C9&gt;=1,1,0)))</f>
        <v>1</v>
      </c>
      <c r="X9" s="88" t="n">
        <f aca="false">IF(D9&gt;40,3,IF(D9&gt;15,2,IF(D9&gt;5,1,0)))</f>
        <v>2</v>
      </c>
      <c r="Y9" s="89" t="n">
        <f aca="false">IF(E9&gt;=3,3,IF(E9&gt;=2,2,IF(E9&gt;=1,1,0)))</f>
        <v>2</v>
      </c>
      <c r="Z9" s="90" t="n">
        <f aca="false">IF(F9&gt;=3,3,IF(F9&gt;=2,2,IF(F9&gt;=1,1,0)))</f>
        <v>1</v>
      </c>
      <c r="AA9" s="91" t="n">
        <f aca="false">IF(G9&gt;=3,3,IF(G9&gt;=2,2,IF(G9&gt;=1,1,0)))</f>
        <v>2</v>
      </c>
      <c r="AB9" s="92" t="n">
        <f aca="false">IF(H9&gt;=3,3,IF(H9&gt;=2,2,IF(H9&gt;=1,1,0)))</f>
        <v>1</v>
      </c>
      <c r="AC9" s="93" t="n">
        <f aca="false">IF(I9&gt;=3,3,IF(I9&gt;=2,2,IF(I9&gt;=1,1,0)))</f>
        <v>1</v>
      </c>
      <c r="AD9" s="94" t="n">
        <f aca="false">IF(J9&gt;=3,3,IF(J9&gt;=2,2,IF(J9&gt;=1,1,0)))</f>
        <v>1</v>
      </c>
      <c r="AE9" s="95" t="n">
        <f aca="false">IF(K9&gt;=3,3,IF(K9&gt;=2,2,IF(K9&gt;=1,1,0)))</f>
        <v>1</v>
      </c>
      <c r="AF9" s="90" t="n">
        <f aca="false">IF(L9&gt;=3,3,IF(L9&gt;=2,2,IF(L9&gt;=1,1,0)))</f>
        <v>1</v>
      </c>
      <c r="AG9" s="96" t="n">
        <f aca="false">IF(M9&gt;=3,3,IF(M9&gt;=2,2,IF(M9&gt;=1,1,0)))</f>
        <v>1</v>
      </c>
      <c r="AH9" s="88" t="n">
        <f aca="false">IF(N9&gt;=3,3,IF(N9&gt;=2,2,IF(N9&gt;=1,1,0)))</f>
        <v>1</v>
      </c>
      <c r="AI9" s="89" t="n">
        <f aca="false">IF(O9&gt;=3,3,IF(O9&gt;=2,2,IF(O9&gt;=1,1,0)))</f>
        <v>1</v>
      </c>
      <c r="AJ9" s="91" t="n">
        <f aca="false">IF(P9&gt;=3,3,IF(P9&gt;=2,2,IF(P9&gt;=1,1,0)))</f>
        <v>1</v>
      </c>
      <c r="AK9" s="91" t="n">
        <f aca="false">IF(Q9&gt;=3,3,IF(Q9&gt;=2,2,IF(Q9&gt;=1,1,0)))</f>
        <v>1</v>
      </c>
      <c r="AL9" s="93" t="n">
        <f aca="false">IF(R9&gt;60,3,IF(R9&gt;40,2,IF(R9&gt;25,1,0)))</f>
        <v>1</v>
      </c>
      <c r="AM9" s="90" t="n">
        <f aca="false">IF(S9&gt;70,3,IF(S9&gt;50,2,IF(S9&gt;40,1,0)))</f>
        <v>2</v>
      </c>
      <c r="AN9" s="94" t="n">
        <f aca="false">IF(T9&gt;=3,3,IF(T9&gt;=2,2,IF(T9&gt;=1,1,0)))</f>
        <v>1</v>
      </c>
      <c r="AO9" s="95" t="n">
        <f aca="false">IF(U9&gt;=3,3,IF(U9&gt;=2,2,IF(U9&gt;=1,1,0)))</f>
        <v>1</v>
      </c>
      <c r="AP9" s="90" t="n">
        <f aca="false">IF(V9&gt;70,3,IF(V9&gt;40,2,IF(V9&gt;0,1,0)))</f>
        <v>2</v>
      </c>
      <c r="AQ9" s="97" t="n">
        <f aca="false">IFERROR(SUMPRODUCT(C7:V7,W9:AP9)/SUM(C7:V7),0)</f>
        <v>1.25</v>
      </c>
      <c r="AR9" s="98" t="n">
        <f aca="false">IF(AQ9&gt;=2.5,3,IF(AQ9&gt;=1.5,2,IF(AQ9&gt;=0.5,1,0)))</f>
        <v>1</v>
      </c>
      <c r="AS9" s="99" t="str">
        <f aca="false">IF(AR9=0,"—",TEXT(AR9,"0"))</f>
        <v>1</v>
      </c>
      <c r="AT9" s="100" t="str">
        <f aca="false">IF(AR9=0,"—",TEXT(AR9,"0"))</f>
        <v>1</v>
      </c>
      <c r="AU9" s="100" t="str">
        <f aca="false">IF(AR9=0,"—",TEXT(AR9,"0"))</f>
        <v>1</v>
      </c>
      <c r="AV9" s="100" t="str">
        <f aca="false">IF(AR9=0,"—",TEXT(AR9,"0"))</f>
        <v>1</v>
      </c>
      <c r="AW9" s="101" t="s">
        <v>9</v>
      </c>
      <c r="AX9" s="101" t="s">
        <v>9</v>
      </c>
      <c r="AY9" s="101" t="s">
        <v>9</v>
      </c>
      <c r="AZ9" s="101" t="s">
        <v>9</v>
      </c>
      <c r="BA9" s="101" t="s">
        <v>9</v>
      </c>
      <c r="BB9" s="101" t="s">
        <v>9</v>
      </c>
      <c r="BC9" s="101" t="s">
        <v>9</v>
      </c>
      <c r="BD9" s="101" t="s">
        <v>9</v>
      </c>
      <c r="BE9" s="100" t="str">
        <f aca="false">IF(AR9=0,"—",TEXT(AR9,"0"))</f>
        <v>1</v>
      </c>
      <c r="BF9" s="101" t="s">
        <v>9</v>
      </c>
      <c r="BG9" s="101" t="s">
        <v>9</v>
      </c>
      <c r="BH9" s="101" t="s">
        <v>9</v>
      </c>
    </row>
    <row r="10" customFormat="false" ht="21.75" hidden="false" customHeight="true" outlineLevel="0" collapsed="false">
      <c r="A10" s="85" t="s">
        <v>162</v>
      </c>
      <c r="B10" s="53" t="s">
        <v>173</v>
      </c>
      <c r="C10" s="86" t="n">
        <v>5</v>
      </c>
      <c r="D10" s="86" t="n">
        <v>50</v>
      </c>
      <c r="E10" s="86" t="n">
        <v>3</v>
      </c>
      <c r="F10" s="86" t="n">
        <v>3</v>
      </c>
      <c r="G10" s="86" t="n">
        <v>3</v>
      </c>
      <c r="H10" s="86" t="n">
        <v>2</v>
      </c>
      <c r="I10" s="86" t="n">
        <v>3</v>
      </c>
      <c r="J10" s="86" t="n">
        <v>2</v>
      </c>
      <c r="K10" s="86" t="n">
        <v>2</v>
      </c>
      <c r="L10" s="86" t="n">
        <v>2</v>
      </c>
      <c r="M10" s="86" t="n">
        <v>2</v>
      </c>
      <c r="N10" s="86" t="n">
        <v>2</v>
      </c>
      <c r="O10" s="86" t="n">
        <v>2</v>
      </c>
      <c r="P10" s="86" t="n">
        <v>3</v>
      </c>
      <c r="Q10" s="86" t="n">
        <v>2</v>
      </c>
      <c r="R10" s="86" t="n">
        <v>58</v>
      </c>
      <c r="S10" s="86" t="n">
        <v>80</v>
      </c>
      <c r="T10" s="86" t="n">
        <v>3</v>
      </c>
      <c r="U10" s="86" t="n">
        <v>2</v>
      </c>
      <c r="V10" s="86" t="n">
        <v>75</v>
      </c>
      <c r="W10" s="87" t="n">
        <f aca="false">IF(C10&gt;=5,3,IF(C10&gt;=3,2,IF(C10&gt;=1,1,0)))</f>
        <v>3</v>
      </c>
      <c r="X10" s="88" t="n">
        <f aca="false">IF(D10&gt;40,3,IF(D10&gt;15,2,IF(D10&gt;5,1,0)))</f>
        <v>3</v>
      </c>
      <c r="Y10" s="89" t="n">
        <f aca="false">IF(E10&gt;=3,3,IF(E10&gt;=2,2,IF(E10&gt;=1,1,0)))</f>
        <v>3</v>
      </c>
      <c r="Z10" s="90" t="n">
        <f aca="false">IF(F10&gt;=3,3,IF(F10&gt;=2,2,IF(F10&gt;=1,1,0)))</f>
        <v>3</v>
      </c>
      <c r="AA10" s="91" t="n">
        <f aca="false">IF(G10&gt;=3,3,IF(G10&gt;=2,2,IF(G10&gt;=1,1,0)))</f>
        <v>3</v>
      </c>
      <c r="AB10" s="92" t="n">
        <f aca="false">IF(H10&gt;=3,3,IF(H10&gt;=2,2,IF(H10&gt;=1,1,0)))</f>
        <v>2</v>
      </c>
      <c r="AC10" s="93" t="n">
        <f aca="false">IF(I10&gt;=3,3,IF(I10&gt;=2,2,IF(I10&gt;=1,1,0)))</f>
        <v>3</v>
      </c>
      <c r="AD10" s="94" t="n">
        <f aca="false">IF(J10&gt;=3,3,IF(J10&gt;=2,2,IF(J10&gt;=1,1,0)))</f>
        <v>2</v>
      </c>
      <c r="AE10" s="95" t="n">
        <f aca="false">IF(K10&gt;=3,3,IF(K10&gt;=2,2,IF(K10&gt;=1,1,0)))</f>
        <v>2</v>
      </c>
      <c r="AF10" s="90" t="n">
        <f aca="false">IF(L10&gt;=3,3,IF(L10&gt;=2,2,IF(L10&gt;=1,1,0)))</f>
        <v>2</v>
      </c>
      <c r="AG10" s="96" t="n">
        <f aca="false">IF(M10&gt;=3,3,IF(M10&gt;=2,2,IF(M10&gt;=1,1,0)))</f>
        <v>2</v>
      </c>
      <c r="AH10" s="88" t="n">
        <f aca="false">IF(N10&gt;=3,3,IF(N10&gt;=2,2,IF(N10&gt;=1,1,0)))</f>
        <v>2</v>
      </c>
      <c r="AI10" s="89" t="n">
        <f aca="false">IF(O10&gt;=3,3,IF(O10&gt;=2,2,IF(O10&gt;=1,1,0)))</f>
        <v>2</v>
      </c>
      <c r="AJ10" s="91" t="n">
        <f aca="false">IF(P10&gt;=3,3,IF(P10&gt;=2,2,IF(P10&gt;=1,1,0)))</f>
        <v>3</v>
      </c>
      <c r="AK10" s="91" t="n">
        <f aca="false">IF(Q10&gt;=3,3,IF(Q10&gt;=2,2,IF(Q10&gt;=1,1,0)))</f>
        <v>2</v>
      </c>
      <c r="AL10" s="93" t="n">
        <f aca="false">IF(R10&gt;60,3,IF(R10&gt;40,2,IF(R10&gt;25,1,0)))</f>
        <v>2</v>
      </c>
      <c r="AM10" s="90" t="n">
        <f aca="false">IF(S10&gt;70,3,IF(S10&gt;50,2,IF(S10&gt;40,1,0)))</f>
        <v>3</v>
      </c>
      <c r="AN10" s="94" t="n">
        <f aca="false">IF(T10&gt;=3,3,IF(T10&gt;=2,2,IF(T10&gt;=1,1,0)))</f>
        <v>3</v>
      </c>
      <c r="AO10" s="95" t="n">
        <f aca="false">IF(U10&gt;=3,3,IF(U10&gt;=2,2,IF(U10&gt;=1,1,0)))</f>
        <v>2</v>
      </c>
      <c r="AP10" s="90" t="n">
        <f aca="false">IF(V10&gt;70,3,IF(V10&gt;40,2,IF(V10&gt;0,1,0)))</f>
        <v>3</v>
      </c>
      <c r="AQ10" s="97" t="n">
        <f aca="false">IFERROR(SUMPRODUCT(C7:V7,W10:AP10)/SUM(C7:V7),0)</f>
        <v>2.5</v>
      </c>
      <c r="AR10" s="98" t="n">
        <f aca="false">IF(AQ10&gt;=2.5,3,IF(AQ10&gt;=1.5,2,IF(AQ10&gt;=0.5,1,0)))</f>
        <v>3</v>
      </c>
      <c r="AS10" s="99" t="str">
        <f aca="false">IF(AR10=0,"—",TEXT(AR10,"0"))</f>
        <v>3</v>
      </c>
      <c r="AT10" s="102" t="str">
        <f aca="false">IF(AR10=0,"—",TEXT(AR10,"0"))</f>
        <v>3</v>
      </c>
      <c r="AU10" s="102" t="str">
        <f aca="false">IF(AR10=0,"—",TEXT(AR10,"0"))</f>
        <v>3</v>
      </c>
      <c r="AV10" s="102" t="str">
        <f aca="false">IF(AR10=0,"—",TEXT(AR10,"0"))</f>
        <v>3</v>
      </c>
      <c r="AW10" s="103" t="s">
        <v>9</v>
      </c>
      <c r="AX10" s="102" t="str">
        <f aca="false">IF(AR10=0,"—",TEXT(AR10,"0"))</f>
        <v>3</v>
      </c>
      <c r="AY10" s="103" t="s">
        <v>9</v>
      </c>
      <c r="AZ10" s="103" t="s">
        <v>9</v>
      </c>
      <c r="BA10" s="103" t="s">
        <v>9</v>
      </c>
      <c r="BB10" s="103" t="s">
        <v>9</v>
      </c>
      <c r="BC10" s="103" t="s">
        <v>9</v>
      </c>
      <c r="BD10" s="103" t="s">
        <v>9</v>
      </c>
      <c r="BE10" s="102" t="str">
        <f aca="false">IF(AR10=0,"—",TEXT(AR10,"0"))</f>
        <v>3</v>
      </c>
      <c r="BF10" s="103" t="s">
        <v>9</v>
      </c>
      <c r="BG10" s="103" t="s">
        <v>9</v>
      </c>
      <c r="BH10" s="103" t="s">
        <v>9</v>
      </c>
    </row>
    <row r="11" customFormat="false" ht="21.75" hidden="false" customHeight="true" outlineLevel="0" collapsed="false">
      <c r="A11" s="85" t="s">
        <v>164</v>
      </c>
      <c r="B11" s="50" t="s">
        <v>174</v>
      </c>
      <c r="C11" s="86" t="n">
        <v>4</v>
      </c>
      <c r="D11" s="86" t="n">
        <v>38</v>
      </c>
      <c r="E11" s="86" t="n">
        <v>3</v>
      </c>
      <c r="F11" s="86" t="n">
        <v>1</v>
      </c>
      <c r="G11" s="86" t="n">
        <v>2</v>
      </c>
      <c r="H11" s="86" t="n">
        <v>1</v>
      </c>
      <c r="I11" s="86" t="n">
        <v>1</v>
      </c>
      <c r="J11" s="86" t="n">
        <v>1</v>
      </c>
      <c r="K11" s="86" t="n">
        <v>1</v>
      </c>
      <c r="L11" s="86" t="n">
        <v>2</v>
      </c>
      <c r="M11" s="86" t="n">
        <v>2</v>
      </c>
      <c r="N11" s="86" t="n">
        <v>1</v>
      </c>
      <c r="O11" s="86" t="n">
        <v>1</v>
      </c>
      <c r="P11" s="86" t="n">
        <v>1</v>
      </c>
      <c r="Q11" s="86" t="n">
        <v>2</v>
      </c>
      <c r="R11" s="86" t="n">
        <v>42</v>
      </c>
      <c r="S11" s="86" t="n">
        <v>70</v>
      </c>
      <c r="T11" s="86" t="n">
        <v>2</v>
      </c>
      <c r="U11" s="86" t="n">
        <v>1</v>
      </c>
      <c r="V11" s="86" t="n">
        <v>52</v>
      </c>
      <c r="W11" s="87" t="n">
        <f aca="false">IF(C11&gt;=5,3,IF(C11&gt;=3,2,IF(C11&gt;=1,1,0)))</f>
        <v>2</v>
      </c>
      <c r="X11" s="88" t="n">
        <f aca="false">IF(D11&gt;40,3,IF(D11&gt;15,2,IF(D11&gt;5,1,0)))</f>
        <v>2</v>
      </c>
      <c r="Y11" s="89" t="n">
        <f aca="false">IF(E11&gt;=3,3,IF(E11&gt;=2,2,IF(E11&gt;=1,1,0)))</f>
        <v>3</v>
      </c>
      <c r="Z11" s="90" t="n">
        <f aca="false">IF(F11&gt;=3,3,IF(F11&gt;=2,2,IF(F11&gt;=1,1,0)))</f>
        <v>1</v>
      </c>
      <c r="AA11" s="91" t="n">
        <f aca="false">IF(G11&gt;=3,3,IF(G11&gt;=2,2,IF(G11&gt;=1,1,0)))</f>
        <v>2</v>
      </c>
      <c r="AB11" s="92" t="n">
        <f aca="false">IF(H11&gt;=3,3,IF(H11&gt;=2,2,IF(H11&gt;=1,1,0)))</f>
        <v>1</v>
      </c>
      <c r="AC11" s="93" t="n">
        <f aca="false">IF(I11&gt;=3,3,IF(I11&gt;=2,2,IF(I11&gt;=1,1,0)))</f>
        <v>1</v>
      </c>
      <c r="AD11" s="94" t="n">
        <f aca="false">IF(J11&gt;=3,3,IF(J11&gt;=2,2,IF(J11&gt;=1,1,0)))</f>
        <v>1</v>
      </c>
      <c r="AE11" s="95" t="n">
        <f aca="false">IF(K11&gt;=3,3,IF(K11&gt;=2,2,IF(K11&gt;=1,1,0)))</f>
        <v>1</v>
      </c>
      <c r="AF11" s="90" t="n">
        <f aca="false">IF(L11&gt;=3,3,IF(L11&gt;=2,2,IF(L11&gt;=1,1,0)))</f>
        <v>2</v>
      </c>
      <c r="AG11" s="96" t="n">
        <f aca="false">IF(M11&gt;=3,3,IF(M11&gt;=2,2,IF(M11&gt;=1,1,0)))</f>
        <v>2</v>
      </c>
      <c r="AH11" s="88" t="n">
        <f aca="false">IF(N11&gt;=3,3,IF(N11&gt;=2,2,IF(N11&gt;=1,1,0)))</f>
        <v>1</v>
      </c>
      <c r="AI11" s="89" t="n">
        <f aca="false">IF(O11&gt;=3,3,IF(O11&gt;=2,2,IF(O11&gt;=1,1,0)))</f>
        <v>1</v>
      </c>
      <c r="AJ11" s="91" t="n">
        <f aca="false">IF(P11&gt;=3,3,IF(P11&gt;=2,2,IF(P11&gt;=1,1,0)))</f>
        <v>1</v>
      </c>
      <c r="AK11" s="91" t="n">
        <f aca="false">IF(Q11&gt;=3,3,IF(Q11&gt;=2,2,IF(Q11&gt;=1,1,0)))</f>
        <v>2</v>
      </c>
      <c r="AL11" s="93" t="n">
        <f aca="false">IF(R11&gt;60,3,IF(R11&gt;40,2,IF(R11&gt;25,1,0)))</f>
        <v>2</v>
      </c>
      <c r="AM11" s="90" t="n">
        <f aca="false">IF(S11&gt;70,3,IF(S11&gt;50,2,IF(S11&gt;40,1,0)))</f>
        <v>2</v>
      </c>
      <c r="AN11" s="94" t="n">
        <f aca="false">IF(T11&gt;=3,3,IF(T11&gt;=2,2,IF(T11&gt;=1,1,0)))</f>
        <v>2</v>
      </c>
      <c r="AO11" s="95" t="n">
        <f aca="false">IF(U11&gt;=3,3,IF(U11&gt;=2,2,IF(U11&gt;=1,1,0)))</f>
        <v>1</v>
      </c>
      <c r="AP11" s="90" t="n">
        <f aca="false">IF(V11&gt;70,3,IF(V11&gt;40,2,IF(V11&gt;0,1,0)))</f>
        <v>2</v>
      </c>
      <c r="AQ11" s="97" t="n">
        <f aca="false">IFERROR(SUMPRODUCT(C7:V7,W11:AP11)/SUM(C7:V7),0)</f>
        <v>1.6</v>
      </c>
      <c r="AR11" s="98" t="n">
        <f aca="false">IF(AQ11&gt;=2.5,3,IF(AQ11&gt;=1.5,2,IF(AQ11&gt;=0.5,1,0)))</f>
        <v>2</v>
      </c>
      <c r="AS11" s="99" t="str">
        <f aca="false">IF(AR11=0,"—",TEXT(AR11,"0"))</f>
        <v>2</v>
      </c>
      <c r="AT11" s="100" t="str">
        <f aca="false">IF(AR11=0,"—",TEXT(AR11,"0"))</f>
        <v>2</v>
      </c>
      <c r="AU11" s="100" t="str">
        <f aca="false">IF(AR11=0,"—",TEXT(AR11,"0"))</f>
        <v>2</v>
      </c>
      <c r="AV11" s="100" t="str">
        <f aca="false">IF(AR11=0,"—",TEXT(AR11,"0"))</f>
        <v>2</v>
      </c>
      <c r="AW11" s="101" t="s">
        <v>9</v>
      </c>
      <c r="AX11" s="101" t="s">
        <v>9</v>
      </c>
      <c r="AY11" s="101" t="s">
        <v>9</v>
      </c>
      <c r="AZ11" s="101" t="s">
        <v>9</v>
      </c>
      <c r="BA11" s="101" t="s">
        <v>9</v>
      </c>
      <c r="BB11" s="101" t="s">
        <v>9</v>
      </c>
      <c r="BC11" s="101" t="s">
        <v>9</v>
      </c>
      <c r="BD11" s="101" t="s">
        <v>9</v>
      </c>
      <c r="BE11" s="100" t="str">
        <f aca="false">IF(AR11=0,"—",TEXT(AR11,"0"))</f>
        <v>2</v>
      </c>
      <c r="BF11" s="101" t="s">
        <v>9</v>
      </c>
      <c r="BG11" s="101" t="s">
        <v>9</v>
      </c>
      <c r="BH11" s="101" t="s">
        <v>9</v>
      </c>
    </row>
    <row r="12" customFormat="false" ht="21.75" hidden="false" customHeight="true" outlineLevel="0" collapsed="false">
      <c r="A12" s="85" t="s">
        <v>166</v>
      </c>
      <c r="B12" s="53" t="s">
        <v>175</v>
      </c>
      <c r="C12" s="86" t="n">
        <v>5</v>
      </c>
      <c r="D12" s="86" t="n">
        <v>42</v>
      </c>
      <c r="E12" s="86" t="n">
        <v>3</v>
      </c>
      <c r="F12" s="86" t="n">
        <v>2</v>
      </c>
      <c r="G12" s="86" t="n">
        <v>2</v>
      </c>
      <c r="H12" s="86" t="n">
        <v>2</v>
      </c>
      <c r="I12" s="86" t="n">
        <v>2</v>
      </c>
      <c r="J12" s="86" t="n">
        <v>2</v>
      </c>
      <c r="K12" s="86" t="n">
        <v>2</v>
      </c>
      <c r="L12" s="86" t="n">
        <v>2</v>
      </c>
      <c r="M12" s="86" t="n">
        <v>2</v>
      </c>
      <c r="N12" s="86" t="n">
        <v>2</v>
      </c>
      <c r="O12" s="86" t="n">
        <v>2</v>
      </c>
      <c r="P12" s="86" t="n">
        <v>2</v>
      </c>
      <c r="Q12" s="86" t="n">
        <v>2</v>
      </c>
      <c r="R12" s="86" t="n">
        <v>50</v>
      </c>
      <c r="S12" s="86" t="n">
        <v>75</v>
      </c>
      <c r="T12" s="86" t="n">
        <v>2</v>
      </c>
      <c r="U12" s="86" t="n">
        <v>2</v>
      </c>
      <c r="V12" s="86" t="n">
        <v>68</v>
      </c>
      <c r="W12" s="87" t="n">
        <f aca="false">IF(C12&gt;=5,3,IF(C12&gt;=3,2,IF(C12&gt;=1,1,0)))</f>
        <v>3</v>
      </c>
      <c r="X12" s="88" t="n">
        <f aca="false">IF(D12&gt;40,3,IF(D12&gt;15,2,IF(D12&gt;5,1,0)))</f>
        <v>3</v>
      </c>
      <c r="Y12" s="89" t="n">
        <f aca="false">IF(E12&gt;=3,3,IF(E12&gt;=2,2,IF(E12&gt;=1,1,0)))</f>
        <v>3</v>
      </c>
      <c r="Z12" s="90" t="n">
        <f aca="false">IF(F12&gt;=3,3,IF(F12&gt;=2,2,IF(F12&gt;=1,1,0)))</f>
        <v>2</v>
      </c>
      <c r="AA12" s="91" t="n">
        <f aca="false">IF(G12&gt;=3,3,IF(G12&gt;=2,2,IF(G12&gt;=1,1,0)))</f>
        <v>2</v>
      </c>
      <c r="AB12" s="92" t="n">
        <f aca="false">IF(H12&gt;=3,3,IF(H12&gt;=2,2,IF(H12&gt;=1,1,0)))</f>
        <v>2</v>
      </c>
      <c r="AC12" s="93" t="n">
        <f aca="false">IF(I12&gt;=3,3,IF(I12&gt;=2,2,IF(I12&gt;=1,1,0)))</f>
        <v>2</v>
      </c>
      <c r="AD12" s="94" t="n">
        <f aca="false">IF(J12&gt;=3,3,IF(J12&gt;=2,2,IF(J12&gt;=1,1,0)))</f>
        <v>2</v>
      </c>
      <c r="AE12" s="95" t="n">
        <f aca="false">IF(K12&gt;=3,3,IF(K12&gt;=2,2,IF(K12&gt;=1,1,0)))</f>
        <v>2</v>
      </c>
      <c r="AF12" s="90" t="n">
        <f aca="false">IF(L12&gt;=3,3,IF(L12&gt;=2,2,IF(L12&gt;=1,1,0)))</f>
        <v>2</v>
      </c>
      <c r="AG12" s="96" t="n">
        <f aca="false">IF(M12&gt;=3,3,IF(M12&gt;=2,2,IF(M12&gt;=1,1,0)))</f>
        <v>2</v>
      </c>
      <c r="AH12" s="88" t="n">
        <f aca="false">IF(N12&gt;=3,3,IF(N12&gt;=2,2,IF(N12&gt;=1,1,0)))</f>
        <v>2</v>
      </c>
      <c r="AI12" s="89" t="n">
        <f aca="false">IF(O12&gt;=3,3,IF(O12&gt;=2,2,IF(O12&gt;=1,1,0)))</f>
        <v>2</v>
      </c>
      <c r="AJ12" s="91" t="n">
        <f aca="false">IF(P12&gt;=3,3,IF(P12&gt;=2,2,IF(P12&gt;=1,1,0)))</f>
        <v>2</v>
      </c>
      <c r="AK12" s="91" t="n">
        <f aca="false">IF(Q12&gt;=3,3,IF(Q12&gt;=2,2,IF(Q12&gt;=1,1,0)))</f>
        <v>2</v>
      </c>
      <c r="AL12" s="93" t="n">
        <f aca="false">IF(R12&gt;60,3,IF(R12&gt;40,2,IF(R12&gt;25,1,0)))</f>
        <v>2</v>
      </c>
      <c r="AM12" s="90" t="n">
        <f aca="false">IF(S12&gt;70,3,IF(S12&gt;50,2,IF(S12&gt;40,1,0)))</f>
        <v>3</v>
      </c>
      <c r="AN12" s="94" t="n">
        <f aca="false">IF(T12&gt;=3,3,IF(T12&gt;=2,2,IF(T12&gt;=1,1,0)))</f>
        <v>2</v>
      </c>
      <c r="AO12" s="95" t="n">
        <f aca="false">IF(U12&gt;=3,3,IF(U12&gt;=2,2,IF(U12&gt;=1,1,0)))</f>
        <v>2</v>
      </c>
      <c r="AP12" s="90" t="n">
        <f aca="false">IF(V12&gt;70,3,IF(V12&gt;40,2,IF(V12&gt;0,1,0)))</f>
        <v>2</v>
      </c>
      <c r="AQ12" s="97" t="n">
        <f aca="false">IFERROR(SUMPRODUCT(C7:V7,W12:AP12)/SUM(C7:V7),0)</f>
        <v>2.2</v>
      </c>
      <c r="AR12" s="98" t="n">
        <f aca="false">IF(AQ12&gt;=2.5,3,IF(AQ12&gt;=1.5,2,IF(AQ12&gt;=0.5,1,0)))</f>
        <v>2</v>
      </c>
      <c r="AS12" s="99" t="str">
        <f aca="false">IF(AR12=0,"—",TEXT(AR12,"0"))</f>
        <v>2</v>
      </c>
      <c r="AT12" s="102" t="str">
        <f aca="false">IF(AR12=0,"—",TEXT(AR12,"0"))</f>
        <v>2</v>
      </c>
      <c r="AU12" s="102" t="str">
        <f aca="false">IF(AR12=0,"—",TEXT(AR12,"0"))</f>
        <v>2</v>
      </c>
      <c r="AV12" s="102" t="str">
        <f aca="false">IF(AR12=0,"—",TEXT(AR12,"0"))</f>
        <v>2</v>
      </c>
      <c r="AW12" s="102" t="str">
        <f aca="false">IF(AR12=0,"—",TEXT(AR12,"0"))</f>
        <v>2</v>
      </c>
      <c r="AX12" s="103" t="s">
        <v>9</v>
      </c>
      <c r="AY12" s="103" t="s">
        <v>9</v>
      </c>
      <c r="AZ12" s="103" t="s">
        <v>9</v>
      </c>
      <c r="BA12" s="103" t="s">
        <v>9</v>
      </c>
      <c r="BB12" s="103" t="s">
        <v>9</v>
      </c>
      <c r="BC12" s="103" t="s">
        <v>9</v>
      </c>
      <c r="BD12" s="103" t="s">
        <v>9</v>
      </c>
      <c r="BE12" s="102" t="str">
        <f aca="false">IF(AR12=0,"—",TEXT(AR12,"0"))</f>
        <v>2</v>
      </c>
      <c r="BF12" s="103" t="s">
        <v>9</v>
      </c>
      <c r="BG12" s="103" t="s">
        <v>9</v>
      </c>
      <c r="BH12" s="103" t="s">
        <v>9</v>
      </c>
    </row>
    <row r="13" customFormat="false" ht="21.75" hidden="false" customHeight="true" outlineLevel="0" collapsed="false">
      <c r="A13" s="85" t="s">
        <v>168</v>
      </c>
      <c r="B13" s="50" t="s">
        <v>176</v>
      </c>
      <c r="C13" s="86" t="n">
        <v>5</v>
      </c>
      <c r="D13" s="86" t="n">
        <v>45</v>
      </c>
      <c r="E13" s="86" t="n">
        <v>3</v>
      </c>
      <c r="F13" s="86" t="n">
        <v>2</v>
      </c>
      <c r="G13" s="86" t="n">
        <v>3</v>
      </c>
      <c r="H13" s="86" t="n">
        <v>2</v>
      </c>
      <c r="I13" s="86" t="n">
        <v>2</v>
      </c>
      <c r="J13" s="86" t="n">
        <v>1</v>
      </c>
      <c r="K13" s="86" t="n">
        <v>1</v>
      </c>
      <c r="L13" s="86" t="n">
        <v>2</v>
      </c>
      <c r="M13" s="86" t="n">
        <v>2</v>
      </c>
      <c r="N13" s="86" t="n">
        <v>1</v>
      </c>
      <c r="O13" s="86" t="n">
        <v>2</v>
      </c>
      <c r="P13" s="86" t="n">
        <v>3</v>
      </c>
      <c r="Q13" s="86" t="n">
        <v>1</v>
      </c>
      <c r="R13" s="86" t="n">
        <v>52</v>
      </c>
      <c r="S13" s="86" t="n">
        <v>76</v>
      </c>
      <c r="T13" s="86" t="n">
        <v>2</v>
      </c>
      <c r="U13" s="86" t="n">
        <v>1</v>
      </c>
      <c r="V13" s="86" t="n">
        <v>70</v>
      </c>
      <c r="W13" s="87" t="n">
        <f aca="false">IF(C13&gt;=5,3,IF(C13&gt;=3,2,IF(C13&gt;=1,1,0)))</f>
        <v>3</v>
      </c>
      <c r="X13" s="88" t="n">
        <f aca="false">IF(D13&gt;40,3,IF(D13&gt;15,2,IF(D13&gt;5,1,0)))</f>
        <v>3</v>
      </c>
      <c r="Y13" s="89" t="n">
        <f aca="false">IF(E13&gt;=3,3,IF(E13&gt;=2,2,IF(E13&gt;=1,1,0)))</f>
        <v>3</v>
      </c>
      <c r="Z13" s="90" t="n">
        <f aca="false">IF(F13&gt;=3,3,IF(F13&gt;=2,2,IF(F13&gt;=1,1,0)))</f>
        <v>2</v>
      </c>
      <c r="AA13" s="91" t="n">
        <f aca="false">IF(G13&gt;=3,3,IF(G13&gt;=2,2,IF(G13&gt;=1,1,0)))</f>
        <v>3</v>
      </c>
      <c r="AB13" s="92" t="n">
        <f aca="false">IF(H13&gt;=3,3,IF(H13&gt;=2,2,IF(H13&gt;=1,1,0)))</f>
        <v>2</v>
      </c>
      <c r="AC13" s="93" t="n">
        <f aca="false">IF(I13&gt;=3,3,IF(I13&gt;=2,2,IF(I13&gt;=1,1,0)))</f>
        <v>2</v>
      </c>
      <c r="AD13" s="94" t="n">
        <f aca="false">IF(J13&gt;=3,3,IF(J13&gt;=2,2,IF(J13&gt;=1,1,0)))</f>
        <v>1</v>
      </c>
      <c r="AE13" s="95" t="n">
        <f aca="false">IF(K13&gt;=3,3,IF(K13&gt;=2,2,IF(K13&gt;=1,1,0)))</f>
        <v>1</v>
      </c>
      <c r="AF13" s="90" t="n">
        <f aca="false">IF(L13&gt;=3,3,IF(L13&gt;=2,2,IF(L13&gt;=1,1,0)))</f>
        <v>2</v>
      </c>
      <c r="AG13" s="96" t="n">
        <f aca="false">IF(M13&gt;=3,3,IF(M13&gt;=2,2,IF(M13&gt;=1,1,0)))</f>
        <v>2</v>
      </c>
      <c r="AH13" s="88" t="n">
        <f aca="false">IF(N13&gt;=3,3,IF(N13&gt;=2,2,IF(N13&gt;=1,1,0)))</f>
        <v>1</v>
      </c>
      <c r="AI13" s="89" t="n">
        <f aca="false">IF(O13&gt;=3,3,IF(O13&gt;=2,2,IF(O13&gt;=1,1,0)))</f>
        <v>2</v>
      </c>
      <c r="AJ13" s="91" t="n">
        <f aca="false">IF(P13&gt;=3,3,IF(P13&gt;=2,2,IF(P13&gt;=1,1,0)))</f>
        <v>3</v>
      </c>
      <c r="AK13" s="91" t="n">
        <f aca="false">IF(Q13&gt;=3,3,IF(Q13&gt;=2,2,IF(Q13&gt;=1,1,0)))</f>
        <v>1</v>
      </c>
      <c r="AL13" s="93" t="n">
        <f aca="false">IF(R13&gt;60,3,IF(R13&gt;40,2,IF(R13&gt;25,1,0)))</f>
        <v>2</v>
      </c>
      <c r="AM13" s="90" t="n">
        <f aca="false">IF(S13&gt;70,3,IF(S13&gt;50,2,IF(S13&gt;40,1,0)))</f>
        <v>3</v>
      </c>
      <c r="AN13" s="94" t="n">
        <f aca="false">IF(T13&gt;=3,3,IF(T13&gt;=2,2,IF(T13&gt;=1,1,0)))</f>
        <v>2</v>
      </c>
      <c r="AO13" s="95" t="n">
        <f aca="false">IF(U13&gt;=3,3,IF(U13&gt;=2,2,IF(U13&gt;=1,1,0)))</f>
        <v>1</v>
      </c>
      <c r="AP13" s="90" t="n">
        <f aca="false">IF(V13&gt;70,3,IF(V13&gt;40,2,IF(V13&gt;0,1,0)))</f>
        <v>2</v>
      </c>
      <c r="AQ13" s="97" t="n">
        <f aca="false">IFERROR(SUMPRODUCT(C7:V7,W13:AP13)/SUM(C7:V7),0)</f>
        <v>2.05</v>
      </c>
      <c r="AR13" s="98" t="n">
        <f aca="false">IF(AQ13&gt;=2.5,3,IF(AQ13&gt;=1.5,2,IF(AQ13&gt;=0.5,1,0)))</f>
        <v>2</v>
      </c>
      <c r="AS13" s="99" t="str">
        <f aca="false">IF(AR13=0,"—",TEXT(AR13,"0"))</f>
        <v>2</v>
      </c>
      <c r="AT13" s="100" t="str">
        <f aca="false">IF(AR13=0,"—",TEXT(AR13,"0"))</f>
        <v>2</v>
      </c>
      <c r="AU13" s="100" t="str">
        <f aca="false">IF(AR13=0,"—",TEXT(AR13,"0"))</f>
        <v>2</v>
      </c>
      <c r="AV13" s="101" t="s">
        <v>9</v>
      </c>
      <c r="AW13" s="100" t="str">
        <f aca="false">IF(AR13=0,"—",TEXT(AR13,"0"))</f>
        <v>2</v>
      </c>
      <c r="AX13" s="100" t="str">
        <f aca="false">IF(AR13=0,"—",TEXT(AR13,"0"))</f>
        <v>2</v>
      </c>
      <c r="AY13" s="101" t="s">
        <v>9</v>
      </c>
      <c r="AZ13" s="101" t="s">
        <v>9</v>
      </c>
      <c r="BA13" s="101" t="s">
        <v>9</v>
      </c>
      <c r="BB13" s="101" t="s">
        <v>9</v>
      </c>
      <c r="BC13" s="101" t="s">
        <v>9</v>
      </c>
      <c r="BD13" s="101" t="s">
        <v>9</v>
      </c>
      <c r="BE13" s="100" t="str">
        <f aca="false">IF(AR13=0,"—",TEXT(AR13,"0"))</f>
        <v>2</v>
      </c>
      <c r="BF13" s="101" t="s">
        <v>9</v>
      </c>
      <c r="BG13" s="101" t="s">
        <v>9</v>
      </c>
      <c r="BH13" s="101" t="s">
        <v>9</v>
      </c>
    </row>
    <row r="15" customFormat="false" ht="21.75" hidden="false" customHeight="true" outlineLevel="0" collapsed="false">
      <c r="A15" s="104" t="s">
        <v>170</v>
      </c>
      <c r="B15" s="104"/>
      <c r="C15" s="105" t="n">
        <f aca="false">AVERAGE(C9:C13)</f>
        <v>4.2</v>
      </c>
      <c r="D15" s="105" t="n">
        <f aca="false">AVERAGE(D9:D13)</f>
        <v>40.6</v>
      </c>
      <c r="E15" s="105" t="n">
        <f aca="false">AVERAGE(E9:E13)</f>
        <v>2.8</v>
      </c>
      <c r="F15" s="105" t="n">
        <f aca="false">AVERAGE(F9:F13)</f>
        <v>1.8</v>
      </c>
      <c r="G15" s="105" t="n">
        <f aca="false">AVERAGE(G9:G13)</f>
        <v>2.4</v>
      </c>
      <c r="H15" s="105" t="n">
        <f aca="false">AVERAGE(H9:H13)</f>
        <v>1.6</v>
      </c>
      <c r="I15" s="105" t="n">
        <f aca="false">AVERAGE(I9:I13)</f>
        <v>1.8</v>
      </c>
      <c r="J15" s="105" t="n">
        <f aca="false">AVERAGE(J9:J13)</f>
        <v>1.4</v>
      </c>
      <c r="K15" s="105" t="n">
        <f aca="false">AVERAGE(K9:K13)</f>
        <v>1.4</v>
      </c>
      <c r="L15" s="105" t="n">
        <f aca="false">AVERAGE(L9:L13)</f>
        <v>1.8</v>
      </c>
      <c r="M15" s="105" t="n">
        <f aca="false">AVERAGE(M9:M13)</f>
        <v>1.8</v>
      </c>
      <c r="N15" s="105" t="n">
        <f aca="false">AVERAGE(N9:N13)</f>
        <v>1.4</v>
      </c>
      <c r="O15" s="105" t="n">
        <f aca="false">AVERAGE(O9:O13)</f>
        <v>1.6</v>
      </c>
      <c r="P15" s="105" t="n">
        <f aca="false">AVERAGE(P9:P13)</f>
        <v>2</v>
      </c>
      <c r="Q15" s="105" t="n">
        <f aca="false">AVERAGE(Q9:Q13)</f>
        <v>1.6</v>
      </c>
      <c r="R15" s="105" t="n">
        <f aca="false">AVERAGE(R9:R13)</f>
        <v>46.8</v>
      </c>
      <c r="S15" s="105" t="n">
        <f aca="false">AVERAGE(S9:S13)</f>
        <v>73.2</v>
      </c>
      <c r="T15" s="105" t="n">
        <f aca="false">AVERAGE(T9:T13)</f>
        <v>2</v>
      </c>
      <c r="U15" s="105" t="n">
        <f aca="false">AVERAGE(U9:U13)</f>
        <v>1.4</v>
      </c>
      <c r="V15" s="105" t="n">
        <f aca="false">AVERAGE(V9:V13)</f>
        <v>61.4</v>
      </c>
      <c r="W15" s="105" t="n">
        <f aca="false">AVERAGE(W9:W13)</f>
        <v>2.4</v>
      </c>
      <c r="X15" s="105" t="n">
        <f aca="false">AVERAGE(X9:X13)</f>
        <v>2.6</v>
      </c>
      <c r="Y15" s="105" t="n">
        <f aca="false">AVERAGE(Y9:Y13)</f>
        <v>2.8</v>
      </c>
      <c r="Z15" s="105" t="n">
        <f aca="false">AVERAGE(Z9:Z13)</f>
        <v>1.8</v>
      </c>
      <c r="AA15" s="105" t="n">
        <f aca="false">AVERAGE(AA9:AA13)</f>
        <v>2.4</v>
      </c>
      <c r="AB15" s="105" t="n">
        <f aca="false">AVERAGE(AB9:AB13)</f>
        <v>1.6</v>
      </c>
      <c r="AC15" s="105" t="n">
        <f aca="false">AVERAGE(AC9:AC13)</f>
        <v>1.8</v>
      </c>
      <c r="AD15" s="105" t="n">
        <f aca="false">AVERAGE(AD9:AD13)</f>
        <v>1.4</v>
      </c>
      <c r="AE15" s="105" t="n">
        <f aca="false">AVERAGE(AE9:AE13)</f>
        <v>1.4</v>
      </c>
      <c r="AF15" s="105" t="n">
        <f aca="false">AVERAGE(AF9:AF13)</f>
        <v>1.8</v>
      </c>
      <c r="AG15" s="105" t="n">
        <f aca="false">AVERAGE(AG9:AG13)</f>
        <v>1.8</v>
      </c>
      <c r="AH15" s="105" t="n">
        <f aca="false">AVERAGE(AH9:AH13)</f>
        <v>1.4</v>
      </c>
      <c r="AI15" s="105" t="n">
        <f aca="false">AVERAGE(AI9:AI13)</f>
        <v>1.6</v>
      </c>
      <c r="AJ15" s="105" t="n">
        <f aca="false">AVERAGE(AJ9:AJ13)</f>
        <v>2</v>
      </c>
      <c r="AK15" s="105" t="n">
        <f aca="false">AVERAGE(AK9:AK13)</f>
        <v>1.6</v>
      </c>
      <c r="AL15" s="105" t="n">
        <f aca="false">AVERAGE(AL9:AL13)</f>
        <v>1.8</v>
      </c>
      <c r="AM15" s="105" t="n">
        <f aca="false">AVERAGE(AM9:AM13)</f>
        <v>2.6</v>
      </c>
      <c r="AN15" s="105" t="n">
        <f aca="false">AVERAGE(AN9:AN13)</f>
        <v>2</v>
      </c>
      <c r="AO15" s="105" t="n">
        <f aca="false">AVERAGE(AO9:AO13)</f>
        <v>1.4</v>
      </c>
      <c r="AP15" s="105" t="n">
        <f aca="false">AVERAGE(AP9:AP13)</f>
        <v>2.2</v>
      </c>
      <c r="AQ15" s="106" t="n">
        <f aca="false">AVERAGE(AQ9:AQ13)</f>
        <v>1.92</v>
      </c>
      <c r="AR15" s="105" t="n">
        <f aca="false">AVERAGE(AR9:AR13)</f>
        <v>2</v>
      </c>
      <c r="AS15" s="107"/>
      <c r="AT15" s="105" t="str">
        <f aca="false">IFERROR(AVERAGEIF(AT9:AT13,"&lt;&gt;—"),"")</f>
        <v/>
      </c>
      <c r="AU15" s="105" t="str">
        <f aca="false">IFERROR(AVERAGEIF(AU9:AU13,"&lt;&gt;—"),"")</f>
        <v/>
      </c>
      <c r="AV15" s="105" t="str">
        <f aca="false">IFERROR(AVERAGEIF(AV9:AV13,"&lt;&gt;—"),"")</f>
        <v/>
      </c>
      <c r="AW15" s="105" t="str">
        <f aca="false">IFERROR(AVERAGEIF(AW9:AW13,"&lt;&gt;—"),"")</f>
        <v/>
      </c>
      <c r="AX15" s="105" t="str">
        <f aca="false">IFERROR(AVERAGEIF(AX9:AX13,"&lt;&gt;—"),"")</f>
        <v/>
      </c>
      <c r="AY15" s="105" t="str">
        <f aca="false">IFERROR(AVERAGEIF(AY9:AY13,"&lt;&gt;—"),"")</f>
        <v/>
      </c>
      <c r="AZ15" s="105" t="str">
        <f aca="false">IFERROR(AVERAGEIF(AZ9:AZ13,"&lt;&gt;—"),"")</f>
        <v/>
      </c>
      <c r="BA15" s="105" t="str">
        <f aca="false">IFERROR(AVERAGEIF(BA9:BA13,"&lt;&gt;—"),"")</f>
        <v/>
      </c>
      <c r="BB15" s="105" t="str">
        <f aca="false">IFERROR(AVERAGEIF(BB9:BB13,"&lt;&gt;—"),"")</f>
        <v/>
      </c>
      <c r="BC15" s="105" t="str">
        <f aca="false">IFERROR(AVERAGEIF(BC9:BC13,"&lt;&gt;—"),"")</f>
        <v/>
      </c>
      <c r="BD15" s="105" t="str">
        <f aca="false">IFERROR(AVERAGEIF(BD9:BD13,"&lt;&gt;—"),"")</f>
        <v/>
      </c>
      <c r="BE15" s="105" t="str">
        <f aca="false">IFERROR(AVERAGEIF(BE9:BE13,"&lt;&gt;—"),"")</f>
        <v/>
      </c>
      <c r="BF15" s="105" t="str">
        <f aca="false">IFERROR(AVERAGEIF(BF9:BF13,"&lt;&gt;—"),"")</f>
        <v/>
      </c>
      <c r="BG15" s="105" t="str">
        <f aca="false">IFERROR(AVERAGEIF(BG9:BG13,"&lt;&gt;—"),"")</f>
        <v/>
      </c>
      <c r="BH15" s="105" t="str">
        <f aca="false">IFERROR(AVERAGEIF(BH9:BH13,"&lt;&gt;—"),"")</f>
        <v/>
      </c>
    </row>
  </sheetData>
  <mergeCells count="10">
    <mergeCell ref="A1:BH1"/>
    <mergeCell ref="A2:BH2"/>
    <mergeCell ref="A4:B4"/>
    <mergeCell ref="C5:V5"/>
    <mergeCell ref="W5:AP5"/>
    <mergeCell ref="AT5:BE5"/>
    <mergeCell ref="BF5:BH5"/>
    <mergeCell ref="A7:B7"/>
    <mergeCell ref="A8:BH8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20" min="5" style="1" width="8"/>
  </cols>
  <sheetData>
    <row r="1" customFormat="false" ht="39.75" hidden="false" customHeight="true" outlineLevel="0" collapsed="false">
      <c r="A1" s="108" t="s">
        <v>177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</row>
    <row r="2" customFormat="false" ht="13.5" hidden="false" customHeight="true" outlineLevel="0" collapsed="false">
      <c r="A2" s="59" t="s">
        <v>178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customFormat="false" ht="7.5" hidden="false" customHeight="true" outlineLevel="0" collapsed="false"/>
    <row r="4" customFormat="false" ht="19.5" hidden="false" customHeight="true" outlineLevel="0" collapsed="false">
      <c r="A4" s="6" t="s">
        <v>179</v>
      </c>
      <c r="B4" s="6"/>
      <c r="C4" s="6"/>
      <c r="D4" s="6"/>
      <c r="E4" s="6"/>
      <c r="F4" s="7" t="s">
        <v>180</v>
      </c>
      <c r="G4" s="11" t="s">
        <v>181</v>
      </c>
      <c r="H4" s="15" t="s">
        <v>182</v>
      </c>
      <c r="I4" s="19" t="s">
        <v>183</v>
      </c>
    </row>
    <row r="5" customFormat="false" ht="25.5" hidden="false" customHeight="true" outlineLevel="0" collapsed="false">
      <c r="A5" s="109" t="s">
        <v>29</v>
      </c>
      <c r="B5" s="109" t="s">
        <v>184</v>
      </c>
      <c r="C5" s="109" t="s">
        <v>185</v>
      </c>
      <c r="D5" s="109" t="s">
        <v>133</v>
      </c>
      <c r="E5" s="109" t="s">
        <v>186</v>
      </c>
      <c r="F5" s="110" t="s">
        <v>187</v>
      </c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4" t="s">
        <v>141</v>
      </c>
      <c r="S5" s="4"/>
      <c r="T5" s="4"/>
    </row>
    <row r="6" customFormat="false" ht="19.5" hidden="false" customHeight="true" outlineLevel="0" collapsed="false">
      <c r="A6" s="109"/>
      <c r="B6" s="109"/>
      <c r="C6" s="109"/>
      <c r="D6" s="109"/>
      <c r="E6" s="109"/>
      <c r="F6" s="25" t="s">
        <v>146</v>
      </c>
      <c r="G6" s="25" t="s">
        <v>147</v>
      </c>
      <c r="H6" s="25" t="s">
        <v>148</v>
      </c>
      <c r="I6" s="25" t="s">
        <v>149</v>
      </c>
      <c r="J6" s="25" t="s">
        <v>82</v>
      </c>
      <c r="K6" s="25" t="s">
        <v>150</v>
      </c>
      <c r="L6" s="25" t="s">
        <v>151</v>
      </c>
      <c r="M6" s="25" t="s">
        <v>152</v>
      </c>
      <c r="N6" s="25" t="s">
        <v>76</v>
      </c>
      <c r="O6" s="25" t="s">
        <v>79</v>
      </c>
      <c r="P6" s="25" t="s">
        <v>153</v>
      </c>
      <c r="Q6" s="25" t="s">
        <v>154</v>
      </c>
      <c r="R6" s="33" t="s">
        <v>155</v>
      </c>
      <c r="S6" s="33" t="s">
        <v>156</v>
      </c>
      <c r="T6" s="33" t="s">
        <v>157</v>
      </c>
    </row>
    <row r="7" customFormat="false" ht="18" hidden="false" customHeight="true" outlineLevel="0" collapsed="false">
      <c r="A7" s="111" t="n">
        <v>1</v>
      </c>
      <c r="B7" s="112" t="s">
        <v>188</v>
      </c>
      <c r="C7" s="113" t="s">
        <v>189</v>
      </c>
      <c r="D7" s="25" t="s">
        <v>160</v>
      </c>
      <c r="E7" s="114" t="n">
        <f aca="false">CS301!AR9</f>
        <v>2</v>
      </c>
      <c r="F7" s="102" t="str">
        <f aca="false">IF(CS301!AR9=0,"—",TEXT(CS301!AR9,"0"))</f>
        <v>2</v>
      </c>
      <c r="G7" s="102" t="str">
        <f aca="false">IF(CS301!AR9=0,"—",TEXT(CS301!AR9,"0"))</f>
        <v>2</v>
      </c>
      <c r="H7" s="102" t="str">
        <f aca="false">IF(CS301!AR9=0,"—",TEXT(CS301!AR9,"0"))</f>
        <v>2</v>
      </c>
      <c r="I7" s="103" t="s">
        <v>9</v>
      </c>
      <c r="J7" s="103" t="s">
        <v>9</v>
      </c>
      <c r="K7" s="103" t="s">
        <v>9</v>
      </c>
      <c r="L7" s="103" t="s">
        <v>9</v>
      </c>
      <c r="M7" s="103" t="s">
        <v>9</v>
      </c>
      <c r="N7" s="103" t="s">
        <v>9</v>
      </c>
      <c r="O7" s="103" t="s">
        <v>9</v>
      </c>
      <c r="P7" s="103" t="s">
        <v>9</v>
      </c>
      <c r="Q7" s="102" t="str">
        <f aca="false">IF(CS301!AR9=0,"—",TEXT(CS301!AR9,"0"))</f>
        <v>2</v>
      </c>
      <c r="R7" s="103" t="s">
        <v>9</v>
      </c>
      <c r="S7" s="103" t="s">
        <v>9</v>
      </c>
      <c r="T7" s="103" t="s">
        <v>9</v>
      </c>
    </row>
    <row r="8" customFormat="false" ht="18" hidden="false" customHeight="true" outlineLevel="0" collapsed="false">
      <c r="A8" s="111"/>
      <c r="B8" s="111"/>
      <c r="C8" s="111"/>
      <c r="D8" s="25" t="s">
        <v>162</v>
      </c>
      <c r="E8" s="114" t="n">
        <f aca="false">CS301!AR10</f>
        <v>2</v>
      </c>
      <c r="F8" s="100" t="str">
        <f aca="false">IF(CS301!AR10=0,"—",TEXT(CS301!AR10,"0"))</f>
        <v>2</v>
      </c>
      <c r="G8" s="100" t="str">
        <f aca="false">IF(CS301!AR10=0,"—",TEXT(CS301!AR10,"0"))</f>
        <v>2</v>
      </c>
      <c r="H8" s="100" t="str">
        <f aca="false">IF(CS301!AR10=0,"—",TEXT(CS301!AR10,"0"))</f>
        <v>2</v>
      </c>
      <c r="I8" s="100" t="str">
        <f aca="false">IF(CS301!AR10=0,"—",TEXT(CS301!AR10,"0"))</f>
        <v>2</v>
      </c>
      <c r="J8" s="101" t="s">
        <v>9</v>
      </c>
      <c r="K8" s="101" t="s">
        <v>9</v>
      </c>
      <c r="L8" s="101" t="s">
        <v>9</v>
      </c>
      <c r="M8" s="101" t="s">
        <v>9</v>
      </c>
      <c r="N8" s="101" t="s">
        <v>9</v>
      </c>
      <c r="O8" s="101" t="s">
        <v>9</v>
      </c>
      <c r="P8" s="101" t="s">
        <v>9</v>
      </c>
      <c r="Q8" s="100" t="str">
        <f aca="false">IF(CS301!AR10=0,"—",TEXT(CS301!AR10,"0"))</f>
        <v>2</v>
      </c>
      <c r="R8" s="101" t="s">
        <v>9</v>
      </c>
      <c r="S8" s="101" t="s">
        <v>9</v>
      </c>
      <c r="T8" s="101" t="s">
        <v>9</v>
      </c>
    </row>
    <row r="9" customFormat="false" ht="18" hidden="false" customHeight="true" outlineLevel="0" collapsed="false">
      <c r="A9" s="111"/>
      <c r="B9" s="111"/>
      <c r="C9" s="111"/>
      <c r="D9" s="25" t="s">
        <v>164</v>
      </c>
      <c r="E9" s="114" t="n">
        <f aca="false">CS301!AR11</f>
        <v>3</v>
      </c>
      <c r="F9" s="102" t="str">
        <f aca="false">IF(CS301!AR11=0,"—",TEXT(CS301!AR11,"0"))</f>
        <v>3</v>
      </c>
      <c r="G9" s="102" t="str">
        <f aca="false">IF(CS301!AR11=0,"—",TEXT(CS301!AR11,"0"))</f>
        <v>3</v>
      </c>
      <c r="H9" s="102" t="str">
        <f aca="false">IF(CS301!AR11=0,"—",TEXT(CS301!AR11,"0"))</f>
        <v>3</v>
      </c>
      <c r="I9" s="102" t="str">
        <f aca="false">IF(CS301!AR11=0,"—",TEXT(CS301!AR11,"0"))</f>
        <v>3</v>
      </c>
      <c r="J9" s="102" t="str">
        <f aca="false">IF(CS301!AR11=0,"—",TEXT(CS301!AR11,"0"))</f>
        <v>3</v>
      </c>
      <c r="K9" s="103" t="s">
        <v>9</v>
      </c>
      <c r="L9" s="103" t="s">
        <v>9</v>
      </c>
      <c r="M9" s="103" t="s">
        <v>9</v>
      </c>
      <c r="N9" s="103" t="s">
        <v>9</v>
      </c>
      <c r="O9" s="103" t="s">
        <v>9</v>
      </c>
      <c r="P9" s="103" t="s">
        <v>9</v>
      </c>
      <c r="Q9" s="102" t="str">
        <f aca="false">IF(CS301!AR11=0,"—",TEXT(CS301!AR11,"0"))</f>
        <v>3</v>
      </c>
      <c r="R9" s="103" t="s">
        <v>9</v>
      </c>
      <c r="S9" s="103" t="s">
        <v>9</v>
      </c>
      <c r="T9" s="103" t="s">
        <v>9</v>
      </c>
    </row>
    <row r="10" customFormat="false" ht="18" hidden="false" customHeight="true" outlineLevel="0" collapsed="false">
      <c r="A10" s="111"/>
      <c r="B10" s="111"/>
      <c r="C10" s="111"/>
      <c r="D10" s="25" t="s">
        <v>166</v>
      </c>
      <c r="E10" s="114" t="n">
        <f aca="false">CS301!AR12</f>
        <v>2</v>
      </c>
      <c r="F10" s="100" t="str">
        <f aca="false">IF(CS301!AR12=0,"—",TEXT(CS301!AR12,"0"))</f>
        <v>2</v>
      </c>
      <c r="G10" s="100" t="str">
        <f aca="false">IF(CS301!AR12=0,"—",TEXT(CS301!AR12,"0"))</f>
        <v>2</v>
      </c>
      <c r="H10" s="100" t="str">
        <f aca="false">IF(CS301!AR12=0,"—",TEXT(CS301!AR12,"0"))</f>
        <v>2</v>
      </c>
      <c r="I10" s="101" t="s">
        <v>9</v>
      </c>
      <c r="J10" s="101" t="s">
        <v>9</v>
      </c>
      <c r="K10" s="101" t="s">
        <v>9</v>
      </c>
      <c r="L10" s="101" t="s">
        <v>9</v>
      </c>
      <c r="M10" s="101" t="s">
        <v>9</v>
      </c>
      <c r="N10" s="101" t="s">
        <v>9</v>
      </c>
      <c r="O10" s="101" t="s">
        <v>9</v>
      </c>
      <c r="P10" s="101" t="s">
        <v>9</v>
      </c>
      <c r="Q10" s="100" t="str">
        <f aca="false">IF(CS301!AR12=0,"—",TEXT(CS301!AR12,"0"))</f>
        <v>2</v>
      </c>
      <c r="R10" s="101" t="s">
        <v>9</v>
      </c>
      <c r="S10" s="101" t="s">
        <v>9</v>
      </c>
      <c r="T10" s="101" t="s">
        <v>9</v>
      </c>
    </row>
    <row r="11" customFormat="false" ht="18" hidden="false" customHeight="true" outlineLevel="0" collapsed="false">
      <c r="A11" s="111"/>
      <c r="B11" s="111"/>
      <c r="C11" s="111"/>
      <c r="D11" s="25" t="s">
        <v>168</v>
      </c>
      <c r="E11" s="114" t="n">
        <f aca="false">CS301!AR13</f>
        <v>2</v>
      </c>
      <c r="F11" s="102" t="str">
        <f aca="false">IF(CS301!AR13=0,"—",TEXT(CS301!AR13,"0"))</f>
        <v>2</v>
      </c>
      <c r="G11" s="102" t="str">
        <f aca="false">IF(CS301!AR13=0,"—",TEXT(CS301!AR13,"0"))</f>
        <v>2</v>
      </c>
      <c r="H11" s="103" t="s">
        <v>9</v>
      </c>
      <c r="I11" s="103" t="s">
        <v>9</v>
      </c>
      <c r="J11" s="103" t="s">
        <v>9</v>
      </c>
      <c r="K11" s="103" t="s">
        <v>9</v>
      </c>
      <c r="L11" s="103" t="s">
        <v>9</v>
      </c>
      <c r="M11" s="103" t="s">
        <v>9</v>
      </c>
      <c r="N11" s="103" t="s">
        <v>9</v>
      </c>
      <c r="O11" s="103" t="s">
        <v>9</v>
      </c>
      <c r="P11" s="103" t="s">
        <v>9</v>
      </c>
      <c r="Q11" s="102" t="str">
        <f aca="false">IF(CS301!AR13=0,"—",TEXT(CS301!AR13,"0"))</f>
        <v>2</v>
      </c>
      <c r="R11" s="103" t="s">
        <v>9</v>
      </c>
      <c r="S11" s="103" t="s">
        <v>9</v>
      </c>
      <c r="T11" s="103" t="s">
        <v>9</v>
      </c>
    </row>
    <row r="12" customFormat="false" ht="18" hidden="false" customHeight="true" outlineLevel="0" collapsed="false">
      <c r="A12" s="111" t="n">
        <v>2</v>
      </c>
      <c r="B12" s="112" t="s">
        <v>190</v>
      </c>
      <c r="C12" s="113" t="s">
        <v>191</v>
      </c>
      <c r="D12" s="25" t="s">
        <v>160</v>
      </c>
      <c r="E12" s="114" t="n">
        <f aca="false">CS302!AR9</f>
        <v>1</v>
      </c>
      <c r="F12" s="100" t="str">
        <f aca="false">IF(CS302!AR9=0,"—",TEXT(CS302!AR9,"0"))</f>
        <v>1</v>
      </c>
      <c r="G12" s="100" t="str">
        <f aca="false">IF(CS302!AR9=0,"—",TEXT(CS302!AR9,"0"))</f>
        <v>1</v>
      </c>
      <c r="H12" s="100" t="str">
        <f aca="false">IF(CS302!AR9=0,"—",TEXT(CS302!AR9,"0"))</f>
        <v>1</v>
      </c>
      <c r="I12" s="101" t="s">
        <v>9</v>
      </c>
      <c r="J12" s="101" t="s">
        <v>9</v>
      </c>
      <c r="K12" s="101" t="s">
        <v>9</v>
      </c>
      <c r="L12" s="101" t="s">
        <v>9</v>
      </c>
      <c r="M12" s="101" t="s">
        <v>9</v>
      </c>
      <c r="N12" s="101" t="s">
        <v>9</v>
      </c>
      <c r="O12" s="101" t="s">
        <v>9</v>
      </c>
      <c r="P12" s="101" t="s">
        <v>9</v>
      </c>
      <c r="Q12" s="100" t="str">
        <f aca="false">IF(CS302!AR9=0,"—",TEXT(CS302!AR9,"0"))</f>
        <v>1</v>
      </c>
      <c r="R12" s="101" t="s">
        <v>9</v>
      </c>
      <c r="S12" s="101" t="s">
        <v>9</v>
      </c>
      <c r="T12" s="101" t="s">
        <v>9</v>
      </c>
    </row>
    <row r="13" customFormat="false" ht="18" hidden="false" customHeight="true" outlineLevel="0" collapsed="false">
      <c r="A13" s="111"/>
      <c r="B13" s="111"/>
      <c r="C13" s="111"/>
      <c r="D13" s="25" t="s">
        <v>162</v>
      </c>
      <c r="E13" s="114" t="n">
        <f aca="false">CS302!AR10</f>
        <v>3</v>
      </c>
      <c r="F13" s="102" t="str">
        <f aca="false">IF(CS302!AR10=0,"—",TEXT(CS302!AR10,"0"))</f>
        <v>3</v>
      </c>
      <c r="G13" s="102" t="str">
        <f aca="false">IF(CS302!AR10=0,"—",TEXT(CS302!AR10,"0"))</f>
        <v>3</v>
      </c>
      <c r="H13" s="102" t="str">
        <f aca="false">IF(CS302!AR10=0,"—",TEXT(CS302!AR10,"0"))</f>
        <v>3</v>
      </c>
      <c r="I13" s="103" t="s">
        <v>9</v>
      </c>
      <c r="J13" s="102" t="str">
        <f aca="false">IF(CS302!AR10=0,"—",TEXT(CS302!AR10,"0"))</f>
        <v>3</v>
      </c>
      <c r="K13" s="103" t="s">
        <v>9</v>
      </c>
      <c r="L13" s="103" t="s">
        <v>9</v>
      </c>
      <c r="M13" s="103" t="s">
        <v>9</v>
      </c>
      <c r="N13" s="103" t="s">
        <v>9</v>
      </c>
      <c r="O13" s="103" t="s">
        <v>9</v>
      </c>
      <c r="P13" s="103" t="s">
        <v>9</v>
      </c>
      <c r="Q13" s="102" t="str">
        <f aca="false">IF(CS302!AR10=0,"—",TEXT(CS302!AR10,"0"))</f>
        <v>3</v>
      </c>
      <c r="R13" s="103" t="s">
        <v>9</v>
      </c>
      <c r="S13" s="103" t="s">
        <v>9</v>
      </c>
      <c r="T13" s="103" t="s">
        <v>9</v>
      </c>
    </row>
    <row r="14" customFormat="false" ht="18" hidden="false" customHeight="true" outlineLevel="0" collapsed="false">
      <c r="A14" s="111"/>
      <c r="B14" s="111"/>
      <c r="C14" s="111"/>
      <c r="D14" s="25" t="s">
        <v>164</v>
      </c>
      <c r="E14" s="114" t="n">
        <f aca="false">CS302!AR11</f>
        <v>2</v>
      </c>
      <c r="F14" s="100" t="str">
        <f aca="false">IF(CS302!AR11=0,"—",TEXT(CS302!AR11,"0"))</f>
        <v>2</v>
      </c>
      <c r="G14" s="100" t="str">
        <f aca="false">IF(CS302!AR11=0,"—",TEXT(CS302!AR11,"0"))</f>
        <v>2</v>
      </c>
      <c r="H14" s="100" t="str">
        <f aca="false">IF(CS302!AR11=0,"—",TEXT(CS302!AR11,"0"))</f>
        <v>2</v>
      </c>
      <c r="I14" s="101" t="s">
        <v>9</v>
      </c>
      <c r="J14" s="101" t="s">
        <v>9</v>
      </c>
      <c r="K14" s="101" t="s">
        <v>9</v>
      </c>
      <c r="L14" s="101" t="s">
        <v>9</v>
      </c>
      <c r="M14" s="101" t="s">
        <v>9</v>
      </c>
      <c r="N14" s="101" t="s">
        <v>9</v>
      </c>
      <c r="O14" s="101" t="s">
        <v>9</v>
      </c>
      <c r="P14" s="101" t="s">
        <v>9</v>
      </c>
      <c r="Q14" s="100" t="str">
        <f aca="false">IF(CS302!AR11=0,"—",TEXT(CS302!AR11,"0"))</f>
        <v>2</v>
      </c>
      <c r="R14" s="101" t="s">
        <v>9</v>
      </c>
      <c r="S14" s="101" t="s">
        <v>9</v>
      </c>
      <c r="T14" s="101" t="s">
        <v>9</v>
      </c>
    </row>
    <row r="15" customFormat="false" ht="18" hidden="false" customHeight="true" outlineLevel="0" collapsed="false">
      <c r="A15" s="111"/>
      <c r="B15" s="111"/>
      <c r="C15" s="111"/>
      <c r="D15" s="25" t="s">
        <v>166</v>
      </c>
      <c r="E15" s="114" t="n">
        <f aca="false">CS302!AR12</f>
        <v>2</v>
      </c>
      <c r="F15" s="102" t="str">
        <f aca="false">IF(CS302!AR12=0,"—",TEXT(CS302!AR12,"0"))</f>
        <v>2</v>
      </c>
      <c r="G15" s="102" t="str">
        <f aca="false">IF(CS302!AR12=0,"—",TEXT(CS302!AR12,"0"))</f>
        <v>2</v>
      </c>
      <c r="H15" s="102" t="str">
        <f aca="false">IF(CS302!AR12=0,"—",TEXT(CS302!AR12,"0"))</f>
        <v>2</v>
      </c>
      <c r="I15" s="102" t="str">
        <f aca="false">IF(CS302!AR12=0,"—",TEXT(CS302!AR12,"0"))</f>
        <v>2</v>
      </c>
      <c r="J15" s="103" t="s">
        <v>9</v>
      </c>
      <c r="K15" s="103" t="s">
        <v>9</v>
      </c>
      <c r="L15" s="103" t="s">
        <v>9</v>
      </c>
      <c r="M15" s="103" t="s">
        <v>9</v>
      </c>
      <c r="N15" s="103" t="s">
        <v>9</v>
      </c>
      <c r="O15" s="103" t="s">
        <v>9</v>
      </c>
      <c r="P15" s="103" t="s">
        <v>9</v>
      </c>
      <c r="Q15" s="102" t="str">
        <f aca="false">IF(CS302!AR12=0,"—",TEXT(CS302!AR12,"0"))</f>
        <v>2</v>
      </c>
      <c r="R15" s="103" t="s">
        <v>9</v>
      </c>
      <c r="S15" s="103" t="s">
        <v>9</v>
      </c>
      <c r="T15" s="103" t="s">
        <v>9</v>
      </c>
    </row>
    <row r="16" customFormat="false" ht="18" hidden="false" customHeight="true" outlineLevel="0" collapsed="false">
      <c r="A16" s="111"/>
      <c r="B16" s="111"/>
      <c r="C16" s="111"/>
      <c r="D16" s="25" t="s">
        <v>168</v>
      </c>
      <c r="E16" s="114" t="n">
        <f aca="false">CS302!AR13</f>
        <v>2</v>
      </c>
      <c r="F16" s="100" t="str">
        <f aca="false">IF(CS302!AR13=0,"—",TEXT(CS302!AR13,"0"))</f>
        <v>2</v>
      </c>
      <c r="G16" s="100" t="str">
        <f aca="false">IF(CS302!AR13=0,"—",TEXT(CS302!AR13,"0"))</f>
        <v>2</v>
      </c>
      <c r="H16" s="101" t="s">
        <v>9</v>
      </c>
      <c r="I16" s="100" t="str">
        <f aca="false">IF(CS302!AR13=0,"—",TEXT(CS302!AR13,"0"))</f>
        <v>2</v>
      </c>
      <c r="J16" s="100" t="str">
        <f aca="false">IF(CS302!AR13=0,"—",TEXT(CS302!AR13,"0"))</f>
        <v>2</v>
      </c>
      <c r="K16" s="101" t="s">
        <v>9</v>
      </c>
      <c r="L16" s="101" t="s">
        <v>9</v>
      </c>
      <c r="M16" s="101" t="s">
        <v>9</v>
      </c>
      <c r="N16" s="101" t="s">
        <v>9</v>
      </c>
      <c r="O16" s="101" t="s">
        <v>9</v>
      </c>
      <c r="P16" s="101" t="s">
        <v>9</v>
      </c>
      <c r="Q16" s="100" t="str">
        <f aca="false">IF(CS302!AR13=0,"—",TEXT(CS302!AR13,"0"))</f>
        <v>2</v>
      </c>
      <c r="R16" s="101" t="s">
        <v>9</v>
      </c>
      <c r="S16" s="101" t="s">
        <v>9</v>
      </c>
      <c r="T16" s="101" t="s">
        <v>9</v>
      </c>
    </row>
    <row r="17" customFormat="false" ht="18" hidden="false" customHeight="true" outlineLevel="0" collapsed="false">
      <c r="A17" s="111" t="n">
        <v>3</v>
      </c>
      <c r="B17" s="112" t="s">
        <v>192</v>
      </c>
      <c r="C17" s="113" t="s">
        <v>193</v>
      </c>
      <c r="D17" s="25" t="s">
        <v>160</v>
      </c>
      <c r="E17" s="114" t="n">
        <f aca="false">CS303!AR9</f>
        <v>1</v>
      </c>
      <c r="F17" s="102" t="str">
        <f aca="false">IF(CS303!AR9=0,"—",TEXT(CS303!AR9,"0"))</f>
        <v>1</v>
      </c>
      <c r="G17" s="102" t="str">
        <f aca="false">IF(CS303!AR9=0,"—",TEXT(CS303!AR9,"0"))</f>
        <v>1</v>
      </c>
      <c r="H17" s="103" t="s">
        <v>9</v>
      </c>
      <c r="I17" s="103" t="s">
        <v>9</v>
      </c>
      <c r="J17" s="102" t="str">
        <f aca="false">IF(CS303!AR9=0,"—",TEXT(CS303!AR9,"0"))</f>
        <v>1</v>
      </c>
      <c r="K17" s="103" t="s">
        <v>9</v>
      </c>
      <c r="L17" s="103" t="s">
        <v>9</v>
      </c>
      <c r="M17" s="103" t="s">
        <v>9</v>
      </c>
      <c r="N17" s="103" t="s">
        <v>9</v>
      </c>
      <c r="O17" s="103" t="s">
        <v>9</v>
      </c>
      <c r="P17" s="103" t="s">
        <v>9</v>
      </c>
      <c r="Q17" s="102" t="str">
        <f aca="false">IF(CS303!AR9=0,"—",TEXT(CS303!AR9,"0"))</f>
        <v>1</v>
      </c>
      <c r="R17" s="103" t="s">
        <v>9</v>
      </c>
      <c r="S17" s="103" t="s">
        <v>9</v>
      </c>
      <c r="T17" s="103" t="s">
        <v>9</v>
      </c>
    </row>
    <row r="18" customFormat="false" ht="18" hidden="false" customHeight="true" outlineLevel="0" collapsed="false">
      <c r="A18" s="111"/>
      <c r="B18" s="111"/>
      <c r="C18" s="111"/>
      <c r="D18" s="25" t="s">
        <v>162</v>
      </c>
      <c r="E18" s="114" t="n">
        <f aca="false">CS303!AR10</f>
        <v>2</v>
      </c>
      <c r="F18" s="100" t="str">
        <f aca="false">IF(CS303!AR10=0,"—",TEXT(CS303!AR10,"0"))</f>
        <v>2</v>
      </c>
      <c r="G18" s="100" t="str">
        <f aca="false">IF(CS303!AR10=0,"—",TEXT(CS303!AR10,"0"))</f>
        <v>2</v>
      </c>
      <c r="H18" s="100" t="str">
        <f aca="false">IF(CS303!AR10=0,"—",TEXT(CS303!AR10,"0"))</f>
        <v>2</v>
      </c>
      <c r="I18" s="101" t="s">
        <v>9</v>
      </c>
      <c r="J18" s="100" t="str">
        <f aca="false">IF(CS303!AR10=0,"—",TEXT(CS303!AR10,"0"))</f>
        <v>2</v>
      </c>
      <c r="K18" s="101" t="s">
        <v>9</v>
      </c>
      <c r="L18" s="101" t="s">
        <v>9</v>
      </c>
      <c r="M18" s="101" t="s">
        <v>9</v>
      </c>
      <c r="N18" s="101" t="s">
        <v>9</v>
      </c>
      <c r="O18" s="101" t="s">
        <v>9</v>
      </c>
      <c r="P18" s="101" t="s">
        <v>9</v>
      </c>
      <c r="Q18" s="100" t="str">
        <f aca="false">IF(CS303!AR10=0,"—",TEXT(CS303!AR10,"0"))</f>
        <v>2</v>
      </c>
      <c r="R18" s="101" t="s">
        <v>9</v>
      </c>
      <c r="S18" s="101" t="s">
        <v>9</v>
      </c>
      <c r="T18" s="101" t="s">
        <v>9</v>
      </c>
    </row>
    <row r="19" customFormat="false" ht="18" hidden="false" customHeight="true" outlineLevel="0" collapsed="false">
      <c r="A19" s="111"/>
      <c r="B19" s="111"/>
      <c r="C19" s="111"/>
      <c r="D19" s="25" t="s">
        <v>164</v>
      </c>
      <c r="E19" s="114" t="n">
        <f aca="false">CS303!AR11</f>
        <v>3</v>
      </c>
      <c r="F19" s="102" t="str">
        <f aca="false">IF(CS303!AR11=0,"—",TEXT(CS303!AR11,"0"))</f>
        <v>3</v>
      </c>
      <c r="G19" s="102" t="str">
        <f aca="false">IF(CS303!AR11=0,"—",TEXT(CS303!AR11,"0"))</f>
        <v>3</v>
      </c>
      <c r="H19" s="102" t="str">
        <f aca="false">IF(CS303!AR11=0,"—",TEXT(CS303!AR11,"0"))</f>
        <v>3</v>
      </c>
      <c r="I19" s="102" t="str">
        <f aca="false">IF(CS303!AR11=0,"—",TEXT(CS303!AR11,"0"))</f>
        <v>3</v>
      </c>
      <c r="J19" s="102" t="str">
        <f aca="false">IF(CS303!AR11=0,"—",TEXT(CS303!AR11,"0"))</f>
        <v>3</v>
      </c>
      <c r="K19" s="103" t="s">
        <v>9</v>
      </c>
      <c r="L19" s="103" t="s">
        <v>9</v>
      </c>
      <c r="M19" s="103" t="s">
        <v>9</v>
      </c>
      <c r="N19" s="103" t="s">
        <v>9</v>
      </c>
      <c r="O19" s="103" t="s">
        <v>9</v>
      </c>
      <c r="P19" s="103" t="s">
        <v>9</v>
      </c>
      <c r="Q19" s="102" t="str">
        <f aca="false">IF(CS303!AR11=0,"—",TEXT(CS303!AR11,"0"))</f>
        <v>3</v>
      </c>
      <c r="R19" s="103" t="s">
        <v>9</v>
      </c>
      <c r="S19" s="103" t="s">
        <v>9</v>
      </c>
      <c r="T19" s="103" t="s">
        <v>9</v>
      </c>
    </row>
    <row r="20" customFormat="false" ht="18" hidden="false" customHeight="true" outlineLevel="0" collapsed="false">
      <c r="A20" s="111"/>
      <c r="B20" s="111"/>
      <c r="C20" s="111"/>
      <c r="D20" s="25" t="s">
        <v>166</v>
      </c>
      <c r="E20" s="114" t="n">
        <f aca="false">CS303!AR12</f>
        <v>2</v>
      </c>
      <c r="F20" s="100" t="str">
        <f aca="false">IF(CS303!AR12=0,"—",TEXT(CS303!AR12,"0"))</f>
        <v>2</v>
      </c>
      <c r="G20" s="100" t="str">
        <f aca="false">IF(CS303!AR12=0,"—",TEXT(CS303!AR12,"0"))</f>
        <v>2</v>
      </c>
      <c r="H20" s="100" t="str">
        <f aca="false">IF(CS303!AR12=0,"—",TEXT(CS303!AR12,"0"))</f>
        <v>2</v>
      </c>
      <c r="I20" s="101" t="s">
        <v>9</v>
      </c>
      <c r="J20" s="101" t="s">
        <v>9</v>
      </c>
      <c r="K20" s="101" t="s">
        <v>9</v>
      </c>
      <c r="L20" s="101" t="s">
        <v>9</v>
      </c>
      <c r="M20" s="101" t="s">
        <v>9</v>
      </c>
      <c r="N20" s="101" t="s">
        <v>9</v>
      </c>
      <c r="O20" s="101" t="s">
        <v>9</v>
      </c>
      <c r="P20" s="101" t="s">
        <v>9</v>
      </c>
      <c r="Q20" s="100" t="str">
        <f aca="false">IF(CS303!AR12=0,"—",TEXT(CS303!AR12,"0"))</f>
        <v>2</v>
      </c>
      <c r="R20" s="101" t="s">
        <v>9</v>
      </c>
      <c r="S20" s="101" t="s">
        <v>9</v>
      </c>
      <c r="T20" s="101" t="s">
        <v>9</v>
      </c>
    </row>
    <row r="21" customFormat="false" ht="18" hidden="false" customHeight="true" outlineLevel="0" collapsed="false">
      <c r="A21" s="111"/>
      <c r="B21" s="111"/>
      <c r="C21" s="111"/>
      <c r="D21" s="25" t="s">
        <v>168</v>
      </c>
      <c r="E21" s="114" t="n">
        <f aca="false">CS303!AR13</f>
        <v>2</v>
      </c>
      <c r="F21" s="102" t="str">
        <f aca="false">IF(CS303!AR13=0,"—",TEXT(CS303!AR13,"0"))</f>
        <v>2</v>
      </c>
      <c r="G21" s="102" t="str">
        <f aca="false">IF(CS303!AR13=0,"—",TEXT(CS303!AR13,"0"))</f>
        <v>2</v>
      </c>
      <c r="H21" s="103" t="s">
        <v>9</v>
      </c>
      <c r="I21" s="103" t="s">
        <v>9</v>
      </c>
      <c r="J21" s="102" t="str">
        <f aca="false">IF(CS303!AR13=0,"—",TEXT(CS303!AR13,"0"))</f>
        <v>2</v>
      </c>
      <c r="K21" s="103" t="s">
        <v>9</v>
      </c>
      <c r="L21" s="103" t="s">
        <v>9</v>
      </c>
      <c r="M21" s="103" t="s">
        <v>9</v>
      </c>
      <c r="N21" s="103" t="s">
        <v>9</v>
      </c>
      <c r="O21" s="103" t="s">
        <v>9</v>
      </c>
      <c r="P21" s="103" t="s">
        <v>9</v>
      </c>
      <c r="Q21" s="102" t="str">
        <f aca="false">IF(CS303!AR13=0,"—",TEXT(CS303!AR13,"0"))</f>
        <v>2</v>
      </c>
      <c r="R21" s="103" t="s">
        <v>9</v>
      </c>
      <c r="S21" s="103" t="s">
        <v>9</v>
      </c>
      <c r="T21" s="103" t="s">
        <v>9</v>
      </c>
    </row>
    <row r="22" customFormat="false" ht="18" hidden="false" customHeight="true" outlineLevel="0" collapsed="false">
      <c r="A22" s="111" t="n">
        <v>4</v>
      </c>
      <c r="B22" s="112" t="s">
        <v>194</v>
      </c>
      <c r="C22" s="113" t="s">
        <v>195</v>
      </c>
      <c r="D22" s="25" t="s">
        <v>160</v>
      </c>
      <c r="E22" s="114" t="n">
        <f aca="false">CS304!AR9</f>
        <v>2</v>
      </c>
      <c r="F22" s="100" t="str">
        <f aca="false">IF(CS304!AR9=0,"—",TEXT(CS304!AR9,"0"))</f>
        <v>2</v>
      </c>
      <c r="G22" s="100" t="str">
        <f aca="false">IF(CS304!AR9=0,"—",TEXT(CS304!AR9,"0"))</f>
        <v>2</v>
      </c>
      <c r="H22" s="101" t="s">
        <v>9</v>
      </c>
      <c r="I22" s="101" t="s">
        <v>9</v>
      </c>
      <c r="J22" s="101" t="s">
        <v>9</v>
      </c>
      <c r="K22" s="101" t="s">
        <v>9</v>
      </c>
      <c r="L22" s="101" t="s">
        <v>9</v>
      </c>
      <c r="M22" s="101" t="s">
        <v>9</v>
      </c>
      <c r="N22" s="101" t="s">
        <v>9</v>
      </c>
      <c r="O22" s="101" t="s">
        <v>9</v>
      </c>
      <c r="P22" s="101" t="s">
        <v>9</v>
      </c>
      <c r="Q22" s="100" t="str">
        <f aca="false">IF(CS304!AR9=0,"—",TEXT(CS304!AR9,"0"))</f>
        <v>2</v>
      </c>
      <c r="R22" s="101" t="s">
        <v>9</v>
      </c>
      <c r="S22" s="101" t="s">
        <v>9</v>
      </c>
      <c r="T22" s="101" t="s">
        <v>9</v>
      </c>
    </row>
    <row r="23" customFormat="false" ht="18" hidden="false" customHeight="true" outlineLevel="0" collapsed="false">
      <c r="A23" s="111"/>
      <c r="B23" s="111"/>
      <c r="C23" s="111"/>
      <c r="D23" s="25" t="s">
        <v>162</v>
      </c>
      <c r="E23" s="114" t="n">
        <f aca="false">CS304!AR10</f>
        <v>2</v>
      </c>
      <c r="F23" s="102" t="str">
        <f aca="false">IF(CS304!AR10=0,"—",TEXT(CS304!AR10,"0"))</f>
        <v>2</v>
      </c>
      <c r="G23" s="102" t="str">
        <f aca="false">IF(CS304!AR10=0,"—",TEXT(CS304!AR10,"0"))</f>
        <v>2</v>
      </c>
      <c r="H23" s="102" t="str">
        <f aca="false">IF(CS304!AR10=0,"—",TEXT(CS304!AR10,"0"))</f>
        <v>2</v>
      </c>
      <c r="I23" s="102" t="str">
        <f aca="false">IF(CS304!AR10=0,"—",TEXT(CS304!AR10,"0"))</f>
        <v>2</v>
      </c>
      <c r="J23" s="103" t="s">
        <v>9</v>
      </c>
      <c r="K23" s="103" t="s">
        <v>9</v>
      </c>
      <c r="L23" s="103" t="s">
        <v>9</v>
      </c>
      <c r="M23" s="103" t="s">
        <v>9</v>
      </c>
      <c r="N23" s="103" t="s">
        <v>9</v>
      </c>
      <c r="O23" s="103" t="s">
        <v>9</v>
      </c>
      <c r="P23" s="103" t="s">
        <v>9</v>
      </c>
      <c r="Q23" s="102" t="str">
        <f aca="false">IF(CS304!AR10=0,"—",TEXT(CS304!AR10,"0"))</f>
        <v>2</v>
      </c>
      <c r="R23" s="103" t="s">
        <v>9</v>
      </c>
      <c r="S23" s="103" t="s">
        <v>9</v>
      </c>
      <c r="T23" s="103" t="s">
        <v>9</v>
      </c>
    </row>
    <row r="24" customFormat="false" ht="18" hidden="false" customHeight="true" outlineLevel="0" collapsed="false">
      <c r="A24" s="111"/>
      <c r="B24" s="111"/>
      <c r="C24" s="111"/>
      <c r="D24" s="25" t="s">
        <v>164</v>
      </c>
      <c r="E24" s="114" t="n">
        <f aca="false">CS304!AR11</f>
        <v>2</v>
      </c>
      <c r="F24" s="100" t="str">
        <f aca="false">IF(CS304!AR11=0,"—",TEXT(CS304!AR11,"0"))</f>
        <v>2</v>
      </c>
      <c r="G24" s="100" t="str">
        <f aca="false">IF(CS304!AR11=0,"—",TEXT(CS304!AR11,"0"))</f>
        <v>2</v>
      </c>
      <c r="H24" s="100" t="str">
        <f aca="false">IF(CS304!AR11=0,"—",TEXT(CS304!AR11,"0"))</f>
        <v>2</v>
      </c>
      <c r="I24" s="100" t="str">
        <f aca="false">IF(CS304!AR11=0,"—",TEXT(CS304!AR11,"0"))</f>
        <v>2</v>
      </c>
      <c r="J24" s="101" t="s">
        <v>9</v>
      </c>
      <c r="K24" s="101" t="s">
        <v>9</v>
      </c>
      <c r="L24" s="101" t="s">
        <v>9</v>
      </c>
      <c r="M24" s="101" t="s">
        <v>9</v>
      </c>
      <c r="N24" s="101" t="s">
        <v>9</v>
      </c>
      <c r="O24" s="101" t="s">
        <v>9</v>
      </c>
      <c r="P24" s="101" t="s">
        <v>9</v>
      </c>
      <c r="Q24" s="100" t="str">
        <f aca="false">IF(CS304!AR11=0,"—",TEXT(CS304!AR11,"0"))</f>
        <v>2</v>
      </c>
      <c r="R24" s="101" t="s">
        <v>9</v>
      </c>
      <c r="S24" s="101" t="s">
        <v>9</v>
      </c>
      <c r="T24" s="101" t="s">
        <v>9</v>
      </c>
    </row>
    <row r="25" customFormat="false" ht="18" hidden="false" customHeight="true" outlineLevel="0" collapsed="false">
      <c r="A25" s="111"/>
      <c r="B25" s="111"/>
      <c r="C25" s="111"/>
      <c r="D25" s="25" t="s">
        <v>166</v>
      </c>
      <c r="E25" s="114" t="n">
        <f aca="false">CS304!AR12</f>
        <v>2</v>
      </c>
      <c r="F25" s="102" t="str">
        <f aca="false">IF(CS304!AR12=0,"—",TEXT(CS304!AR12,"0"))</f>
        <v>2</v>
      </c>
      <c r="G25" s="102" t="str">
        <f aca="false">IF(CS304!AR12=0,"—",TEXT(CS304!AR12,"0"))</f>
        <v>2</v>
      </c>
      <c r="H25" s="103" t="s">
        <v>9</v>
      </c>
      <c r="I25" s="103" t="s">
        <v>9</v>
      </c>
      <c r="J25" s="103" t="s">
        <v>9</v>
      </c>
      <c r="K25" s="103" t="s">
        <v>9</v>
      </c>
      <c r="L25" s="103" t="s">
        <v>9</v>
      </c>
      <c r="M25" s="103" t="s">
        <v>9</v>
      </c>
      <c r="N25" s="103" t="s">
        <v>9</v>
      </c>
      <c r="O25" s="103" t="s">
        <v>9</v>
      </c>
      <c r="P25" s="103" t="s">
        <v>9</v>
      </c>
      <c r="Q25" s="102" t="str">
        <f aca="false">IF(CS304!AR12=0,"—",TEXT(CS304!AR12,"0"))</f>
        <v>2</v>
      </c>
      <c r="R25" s="103" t="s">
        <v>9</v>
      </c>
      <c r="S25" s="103" t="s">
        <v>9</v>
      </c>
      <c r="T25" s="103" t="s">
        <v>9</v>
      </c>
    </row>
    <row r="26" customFormat="false" ht="18" hidden="false" customHeight="true" outlineLevel="0" collapsed="false">
      <c r="A26" s="111"/>
      <c r="B26" s="111"/>
      <c r="C26" s="111"/>
      <c r="D26" s="25" t="s">
        <v>168</v>
      </c>
      <c r="E26" s="114" t="n">
        <f aca="false">CS304!AR13</f>
        <v>2</v>
      </c>
      <c r="F26" s="100" t="str">
        <f aca="false">IF(CS304!AR13=0,"—",TEXT(CS304!AR13,"0"))</f>
        <v>2</v>
      </c>
      <c r="G26" s="100" t="str">
        <f aca="false">IF(CS304!AR13=0,"—",TEXT(CS304!AR13,"0"))</f>
        <v>2</v>
      </c>
      <c r="H26" s="101" t="s">
        <v>9</v>
      </c>
      <c r="I26" s="100" t="str">
        <f aca="false">IF(CS304!AR13=0,"—",TEXT(CS304!AR13,"0"))</f>
        <v>2</v>
      </c>
      <c r="J26" s="100" t="str">
        <f aca="false">IF(CS304!AR13=0,"—",TEXT(CS304!AR13,"0"))</f>
        <v>2</v>
      </c>
      <c r="K26" s="101" t="s">
        <v>9</v>
      </c>
      <c r="L26" s="101" t="s">
        <v>9</v>
      </c>
      <c r="M26" s="101" t="s">
        <v>9</v>
      </c>
      <c r="N26" s="101" t="s">
        <v>9</v>
      </c>
      <c r="O26" s="101" t="s">
        <v>9</v>
      </c>
      <c r="P26" s="101" t="s">
        <v>9</v>
      </c>
      <c r="Q26" s="100" t="str">
        <f aca="false">IF(CS304!AR13=0,"—",TEXT(CS304!AR13,"0"))</f>
        <v>2</v>
      </c>
      <c r="R26" s="101" t="s">
        <v>9</v>
      </c>
      <c r="S26" s="101" t="s">
        <v>9</v>
      </c>
      <c r="T26" s="101" t="s">
        <v>9</v>
      </c>
    </row>
    <row r="27" customFormat="false" ht="18" hidden="false" customHeight="true" outlineLevel="0" collapsed="false">
      <c r="A27" s="111" t="n">
        <v>5</v>
      </c>
      <c r="B27" s="112" t="s">
        <v>196</v>
      </c>
      <c r="C27" s="113" t="s">
        <v>197</v>
      </c>
      <c r="D27" s="25" t="s">
        <v>160</v>
      </c>
      <c r="E27" s="114" t="n">
        <f aca="false">CS305!AR9</f>
        <v>2</v>
      </c>
      <c r="F27" s="102" t="str">
        <f aca="false">IF(CS305!AR9=0,"—",TEXT(CS305!AR9,"0"))</f>
        <v>2</v>
      </c>
      <c r="G27" s="102" t="str">
        <f aca="false">IF(CS305!AR9=0,"—",TEXT(CS305!AR9,"0"))</f>
        <v>2</v>
      </c>
      <c r="H27" s="103" t="s">
        <v>9</v>
      </c>
      <c r="I27" s="103" t="s">
        <v>9</v>
      </c>
      <c r="J27" s="102" t="str">
        <f aca="false">IF(CS305!AR9=0,"—",TEXT(CS305!AR9,"0"))</f>
        <v>2</v>
      </c>
      <c r="K27" s="103" t="s">
        <v>9</v>
      </c>
      <c r="L27" s="103" t="s">
        <v>9</v>
      </c>
      <c r="M27" s="103" t="s">
        <v>9</v>
      </c>
      <c r="N27" s="103" t="s">
        <v>9</v>
      </c>
      <c r="O27" s="103" t="s">
        <v>9</v>
      </c>
      <c r="P27" s="103" t="s">
        <v>9</v>
      </c>
      <c r="Q27" s="102" t="str">
        <f aca="false">IF(CS305!AR9=0,"—",TEXT(CS305!AR9,"0"))</f>
        <v>2</v>
      </c>
      <c r="R27" s="103" t="s">
        <v>9</v>
      </c>
      <c r="S27" s="103" t="s">
        <v>9</v>
      </c>
      <c r="T27" s="103" t="s">
        <v>9</v>
      </c>
    </row>
    <row r="28" customFormat="false" ht="18" hidden="false" customHeight="true" outlineLevel="0" collapsed="false">
      <c r="A28" s="111"/>
      <c r="B28" s="111"/>
      <c r="C28" s="111"/>
      <c r="D28" s="25" t="s">
        <v>162</v>
      </c>
      <c r="E28" s="114" t="n">
        <f aca="false">CS305!AR10</f>
        <v>2</v>
      </c>
      <c r="F28" s="100" t="str">
        <f aca="false">IF(CS305!AR10=0,"—",TEXT(CS305!AR10,"0"))</f>
        <v>2</v>
      </c>
      <c r="G28" s="100" t="str">
        <f aca="false">IF(CS305!AR10=0,"—",TEXT(CS305!AR10,"0"))</f>
        <v>2</v>
      </c>
      <c r="H28" s="100" t="str">
        <f aca="false">IF(CS305!AR10=0,"—",TEXT(CS305!AR10,"0"))</f>
        <v>2</v>
      </c>
      <c r="I28" s="101" t="s">
        <v>9</v>
      </c>
      <c r="J28" s="100" t="str">
        <f aca="false">IF(CS305!AR10=0,"—",TEXT(CS305!AR10,"0"))</f>
        <v>2</v>
      </c>
      <c r="K28" s="101" t="s">
        <v>9</v>
      </c>
      <c r="L28" s="101" t="s">
        <v>9</v>
      </c>
      <c r="M28" s="101" t="s">
        <v>9</v>
      </c>
      <c r="N28" s="101" t="s">
        <v>9</v>
      </c>
      <c r="O28" s="101" t="s">
        <v>9</v>
      </c>
      <c r="P28" s="101" t="s">
        <v>9</v>
      </c>
      <c r="Q28" s="100" t="str">
        <f aca="false">IF(CS305!AR10=0,"—",TEXT(CS305!AR10,"0"))</f>
        <v>2</v>
      </c>
      <c r="R28" s="101" t="s">
        <v>9</v>
      </c>
      <c r="S28" s="101" t="s">
        <v>9</v>
      </c>
      <c r="T28" s="101" t="s">
        <v>9</v>
      </c>
    </row>
    <row r="29" customFormat="false" ht="18" hidden="false" customHeight="true" outlineLevel="0" collapsed="false">
      <c r="A29" s="111"/>
      <c r="B29" s="111"/>
      <c r="C29" s="111"/>
      <c r="D29" s="25" t="s">
        <v>164</v>
      </c>
      <c r="E29" s="114" t="n">
        <f aca="false">CS305!AR11</f>
        <v>3</v>
      </c>
      <c r="F29" s="102" t="str">
        <f aca="false">IF(CS305!AR11=0,"—",TEXT(CS305!AR11,"0"))</f>
        <v>3</v>
      </c>
      <c r="G29" s="102" t="str">
        <f aca="false">IF(CS305!AR11=0,"—",TEXT(CS305!AR11,"0"))</f>
        <v>3</v>
      </c>
      <c r="H29" s="102" t="str">
        <f aca="false">IF(CS305!AR11=0,"—",TEXT(CS305!AR11,"0"))</f>
        <v>3</v>
      </c>
      <c r="I29" s="103" t="s">
        <v>9</v>
      </c>
      <c r="J29" s="102" t="str">
        <f aca="false">IF(CS305!AR11=0,"—",TEXT(CS305!AR11,"0"))</f>
        <v>3</v>
      </c>
      <c r="K29" s="103" t="s">
        <v>9</v>
      </c>
      <c r="L29" s="103" t="s">
        <v>9</v>
      </c>
      <c r="M29" s="103" t="s">
        <v>9</v>
      </c>
      <c r="N29" s="103" t="s">
        <v>9</v>
      </c>
      <c r="O29" s="103" t="s">
        <v>9</v>
      </c>
      <c r="P29" s="103" t="s">
        <v>9</v>
      </c>
      <c r="Q29" s="102" t="str">
        <f aca="false">IF(CS305!AR11=0,"—",TEXT(CS305!AR11,"0"))</f>
        <v>3</v>
      </c>
      <c r="R29" s="103" t="s">
        <v>9</v>
      </c>
      <c r="S29" s="103" t="s">
        <v>9</v>
      </c>
      <c r="T29" s="103" t="s">
        <v>9</v>
      </c>
    </row>
    <row r="30" customFormat="false" ht="18" hidden="false" customHeight="true" outlineLevel="0" collapsed="false">
      <c r="A30" s="111"/>
      <c r="B30" s="111"/>
      <c r="C30" s="111"/>
      <c r="D30" s="25" t="s">
        <v>166</v>
      </c>
      <c r="E30" s="114" t="n">
        <f aca="false">CS305!AR12</f>
        <v>2</v>
      </c>
      <c r="F30" s="100" t="str">
        <f aca="false">IF(CS305!AR12=0,"—",TEXT(CS305!AR12,"0"))</f>
        <v>2</v>
      </c>
      <c r="G30" s="100" t="str">
        <f aca="false">IF(CS305!AR12=0,"—",TEXT(CS305!AR12,"0"))</f>
        <v>2</v>
      </c>
      <c r="H30" s="101" t="s">
        <v>9</v>
      </c>
      <c r="I30" s="100" t="str">
        <f aca="false">IF(CS305!AR12=0,"—",TEXT(CS305!AR12,"0"))</f>
        <v>2</v>
      </c>
      <c r="J30" s="100" t="str">
        <f aca="false">IF(CS305!AR12=0,"—",TEXT(CS305!AR12,"0"))</f>
        <v>2</v>
      </c>
      <c r="K30" s="101" t="s">
        <v>9</v>
      </c>
      <c r="L30" s="101" t="s">
        <v>9</v>
      </c>
      <c r="M30" s="101" t="s">
        <v>9</v>
      </c>
      <c r="N30" s="101" t="s">
        <v>9</v>
      </c>
      <c r="O30" s="101" t="s">
        <v>9</v>
      </c>
      <c r="P30" s="101" t="s">
        <v>9</v>
      </c>
      <c r="Q30" s="100" t="str">
        <f aca="false">IF(CS305!AR12=0,"—",TEXT(CS305!AR12,"0"))</f>
        <v>2</v>
      </c>
      <c r="R30" s="101" t="s">
        <v>9</v>
      </c>
      <c r="S30" s="101" t="s">
        <v>9</v>
      </c>
      <c r="T30" s="101" t="s">
        <v>9</v>
      </c>
    </row>
    <row r="31" customFormat="false" ht="18" hidden="false" customHeight="true" outlineLevel="0" collapsed="false">
      <c r="A31" s="111"/>
      <c r="B31" s="111"/>
      <c r="C31" s="111"/>
      <c r="D31" s="25" t="s">
        <v>168</v>
      </c>
      <c r="E31" s="114" t="n">
        <f aca="false">CS305!AR13</f>
        <v>3</v>
      </c>
      <c r="F31" s="102" t="str">
        <f aca="false">IF(CS305!AR13=0,"—",TEXT(CS305!AR13,"0"))</f>
        <v>3</v>
      </c>
      <c r="G31" s="102" t="str">
        <f aca="false">IF(CS305!AR13=0,"—",TEXT(CS305!AR13,"0"))</f>
        <v>3</v>
      </c>
      <c r="H31" s="102" t="str">
        <f aca="false">IF(CS305!AR13=0,"—",TEXT(CS305!AR13,"0"))</f>
        <v>3</v>
      </c>
      <c r="I31" s="102" t="str">
        <f aca="false">IF(CS305!AR13=0,"—",TEXT(CS305!AR13,"0"))</f>
        <v>3</v>
      </c>
      <c r="J31" s="102" t="str">
        <f aca="false">IF(CS305!AR13=0,"—",TEXT(CS305!AR13,"0"))</f>
        <v>3</v>
      </c>
      <c r="K31" s="103" t="s">
        <v>9</v>
      </c>
      <c r="L31" s="103" t="s">
        <v>9</v>
      </c>
      <c r="M31" s="103" t="s">
        <v>9</v>
      </c>
      <c r="N31" s="103" t="s">
        <v>9</v>
      </c>
      <c r="O31" s="103" t="s">
        <v>9</v>
      </c>
      <c r="P31" s="103" t="s">
        <v>9</v>
      </c>
      <c r="Q31" s="102" t="str">
        <f aca="false">IF(CS305!AR13=0,"—",TEXT(CS305!AR13,"0"))</f>
        <v>3</v>
      </c>
      <c r="R31" s="103" t="s">
        <v>9</v>
      </c>
      <c r="S31" s="103" t="s">
        <v>9</v>
      </c>
      <c r="T31" s="103" t="s">
        <v>9</v>
      </c>
    </row>
    <row r="32" customFormat="false" ht="18" hidden="false" customHeight="true" outlineLevel="0" collapsed="false">
      <c r="A32" s="111"/>
      <c r="B32" s="111"/>
      <c r="C32" s="111"/>
      <c r="D32" s="25" t="s">
        <v>198</v>
      </c>
      <c r="E32" s="114" t="n">
        <f aca="false">CS305!AR14</f>
        <v>3</v>
      </c>
      <c r="F32" s="100" t="str">
        <f aca="false">IF(CS305!AR14=0,"—",TEXT(CS305!AR14,"0"))</f>
        <v>3</v>
      </c>
      <c r="G32" s="100" t="str">
        <f aca="false">IF(CS305!AR14=0,"—",TEXT(CS305!AR14,"0"))</f>
        <v>3</v>
      </c>
      <c r="H32" s="100" t="str">
        <f aca="false">IF(CS305!AR14=0,"—",TEXT(CS305!AR14,"0"))</f>
        <v>3</v>
      </c>
      <c r="I32" s="100" t="str">
        <f aca="false">IF(CS305!AR14=0,"—",TEXT(CS305!AR14,"0"))</f>
        <v>3</v>
      </c>
      <c r="J32" s="100" t="str">
        <f aca="false">IF(CS305!AR14=0,"—",TEXT(CS305!AR14,"0"))</f>
        <v>3</v>
      </c>
      <c r="K32" s="101" t="s">
        <v>9</v>
      </c>
      <c r="L32" s="101" t="s">
        <v>9</v>
      </c>
      <c r="M32" s="100" t="str">
        <f aca="false">IF(CS305!AR14=0,"—",TEXT(CS305!AR14,"0"))</f>
        <v>3</v>
      </c>
      <c r="N32" s="100" t="str">
        <f aca="false">IF(CS305!AR14=0,"—",TEXT(CS305!AR14,"0"))</f>
        <v>3</v>
      </c>
      <c r="O32" s="100" t="str">
        <f aca="false">IF(CS305!AR14=0,"—",TEXT(CS305!AR14,"0"))</f>
        <v>3</v>
      </c>
      <c r="P32" s="100" t="str">
        <f aca="false">IF(CS305!AR14=0,"—",TEXT(CS305!AR14,"0"))</f>
        <v>3</v>
      </c>
      <c r="Q32" s="100" t="str">
        <f aca="false">IF(CS305!AR14=0,"—",TEXT(CS305!AR14,"0"))</f>
        <v>3</v>
      </c>
      <c r="R32" s="101" t="s">
        <v>9</v>
      </c>
      <c r="S32" s="101" t="s">
        <v>9</v>
      </c>
      <c r="T32" s="101" t="s">
        <v>9</v>
      </c>
    </row>
    <row r="34" customFormat="false" ht="24" hidden="false" customHeight="true" outlineLevel="0" collapsed="false">
      <c r="A34" s="104" t="s">
        <v>199</v>
      </c>
      <c r="B34" s="104"/>
      <c r="C34" s="104"/>
      <c r="D34" s="104"/>
      <c r="E34" s="105" t="n">
        <f aca="false">IFERROR(AVERAGE(E7:E32),0)</f>
        <v>2.15384615384615</v>
      </c>
      <c r="F34" s="105" t="str">
        <f aca="false">IFERROR(AVERAGEIF(F7:F32,"&lt;&gt;—"),"")</f>
        <v/>
      </c>
      <c r="G34" s="105" t="str">
        <f aca="false">IFERROR(AVERAGEIF(G7:G32,"&lt;&gt;—"),"")</f>
        <v/>
      </c>
      <c r="H34" s="105" t="str">
        <f aca="false">IFERROR(AVERAGEIF(H7:H32,"&lt;&gt;—"),"")</f>
        <v/>
      </c>
      <c r="I34" s="105" t="str">
        <f aca="false">IFERROR(AVERAGEIF(I7:I32,"&lt;&gt;—"),"")</f>
        <v/>
      </c>
      <c r="J34" s="105" t="str">
        <f aca="false">IFERROR(AVERAGEIF(J7:J32,"&lt;&gt;—"),"")</f>
        <v/>
      </c>
      <c r="K34" s="105" t="str">
        <f aca="false">IFERROR(AVERAGEIF(K7:K32,"&lt;&gt;—"),"")</f>
        <v/>
      </c>
      <c r="L34" s="105" t="str">
        <f aca="false">IFERROR(AVERAGEIF(L7:L32,"&lt;&gt;—"),"")</f>
        <v/>
      </c>
      <c r="M34" s="105" t="str">
        <f aca="false">IFERROR(AVERAGEIF(M7:M32,"&lt;&gt;—"),"")</f>
        <v/>
      </c>
      <c r="N34" s="105" t="str">
        <f aca="false">IFERROR(AVERAGEIF(N7:N32,"&lt;&gt;—"),"")</f>
        <v/>
      </c>
      <c r="O34" s="105" t="str">
        <f aca="false">IFERROR(AVERAGEIF(O7:O32,"&lt;&gt;—"),"")</f>
        <v/>
      </c>
      <c r="P34" s="105" t="str">
        <f aca="false">IFERROR(AVERAGEIF(P7:P32,"&lt;&gt;—"),"")</f>
        <v/>
      </c>
      <c r="Q34" s="105" t="str">
        <f aca="false">IFERROR(AVERAGEIF(Q7:Q32,"&lt;&gt;—"),"")</f>
        <v/>
      </c>
      <c r="R34" s="105" t="str">
        <f aca="false">IFERROR(AVERAGEIF(R7:R32,"&lt;&gt;—"),"")</f>
        <v/>
      </c>
      <c r="S34" s="105" t="str">
        <f aca="false">IFERROR(AVERAGEIF(S7:S32,"&lt;&gt;—"),"")</f>
        <v/>
      </c>
      <c r="T34" s="105" t="str">
        <f aca="false">IFERROR(AVERAGEIF(T7:T32,"&lt;&gt;—"),"")</f>
        <v/>
      </c>
    </row>
  </sheetData>
  <mergeCells count="26">
    <mergeCell ref="A1:T1"/>
    <mergeCell ref="A2:T2"/>
    <mergeCell ref="A4:E4"/>
    <mergeCell ref="A5:A6"/>
    <mergeCell ref="B5:B6"/>
    <mergeCell ref="C5:C6"/>
    <mergeCell ref="D5:D6"/>
    <mergeCell ref="E5:E6"/>
    <mergeCell ref="F5:Q5"/>
    <mergeCell ref="R5:T5"/>
    <mergeCell ref="A7:A11"/>
    <mergeCell ref="B7:B11"/>
    <mergeCell ref="C7:C11"/>
    <mergeCell ref="A12:A16"/>
    <mergeCell ref="B12:B16"/>
    <mergeCell ref="C12:C16"/>
    <mergeCell ref="A17:A21"/>
    <mergeCell ref="B17:B21"/>
    <mergeCell ref="C17:C21"/>
    <mergeCell ref="A22:A26"/>
    <mergeCell ref="B22:B26"/>
    <mergeCell ref="C22:C26"/>
    <mergeCell ref="A27:A32"/>
    <mergeCell ref="B27:B32"/>
    <mergeCell ref="C27:C32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22" min="3" style="1" width="8"/>
    <col collapsed="false" customWidth="true" hidden="false" outlineLevel="0" max="42" min="23" style="1" width="7"/>
    <col collapsed="false" customWidth="true" hidden="false" outlineLevel="0" max="43" min="43" style="1" width="10"/>
    <col collapsed="false" customWidth="true" hidden="false" outlineLevel="0" max="45" min="44" style="1" width="9"/>
    <col collapsed="false" customWidth="true" hidden="false" outlineLevel="0" max="60" min="46" style="1" width="8"/>
  </cols>
  <sheetData>
    <row r="1" customFormat="false" ht="36" hidden="false" customHeight="true" outlineLevel="0" collapsed="false">
      <c r="A1" s="58" t="s">
        <v>200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</row>
    <row r="2" customFormat="false" ht="13.5" hidden="false" customHeight="true" outlineLevel="0" collapsed="false">
      <c r="A2" s="59" t="s">
        <v>127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</row>
    <row r="3" customFormat="false" ht="4.5" hidden="false" customHeight="true" outlineLevel="0" collapsed="false"/>
    <row r="4" customFormat="false" ht="15.75" hidden="false" customHeight="true" outlineLevel="0" collapsed="false">
      <c r="A4" s="6" t="s">
        <v>128</v>
      </c>
      <c r="B4" s="6"/>
      <c r="C4" s="60" t="s">
        <v>129</v>
      </c>
      <c r="D4" s="61" t="s">
        <v>130</v>
      </c>
      <c r="E4" s="62" t="s">
        <v>131</v>
      </c>
      <c r="F4" s="63" t="s">
        <v>132</v>
      </c>
    </row>
    <row r="5" customFormat="false" ht="21.75" hidden="false" customHeight="true" outlineLevel="0" collapsed="false">
      <c r="A5" s="5" t="s">
        <v>133</v>
      </c>
      <c r="B5" s="5" t="s">
        <v>134</v>
      </c>
      <c r="C5" s="64" t="s">
        <v>135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5" t="s">
        <v>136</v>
      </c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6" t="s">
        <v>137</v>
      </c>
      <c r="AR5" s="66" t="s">
        <v>138</v>
      </c>
      <c r="AS5" s="67" t="s">
        <v>139</v>
      </c>
      <c r="AT5" s="65" t="s">
        <v>140</v>
      </c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8" t="s">
        <v>141</v>
      </c>
      <c r="BG5" s="68"/>
      <c r="BH5" s="68"/>
    </row>
    <row r="6" customFormat="false" ht="27.75" hidden="false" customHeight="true" outlineLevel="0" collapsed="false">
      <c r="A6" s="24"/>
      <c r="B6" s="69" t="s">
        <v>142</v>
      </c>
      <c r="C6" s="70" t="s">
        <v>35</v>
      </c>
      <c r="D6" s="71" t="s">
        <v>40</v>
      </c>
      <c r="E6" s="72" t="s">
        <v>45</v>
      </c>
      <c r="F6" s="73" t="s">
        <v>50</v>
      </c>
      <c r="G6" s="74" t="s">
        <v>53</v>
      </c>
      <c r="H6" s="75" t="s">
        <v>56</v>
      </c>
      <c r="I6" s="76" t="s">
        <v>59</v>
      </c>
      <c r="J6" s="77" t="s">
        <v>62</v>
      </c>
      <c r="K6" s="78" t="s">
        <v>65</v>
      </c>
      <c r="L6" s="79" t="s">
        <v>68</v>
      </c>
      <c r="M6" s="70" t="s">
        <v>71</v>
      </c>
      <c r="N6" s="71" t="s">
        <v>74</v>
      </c>
      <c r="O6" s="72" t="s">
        <v>77</v>
      </c>
      <c r="P6" s="74" t="s">
        <v>80</v>
      </c>
      <c r="Q6" s="75" t="s">
        <v>83</v>
      </c>
      <c r="R6" s="76" t="s">
        <v>86</v>
      </c>
      <c r="S6" s="73" t="s">
        <v>89</v>
      </c>
      <c r="T6" s="77" t="s">
        <v>93</v>
      </c>
      <c r="U6" s="78" t="s">
        <v>96</v>
      </c>
      <c r="V6" s="79" t="s">
        <v>99</v>
      </c>
      <c r="W6" s="70" t="s">
        <v>35</v>
      </c>
      <c r="X6" s="71" t="s">
        <v>40</v>
      </c>
      <c r="Y6" s="72" t="s">
        <v>45</v>
      </c>
      <c r="Z6" s="73" t="s">
        <v>50</v>
      </c>
      <c r="AA6" s="74" t="s">
        <v>53</v>
      </c>
      <c r="AB6" s="75" t="s">
        <v>56</v>
      </c>
      <c r="AC6" s="76" t="s">
        <v>59</v>
      </c>
      <c r="AD6" s="77" t="s">
        <v>62</v>
      </c>
      <c r="AE6" s="78" t="s">
        <v>65</v>
      </c>
      <c r="AF6" s="79" t="s">
        <v>68</v>
      </c>
      <c r="AG6" s="70" t="s">
        <v>71</v>
      </c>
      <c r="AH6" s="71" t="s">
        <v>74</v>
      </c>
      <c r="AI6" s="72" t="s">
        <v>77</v>
      </c>
      <c r="AJ6" s="74" t="s">
        <v>80</v>
      </c>
      <c r="AK6" s="75" t="s">
        <v>83</v>
      </c>
      <c r="AL6" s="76" t="s">
        <v>86</v>
      </c>
      <c r="AM6" s="73" t="s">
        <v>89</v>
      </c>
      <c r="AN6" s="77" t="s">
        <v>93</v>
      </c>
      <c r="AO6" s="78" t="s">
        <v>96</v>
      </c>
      <c r="AP6" s="79" t="s">
        <v>99</v>
      </c>
      <c r="AQ6" s="80" t="s">
        <v>143</v>
      </c>
      <c r="AR6" s="80" t="s">
        <v>144</v>
      </c>
      <c r="AS6" s="81" t="s">
        <v>145</v>
      </c>
      <c r="AT6" s="25" t="s">
        <v>146</v>
      </c>
      <c r="AU6" s="25" t="s">
        <v>147</v>
      </c>
      <c r="AV6" s="25" t="s">
        <v>148</v>
      </c>
      <c r="AW6" s="25" t="s">
        <v>149</v>
      </c>
      <c r="AX6" s="25" t="s">
        <v>82</v>
      </c>
      <c r="AY6" s="25" t="s">
        <v>150</v>
      </c>
      <c r="AZ6" s="25" t="s">
        <v>151</v>
      </c>
      <c r="BA6" s="25" t="s">
        <v>152</v>
      </c>
      <c r="BB6" s="25" t="s">
        <v>76</v>
      </c>
      <c r="BC6" s="25" t="s">
        <v>79</v>
      </c>
      <c r="BD6" s="25" t="s">
        <v>153</v>
      </c>
      <c r="BE6" s="25" t="s">
        <v>154</v>
      </c>
      <c r="BF6" s="33" t="s">
        <v>155</v>
      </c>
      <c r="BG6" s="33" t="s">
        <v>156</v>
      </c>
      <c r="BH6" s="33" t="s">
        <v>157</v>
      </c>
    </row>
    <row r="7" customFormat="false" ht="15.75" hidden="false" customHeight="true" outlineLevel="0" collapsed="false">
      <c r="A7" s="82" t="s">
        <v>158</v>
      </c>
      <c r="B7" s="82"/>
      <c r="C7" s="83" t="n">
        <v>0.05</v>
      </c>
      <c r="D7" s="83" t="n">
        <v>0.05</v>
      </c>
      <c r="E7" s="83" t="n">
        <v>0.05</v>
      </c>
      <c r="F7" s="83" t="n">
        <v>0.05</v>
      </c>
      <c r="G7" s="83" t="n">
        <v>0.05</v>
      </c>
      <c r="H7" s="83" t="n">
        <v>0.05</v>
      </c>
      <c r="I7" s="83" t="n">
        <v>0.05</v>
      </c>
      <c r="J7" s="83" t="n">
        <v>0.05</v>
      </c>
      <c r="K7" s="83" t="n">
        <v>0.05</v>
      </c>
      <c r="L7" s="83" t="n">
        <v>0.05</v>
      </c>
      <c r="M7" s="83" t="n">
        <v>0.05</v>
      </c>
      <c r="N7" s="83" t="n">
        <v>0.05</v>
      </c>
      <c r="O7" s="83" t="n">
        <v>0.05</v>
      </c>
      <c r="P7" s="83" t="n">
        <v>0.05</v>
      </c>
      <c r="Q7" s="83" t="n">
        <v>0.05</v>
      </c>
      <c r="R7" s="83" t="n">
        <v>0.05</v>
      </c>
      <c r="S7" s="83" t="n">
        <v>0.05</v>
      </c>
      <c r="T7" s="83" t="n">
        <v>0.05</v>
      </c>
      <c r="U7" s="83" t="n">
        <v>0.05</v>
      </c>
      <c r="V7" s="83" t="n">
        <v>0.05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83" t="n">
        <f aca="false">SUM(C7:V7)</f>
        <v>1</v>
      </c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customFormat="false" ht="12.75" hidden="false" customHeight="true" outlineLevel="0" collapsed="false">
      <c r="A8" s="84" t="s">
        <v>159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</row>
    <row r="9" customFormat="false" ht="21.75" hidden="false" customHeight="true" outlineLevel="0" collapsed="false">
      <c r="A9" s="85" t="s">
        <v>160</v>
      </c>
      <c r="B9" s="50" t="s">
        <v>201</v>
      </c>
      <c r="C9" s="86" t="n">
        <v>2</v>
      </c>
      <c r="D9" s="86" t="n">
        <v>25</v>
      </c>
      <c r="E9" s="86" t="n">
        <v>1</v>
      </c>
      <c r="F9" s="86" t="n">
        <v>1</v>
      </c>
      <c r="G9" s="86" t="n">
        <v>2</v>
      </c>
      <c r="H9" s="86" t="n">
        <v>1</v>
      </c>
      <c r="I9" s="86" t="n">
        <v>1</v>
      </c>
      <c r="J9" s="86" t="n">
        <v>1</v>
      </c>
      <c r="K9" s="86" t="n">
        <v>1</v>
      </c>
      <c r="L9" s="86" t="n">
        <v>1</v>
      </c>
      <c r="M9" s="86" t="n">
        <v>1</v>
      </c>
      <c r="N9" s="86" t="n">
        <v>1</v>
      </c>
      <c r="O9" s="86" t="n">
        <v>1</v>
      </c>
      <c r="P9" s="86" t="n">
        <v>1</v>
      </c>
      <c r="Q9" s="86" t="n">
        <v>1</v>
      </c>
      <c r="R9" s="86" t="n">
        <v>30</v>
      </c>
      <c r="S9" s="86" t="n">
        <v>62</v>
      </c>
      <c r="T9" s="86" t="n">
        <v>1</v>
      </c>
      <c r="U9" s="86" t="n">
        <v>1</v>
      </c>
      <c r="V9" s="86" t="n">
        <v>40</v>
      </c>
      <c r="W9" s="87" t="n">
        <f aca="false">IF(C9&gt;=5,3,IF(C9&gt;=3,2,IF(C9&gt;=1,1,0)))</f>
        <v>1</v>
      </c>
      <c r="X9" s="88" t="n">
        <f aca="false">IF(D9&gt;40,3,IF(D9&gt;15,2,IF(D9&gt;5,1,0)))</f>
        <v>2</v>
      </c>
      <c r="Y9" s="89" t="n">
        <f aca="false">IF(E9&gt;=3,3,IF(E9&gt;=2,2,IF(E9&gt;=1,1,0)))</f>
        <v>1</v>
      </c>
      <c r="Z9" s="90" t="n">
        <f aca="false">IF(F9&gt;=3,3,IF(F9&gt;=2,2,IF(F9&gt;=1,1,0)))</f>
        <v>1</v>
      </c>
      <c r="AA9" s="91" t="n">
        <f aca="false">IF(G9&gt;=3,3,IF(G9&gt;=2,2,IF(G9&gt;=1,1,0)))</f>
        <v>2</v>
      </c>
      <c r="AB9" s="92" t="n">
        <f aca="false">IF(H9&gt;=3,3,IF(H9&gt;=2,2,IF(H9&gt;=1,1,0)))</f>
        <v>1</v>
      </c>
      <c r="AC9" s="93" t="n">
        <f aca="false">IF(I9&gt;=3,3,IF(I9&gt;=2,2,IF(I9&gt;=1,1,0)))</f>
        <v>1</v>
      </c>
      <c r="AD9" s="94" t="n">
        <f aca="false">IF(J9&gt;=3,3,IF(J9&gt;=2,2,IF(J9&gt;=1,1,0)))</f>
        <v>1</v>
      </c>
      <c r="AE9" s="95" t="n">
        <f aca="false">IF(K9&gt;=3,3,IF(K9&gt;=2,2,IF(K9&gt;=1,1,0)))</f>
        <v>1</v>
      </c>
      <c r="AF9" s="90" t="n">
        <f aca="false">IF(L9&gt;=3,3,IF(L9&gt;=2,2,IF(L9&gt;=1,1,0)))</f>
        <v>1</v>
      </c>
      <c r="AG9" s="96" t="n">
        <f aca="false">IF(M9&gt;=3,3,IF(M9&gt;=2,2,IF(M9&gt;=1,1,0)))</f>
        <v>1</v>
      </c>
      <c r="AH9" s="88" t="n">
        <f aca="false">IF(N9&gt;=3,3,IF(N9&gt;=2,2,IF(N9&gt;=1,1,0)))</f>
        <v>1</v>
      </c>
      <c r="AI9" s="89" t="n">
        <f aca="false">IF(O9&gt;=3,3,IF(O9&gt;=2,2,IF(O9&gt;=1,1,0)))</f>
        <v>1</v>
      </c>
      <c r="AJ9" s="91" t="n">
        <f aca="false">IF(P9&gt;=3,3,IF(P9&gt;=2,2,IF(P9&gt;=1,1,0)))</f>
        <v>1</v>
      </c>
      <c r="AK9" s="91" t="n">
        <f aca="false">IF(Q9&gt;=3,3,IF(Q9&gt;=2,2,IF(Q9&gt;=1,1,0)))</f>
        <v>1</v>
      </c>
      <c r="AL9" s="93" t="n">
        <f aca="false">IF(R9&gt;60,3,IF(R9&gt;40,2,IF(R9&gt;25,1,0)))</f>
        <v>1</v>
      </c>
      <c r="AM9" s="90" t="n">
        <f aca="false">IF(S9&gt;70,3,IF(S9&gt;50,2,IF(S9&gt;40,1,0)))</f>
        <v>2</v>
      </c>
      <c r="AN9" s="94" t="n">
        <f aca="false">IF(T9&gt;=3,3,IF(T9&gt;=2,2,IF(T9&gt;=1,1,0)))</f>
        <v>1</v>
      </c>
      <c r="AO9" s="95" t="n">
        <f aca="false">IF(U9&gt;=3,3,IF(U9&gt;=2,2,IF(U9&gt;=1,1,0)))</f>
        <v>1</v>
      </c>
      <c r="AP9" s="90" t="n">
        <f aca="false">IF(V9&gt;70,3,IF(V9&gt;40,2,IF(V9&gt;0,1,0)))</f>
        <v>1</v>
      </c>
      <c r="AQ9" s="97" t="n">
        <f aca="false">IFERROR(SUMPRODUCT(C7:V7,W9:AP9)/SUM(C7:V7),0)</f>
        <v>1.15</v>
      </c>
      <c r="AR9" s="98" t="n">
        <f aca="false">IF(AQ9&gt;=2.5,3,IF(AQ9&gt;=1.5,2,IF(AQ9&gt;=0.5,1,0)))</f>
        <v>1</v>
      </c>
      <c r="AS9" s="99" t="str">
        <f aca="false">IF(AR9=0,"—",TEXT(AR9,"0"))</f>
        <v>1</v>
      </c>
      <c r="AT9" s="100" t="str">
        <f aca="false">IF(AR9=0,"—",TEXT(AR9,"0"))</f>
        <v>1</v>
      </c>
      <c r="AU9" s="100" t="str">
        <f aca="false">IF(AR9=0,"—",TEXT(AR9,"0"))</f>
        <v>1</v>
      </c>
      <c r="AV9" s="101" t="s">
        <v>9</v>
      </c>
      <c r="AW9" s="101" t="s">
        <v>9</v>
      </c>
      <c r="AX9" s="100" t="str">
        <f aca="false">IF(AR9=0,"—",TEXT(AR9,"0"))</f>
        <v>1</v>
      </c>
      <c r="AY9" s="101" t="s">
        <v>9</v>
      </c>
      <c r="AZ9" s="101" t="s">
        <v>9</v>
      </c>
      <c r="BA9" s="101" t="s">
        <v>9</v>
      </c>
      <c r="BB9" s="101" t="s">
        <v>9</v>
      </c>
      <c r="BC9" s="101" t="s">
        <v>9</v>
      </c>
      <c r="BD9" s="101" t="s">
        <v>9</v>
      </c>
      <c r="BE9" s="100" t="str">
        <f aca="false">IF(AR9=0,"—",TEXT(AR9,"0"))</f>
        <v>1</v>
      </c>
      <c r="BF9" s="101" t="s">
        <v>9</v>
      </c>
      <c r="BG9" s="101" t="s">
        <v>9</v>
      </c>
      <c r="BH9" s="101" t="s">
        <v>9</v>
      </c>
    </row>
    <row r="10" customFormat="false" ht="21.75" hidden="false" customHeight="true" outlineLevel="0" collapsed="false">
      <c r="A10" s="85" t="s">
        <v>162</v>
      </c>
      <c r="B10" s="53" t="s">
        <v>202</v>
      </c>
      <c r="C10" s="86" t="n">
        <v>4</v>
      </c>
      <c r="D10" s="86" t="n">
        <v>38</v>
      </c>
      <c r="E10" s="86" t="n">
        <v>3</v>
      </c>
      <c r="F10" s="86" t="n">
        <v>3</v>
      </c>
      <c r="G10" s="86" t="n">
        <v>3</v>
      </c>
      <c r="H10" s="86" t="n">
        <v>2</v>
      </c>
      <c r="I10" s="86" t="n">
        <v>3</v>
      </c>
      <c r="J10" s="86" t="n">
        <v>2</v>
      </c>
      <c r="K10" s="86" t="n">
        <v>2</v>
      </c>
      <c r="L10" s="86" t="n">
        <v>2</v>
      </c>
      <c r="M10" s="86" t="n">
        <v>2</v>
      </c>
      <c r="N10" s="86" t="n">
        <v>2</v>
      </c>
      <c r="O10" s="86" t="n">
        <v>2</v>
      </c>
      <c r="P10" s="86" t="n">
        <v>3</v>
      </c>
      <c r="Q10" s="86" t="n">
        <v>2</v>
      </c>
      <c r="R10" s="86" t="n">
        <v>48</v>
      </c>
      <c r="S10" s="86" t="n">
        <v>74</v>
      </c>
      <c r="T10" s="86" t="n">
        <v>2</v>
      </c>
      <c r="U10" s="86" t="n">
        <v>2</v>
      </c>
      <c r="V10" s="86" t="n">
        <v>65</v>
      </c>
      <c r="W10" s="87" t="n">
        <f aca="false">IF(C10&gt;=5,3,IF(C10&gt;=3,2,IF(C10&gt;=1,1,0)))</f>
        <v>2</v>
      </c>
      <c r="X10" s="88" t="n">
        <f aca="false">IF(D10&gt;40,3,IF(D10&gt;15,2,IF(D10&gt;5,1,0)))</f>
        <v>2</v>
      </c>
      <c r="Y10" s="89" t="n">
        <f aca="false">IF(E10&gt;=3,3,IF(E10&gt;=2,2,IF(E10&gt;=1,1,0)))</f>
        <v>3</v>
      </c>
      <c r="Z10" s="90" t="n">
        <f aca="false">IF(F10&gt;=3,3,IF(F10&gt;=2,2,IF(F10&gt;=1,1,0)))</f>
        <v>3</v>
      </c>
      <c r="AA10" s="91" t="n">
        <f aca="false">IF(G10&gt;=3,3,IF(G10&gt;=2,2,IF(G10&gt;=1,1,0)))</f>
        <v>3</v>
      </c>
      <c r="AB10" s="92" t="n">
        <f aca="false">IF(H10&gt;=3,3,IF(H10&gt;=2,2,IF(H10&gt;=1,1,0)))</f>
        <v>2</v>
      </c>
      <c r="AC10" s="93" t="n">
        <f aca="false">IF(I10&gt;=3,3,IF(I10&gt;=2,2,IF(I10&gt;=1,1,0)))</f>
        <v>3</v>
      </c>
      <c r="AD10" s="94" t="n">
        <f aca="false">IF(J10&gt;=3,3,IF(J10&gt;=2,2,IF(J10&gt;=1,1,0)))</f>
        <v>2</v>
      </c>
      <c r="AE10" s="95" t="n">
        <f aca="false">IF(K10&gt;=3,3,IF(K10&gt;=2,2,IF(K10&gt;=1,1,0)))</f>
        <v>2</v>
      </c>
      <c r="AF10" s="90" t="n">
        <f aca="false">IF(L10&gt;=3,3,IF(L10&gt;=2,2,IF(L10&gt;=1,1,0)))</f>
        <v>2</v>
      </c>
      <c r="AG10" s="96" t="n">
        <f aca="false">IF(M10&gt;=3,3,IF(M10&gt;=2,2,IF(M10&gt;=1,1,0)))</f>
        <v>2</v>
      </c>
      <c r="AH10" s="88" t="n">
        <f aca="false">IF(N10&gt;=3,3,IF(N10&gt;=2,2,IF(N10&gt;=1,1,0)))</f>
        <v>2</v>
      </c>
      <c r="AI10" s="89" t="n">
        <f aca="false">IF(O10&gt;=3,3,IF(O10&gt;=2,2,IF(O10&gt;=1,1,0)))</f>
        <v>2</v>
      </c>
      <c r="AJ10" s="91" t="n">
        <f aca="false">IF(P10&gt;=3,3,IF(P10&gt;=2,2,IF(P10&gt;=1,1,0)))</f>
        <v>3</v>
      </c>
      <c r="AK10" s="91" t="n">
        <f aca="false">IF(Q10&gt;=3,3,IF(Q10&gt;=2,2,IF(Q10&gt;=1,1,0)))</f>
        <v>2</v>
      </c>
      <c r="AL10" s="93" t="n">
        <f aca="false">IF(R10&gt;60,3,IF(R10&gt;40,2,IF(R10&gt;25,1,0)))</f>
        <v>2</v>
      </c>
      <c r="AM10" s="90" t="n">
        <f aca="false">IF(S10&gt;70,3,IF(S10&gt;50,2,IF(S10&gt;40,1,0)))</f>
        <v>3</v>
      </c>
      <c r="AN10" s="94" t="n">
        <f aca="false">IF(T10&gt;=3,3,IF(T10&gt;=2,2,IF(T10&gt;=1,1,0)))</f>
        <v>2</v>
      </c>
      <c r="AO10" s="95" t="n">
        <f aca="false">IF(U10&gt;=3,3,IF(U10&gt;=2,2,IF(U10&gt;=1,1,0)))</f>
        <v>2</v>
      </c>
      <c r="AP10" s="90" t="n">
        <f aca="false">IF(V10&gt;70,3,IF(V10&gt;40,2,IF(V10&gt;0,1,0)))</f>
        <v>2</v>
      </c>
      <c r="AQ10" s="97" t="n">
        <f aca="false">IFERROR(SUMPRODUCT(C7:V7,W10:AP10)/SUM(C7:V7),0)</f>
        <v>2.3</v>
      </c>
      <c r="AR10" s="98" t="n">
        <f aca="false">IF(AQ10&gt;=2.5,3,IF(AQ10&gt;=1.5,2,IF(AQ10&gt;=0.5,1,0)))</f>
        <v>2</v>
      </c>
      <c r="AS10" s="99" t="str">
        <f aca="false">IF(AR10=0,"—",TEXT(AR10,"0"))</f>
        <v>2</v>
      </c>
      <c r="AT10" s="102" t="str">
        <f aca="false">IF(AR10=0,"—",TEXT(AR10,"0"))</f>
        <v>2</v>
      </c>
      <c r="AU10" s="102" t="str">
        <f aca="false">IF(AR10=0,"—",TEXT(AR10,"0"))</f>
        <v>2</v>
      </c>
      <c r="AV10" s="102" t="str">
        <f aca="false">IF(AR10=0,"—",TEXT(AR10,"0"))</f>
        <v>2</v>
      </c>
      <c r="AW10" s="103" t="s">
        <v>9</v>
      </c>
      <c r="AX10" s="102" t="str">
        <f aca="false">IF(AR10=0,"—",TEXT(AR10,"0"))</f>
        <v>2</v>
      </c>
      <c r="AY10" s="103" t="s">
        <v>9</v>
      </c>
      <c r="AZ10" s="103" t="s">
        <v>9</v>
      </c>
      <c r="BA10" s="103" t="s">
        <v>9</v>
      </c>
      <c r="BB10" s="103" t="s">
        <v>9</v>
      </c>
      <c r="BC10" s="103" t="s">
        <v>9</v>
      </c>
      <c r="BD10" s="103" t="s">
        <v>9</v>
      </c>
      <c r="BE10" s="102" t="str">
        <f aca="false">IF(AR10=0,"—",TEXT(AR10,"0"))</f>
        <v>2</v>
      </c>
      <c r="BF10" s="103" t="s">
        <v>9</v>
      </c>
      <c r="BG10" s="103" t="s">
        <v>9</v>
      </c>
      <c r="BH10" s="103" t="s">
        <v>9</v>
      </c>
    </row>
    <row r="11" customFormat="false" ht="21.75" hidden="false" customHeight="true" outlineLevel="0" collapsed="false">
      <c r="A11" s="85" t="s">
        <v>164</v>
      </c>
      <c r="B11" s="50" t="s">
        <v>203</v>
      </c>
      <c r="C11" s="86" t="n">
        <v>5</v>
      </c>
      <c r="D11" s="86" t="n">
        <v>45</v>
      </c>
      <c r="E11" s="86" t="n">
        <v>3</v>
      </c>
      <c r="F11" s="86" t="n">
        <v>3</v>
      </c>
      <c r="G11" s="86" t="n">
        <v>3</v>
      </c>
      <c r="H11" s="86" t="n">
        <v>2</v>
      </c>
      <c r="I11" s="86" t="n">
        <v>3</v>
      </c>
      <c r="J11" s="86" t="n">
        <v>2</v>
      </c>
      <c r="K11" s="86" t="n">
        <v>2</v>
      </c>
      <c r="L11" s="86" t="n">
        <v>3</v>
      </c>
      <c r="M11" s="86" t="n">
        <v>3</v>
      </c>
      <c r="N11" s="86" t="n">
        <v>2</v>
      </c>
      <c r="O11" s="86" t="n">
        <v>2</v>
      </c>
      <c r="P11" s="86" t="n">
        <v>3</v>
      </c>
      <c r="Q11" s="86" t="n">
        <v>2</v>
      </c>
      <c r="R11" s="86" t="n">
        <v>55</v>
      </c>
      <c r="S11" s="86" t="n">
        <v>78</v>
      </c>
      <c r="T11" s="86" t="n">
        <v>3</v>
      </c>
      <c r="U11" s="86" t="n">
        <v>2</v>
      </c>
      <c r="V11" s="86" t="n">
        <v>72</v>
      </c>
      <c r="W11" s="87" t="n">
        <f aca="false">IF(C11&gt;=5,3,IF(C11&gt;=3,2,IF(C11&gt;=1,1,0)))</f>
        <v>3</v>
      </c>
      <c r="X11" s="88" t="n">
        <f aca="false">IF(D11&gt;40,3,IF(D11&gt;15,2,IF(D11&gt;5,1,0)))</f>
        <v>3</v>
      </c>
      <c r="Y11" s="89" t="n">
        <f aca="false">IF(E11&gt;=3,3,IF(E11&gt;=2,2,IF(E11&gt;=1,1,0)))</f>
        <v>3</v>
      </c>
      <c r="Z11" s="90" t="n">
        <f aca="false">IF(F11&gt;=3,3,IF(F11&gt;=2,2,IF(F11&gt;=1,1,0)))</f>
        <v>3</v>
      </c>
      <c r="AA11" s="91" t="n">
        <f aca="false">IF(G11&gt;=3,3,IF(G11&gt;=2,2,IF(G11&gt;=1,1,0)))</f>
        <v>3</v>
      </c>
      <c r="AB11" s="92" t="n">
        <f aca="false">IF(H11&gt;=3,3,IF(H11&gt;=2,2,IF(H11&gt;=1,1,0)))</f>
        <v>2</v>
      </c>
      <c r="AC11" s="93" t="n">
        <f aca="false">IF(I11&gt;=3,3,IF(I11&gt;=2,2,IF(I11&gt;=1,1,0)))</f>
        <v>3</v>
      </c>
      <c r="AD11" s="94" t="n">
        <f aca="false">IF(J11&gt;=3,3,IF(J11&gt;=2,2,IF(J11&gt;=1,1,0)))</f>
        <v>2</v>
      </c>
      <c r="AE11" s="95" t="n">
        <f aca="false">IF(K11&gt;=3,3,IF(K11&gt;=2,2,IF(K11&gt;=1,1,0)))</f>
        <v>2</v>
      </c>
      <c r="AF11" s="90" t="n">
        <f aca="false">IF(L11&gt;=3,3,IF(L11&gt;=2,2,IF(L11&gt;=1,1,0)))</f>
        <v>3</v>
      </c>
      <c r="AG11" s="96" t="n">
        <f aca="false">IF(M11&gt;=3,3,IF(M11&gt;=2,2,IF(M11&gt;=1,1,0)))</f>
        <v>3</v>
      </c>
      <c r="AH11" s="88" t="n">
        <f aca="false">IF(N11&gt;=3,3,IF(N11&gt;=2,2,IF(N11&gt;=1,1,0)))</f>
        <v>2</v>
      </c>
      <c r="AI11" s="89" t="n">
        <f aca="false">IF(O11&gt;=3,3,IF(O11&gt;=2,2,IF(O11&gt;=1,1,0)))</f>
        <v>2</v>
      </c>
      <c r="AJ11" s="91" t="n">
        <f aca="false">IF(P11&gt;=3,3,IF(P11&gt;=2,2,IF(P11&gt;=1,1,0)))</f>
        <v>3</v>
      </c>
      <c r="AK11" s="91" t="n">
        <f aca="false">IF(Q11&gt;=3,3,IF(Q11&gt;=2,2,IF(Q11&gt;=1,1,0)))</f>
        <v>2</v>
      </c>
      <c r="AL11" s="93" t="n">
        <f aca="false">IF(R11&gt;60,3,IF(R11&gt;40,2,IF(R11&gt;25,1,0)))</f>
        <v>2</v>
      </c>
      <c r="AM11" s="90" t="n">
        <f aca="false">IF(S11&gt;70,3,IF(S11&gt;50,2,IF(S11&gt;40,1,0)))</f>
        <v>3</v>
      </c>
      <c r="AN11" s="94" t="n">
        <f aca="false">IF(T11&gt;=3,3,IF(T11&gt;=2,2,IF(T11&gt;=1,1,0)))</f>
        <v>3</v>
      </c>
      <c r="AO11" s="95" t="n">
        <f aca="false">IF(U11&gt;=3,3,IF(U11&gt;=2,2,IF(U11&gt;=1,1,0)))</f>
        <v>2</v>
      </c>
      <c r="AP11" s="90" t="n">
        <f aca="false">IF(V11&gt;70,3,IF(V11&gt;40,2,IF(V11&gt;0,1,0)))</f>
        <v>3</v>
      </c>
      <c r="AQ11" s="97" t="n">
        <f aca="false">IFERROR(SUMPRODUCT(C7:V7,W11:AP11)/SUM(C7:V7),0)</f>
        <v>2.6</v>
      </c>
      <c r="AR11" s="98" t="n">
        <f aca="false">IF(AQ11&gt;=2.5,3,IF(AQ11&gt;=1.5,2,IF(AQ11&gt;=0.5,1,0)))</f>
        <v>3</v>
      </c>
      <c r="AS11" s="99" t="str">
        <f aca="false">IF(AR11=0,"—",TEXT(AR11,"0"))</f>
        <v>3</v>
      </c>
      <c r="AT11" s="100" t="str">
        <f aca="false">IF(AR11=0,"—",TEXT(AR11,"0"))</f>
        <v>3</v>
      </c>
      <c r="AU11" s="100" t="str">
        <f aca="false">IF(AR11=0,"—",TEXT(AR11,"0"))</f>
        <v>3</v>
      </c>
      <c r="AV11" s="100" t="str">
        <f aca="false">IF(AR11=0,"—",TEXT(AR11,"0"))</f>
        <v>3</v>
      </c>
      <c r="AW11" s="100" t="str">
        <f aca="false">IF(AR11=0,"—",TEXT(AR11,"0"))</f>
        <v>3</v>
      </c>
      <c r="AX11" s="100" t="str">
        <f aca="false">IF(AR11=0,"—",TEXT(AR11,"0"))</f>
        <v>3</v>
      </c>
      <c r="AY11" s="101" t="s">
        <v>9</v>
      </c>
      <c r="AZ11" s="101" t="s">
        <v>9</v>
      </c>
      <c r="BA11" s="101" t="s">
        <v>9</v>
      </c>
      <c r="BB11" s="101" t="s">
        <v>9</v>
      </c>
      <c r="BC11" s="101" t="s">
        <v>9</v>
      </c>
      <c r="BD11" s="101" t="s">
        <v>9</v>
      </c>
      <c r="BE11" s="100" t="str">
        <f aca="false">IF(AR11=0,"—",TEXT(AR11,"0"))</f>
        <v>3</v>
      </c>
      <c r="BF11" s="101" t="s">
        <v>9</v>
      </c>
      <c r="BG11" s="101" t="s">
        <v>9</v>
      </c>
      <c r="BH11" s="101" t="s">
        <v>9</v>
      </c>
    </row>
    <row r="12" customFormat="false" ht="21.75" hidden="false" customHeight="true" outlineLevel="0" collapsed="false">
      <c r="A12" s="85" t="s">
        <v>166</v>
      </c>
      <c r="B12" s="53" t="s">
        <v>204</v>
      </c>
      <c r="C12" s="86" t="n">
        <v>4</v>
      </c>
      <c r="D12" s="86" t="n">
        <v>38</v>
      </c>
      <c r="E12" s="86" t="n">
        <v>2</v>
      </c>
      <c r="F12" s="86" t="n">
        <v>2</v>
      </c>
      <c r="G12" s="86" t="n">
        <v>2</v>
      </c>
      <c r="H12" s="86" t="n">
        <v>1</v>
      </c>
      <c r="I12" s="86" t="n">
        <v>2</v>
      </c>
      <c r="J12" s="86" t="n">
        <v>1</v>
      </c>
      <c r="K12" s="86" t="n">
        <v>1</v>
      </c>
      <c r="L12" s="86" t="n">
        <v>1</v>
      </c>
      <c r="M12" s="86" t="n">
        <v>1</v>
      </c>
      <c r="N12" s="86" t="n">
        <v>1</v>
      </c>
      <c r="O12" s="86" t="n">
        <v>1</v>
      </c>
      <c r="P12" s="86" t="n">
        <v>2</v>
      </c>
      <c r="Q12" s="86" t="n">
        <v>1</v>
      </c>
      <c r="R12" s="86" t="n">
        <v>42</v>
      </c>
      <c r="S12" s="86" t="n">
        <v>70</v>
      </c>
      <c r="T12" s="86" t="n">
        <v>2</v>
      </c>
      <c r="U12" s="86" t="n">
        <v>1</v>
      </c>
      <c r="V12" s="86" t="n">
        <v>55</v>
      </c>
      <c r="W12" s="87" t="n">
        <f aca="false">IF(C12&gt;=5,3,IF(C12&gt;=3,2,IF(C12&gt;=1,1,0)))</f>
        <v>2</v>
      </c>
      <c r="X12" s="88" t="n">
        <f aca="false">IF(D12&gt;40,3,IF(D12&gt;15,2,IF(D12&gt;5,1,0)))</f>
        <v>2</v>
      </c>
      <c r="Y12" s="89" t="n">
        <f aca="false">IF(E12&gt;=3,3,IF(E12&gt;=2,2,IF(E12&gt;=1,1,0)))</f>
        <v>2</v>
      </c>
      <c r="Z12" s="90" t="n">
        <f aca="false">IF(F12&gt;=3,3,IF(F12&gt;=2,2,IF(F12&gt;=1,1,0)))</f>
        <v>2</v>
      </c>
      <c r="AA12" s="91" t="n">
        <f aca="false">IF(G12&gt;=3,3,IF(G12&gt;=2,2,IF(G12&gt;=1,1,0)))</f>
        <v>2</v>
      </c>
      <c r="AB12" s="92" t="n">
        <f aca="false">IF(H12&gt;=3,3,IF(H12&gt;=2,2,IF(H12&gt;=1,1,0)))</f>
        <v>1</v>
      </c>
      <c r="AC12" s="93" t="n">
        <f aca="false">IF(I12&gt;=3,3,IF(I12&gt;=2,2,IF(I12&gt;=1,1,0)))</f>
        <v>2</v>
      </c>
      <c r="AD12" s="94" t="n">
        <f aca="false">IF(J12&gt;=3,3,IF(J12&gt;=2,2,IF(J12&gt;=1,1,0)))</f>
        <v>1</v>
      </c>
      <c r="AE12" s="95" t="n">
        <f aca="false">IF(K12&gt;=3,3,IF(K12&gt;=2,2,IF(K12&gt;=1,1,0)))</f>
        <v>1</v>
      </c>
      <c r="AF12" s="90" t="n">
        <f aca="false">IF(L12&gt;=3,3,IF(L12&gt;=2,2,IF(L12&gt;=1,1,0)))</f>
        <v>1</v>
      </c>
      <c r="AG12" s="96" t="n">
        <f aca="false">IF(M12&gt;=3,3,IF(M12&gt;=2,2,IF(M12&gt;=1,1,0)))</f>
        <v>1</v>
      </c>
      <c r="AH12" s="88" t="n">
        <f aca="false">IF(N12&gt;=3,3,IF(N12&gt;=2,2,IF(N12&gt;=1,1,0)))</f>
        <v>1</v>
      </c>
      <c r="AI12" s="89" t="n">
        <f aca="false">IF(O12&gt;=3,3,IF(O12&gt;=2,2,IF(O12&gt;=1,1,0)))</f>
        <v>1</v>
      </c>
      <c r="AJ12" s="91" t="n">
        <f aca="false">IF(P12&gt;=3,3,IF(P12&gt;=2,2,IF(P12&gt;=1,1,0)))</f>
        <v>2</v>
      </c>
      <c r="AK12" s="91" t="n">
        <f aca="false">IF(Q12&gt;=3,3,IF(Q12&gt;=2,2,IF(Q12&gt;=1,1,0)))</f>
        <v>1</v>
      </c>
      <c r="AL12" s="93" t="n">
        <f aca="false">IF(R12&gt;60,3,IF(R12&gt;40,2,IF(R12&gt;25,1,0)))</f>
        <v>2</v>
      </c>
      <c r="AM12" s="90" t="n">
        <f aca="false">IF(S12&gt;70,3,IF(S12&gt;50,2,IF(S12&gt;40,1,0)))</f>
        <v>2</v>
      </c>
      <c r="AN12" s="94" t="n">
        <f aca="false">IF(T12&gt;=3,3,IF(T12&gt;=2,2,IF(T12&gt;=1,1,0)))</f>
        <v>2</v>
      </c>
      <c r="AO12" s="95" t="n">
        <f aca="false">IF(U12&gt;=3,3,IF(U12&gt;=2,2,IF(U12&gt;=1,1,0)))</f>
        <v>1</v>
      </c>
      <c r="AP12" s="90" t="n">
        <f aca="false">IF(V12&gt;70,3,IF(V12&gt;40,2,IF(V12&gt;0,1,0)))</f>
        <v>2</v>
      </c>
      <c r="AQ12" s="97" t="n">
        <f aca="false">IFERROR(SUMPRODUCT(C7:V7,W12:AP12)/SUM(C7:V7),0)</f>
        <v>1.55</v>
      </c>
      <c r="AR12" s="98" t="n">
        <f aca="false">IF(AQ12&gt;=2.5,3,IF(AQ12&gt;=1.5,2,IF(AQ12&gt;=0.5,1,0)))</f>
        <v>2</v>
      </c>
      <c r="AS12" s="99" t="str">
        <f aca="false">IF(AR12=0,"—",TEXT(AR12,"0"))</f>
        <v>2</v>
      </c>
      <c r="AT12" s="102" t="str">
        <f aca="false">IF(AR12=0,"—",TEXT(AR12,"0"))</f>
        <v>2</v>
      </c>
      <c r="AU12" s="102" t="str">
        <f aca="false">IF(AR12=0,"—",TEXT(AR12,"0"))</f>
        <v>2</v>
      </c>
      <c r="AV12" s="102" t="str">
        <f aca="false">IF(AR12=0,"—",TEXT(AR12,"0"))</f>
        <v>2</v>
      </c>
      <c r="AW12" s="103" t="s">
        <v>9</v>
      </c>
      <c r="AX12" s="103" t="s">
        <v>9</v>
      </c>
      <c r="AY12" s="103" t="s">
        <v>9</v>
      </c>
      <c r="AZ12" s="103" t="s">
        <v>9</v>
      </c>
      <c r="BA12" s="103" t="s">
        <v>9</v>
      </c>
      <c r="BB12" s="103" t="s">
        <v>9</v>
      </c>
      <c r="BC12" s="103" t="s">
        <v>9</v>
      </c>
      <c r="BD12" s="103" t="s">
        <v>9</v>
      </c>
      <c r="BE12" s="102" t="str">
        <f aca="false">IF(AR12=0,"—",TEXT(AR12,"0"))</f>
        <v>2</v>
      </c>
      <c r="BF12" s="103" t="s">
        <v>9</v>
      </c>
      <c r="BG12" s="103" t="s">
        <v>9</v>
      </c>
      <c r="BH12" s="103" t="s">
        <v>9</v>
      </c>
    </row>
    <row r="13" customFormat="false" ht="21.75" hidden="false" customHeight="true" outlineLevel="0" collapsed="false">
      <c r="A13" s="85" t="s">
        <v>168</v>
      </c>
      <c r="B13" s="50" t="s">
        <v>205</v>
      </c>
      <c r="C13" s="86" t="n">
        <v>4</v>
      </c>
      <c r="D13" s="86" t="n">
        <v>40</v>
      </c>
      <c r="E13" s="86" t="n">
        <v>2</v>
      </c>
      <c r="F13" s="86" t="n">
        <v>2</v>
      </c>
      <c r="G13" s="86" t="n">
        <v>3</v>
      </c>
      <c r="H13" s="86" t="n">
        <v>2</v>
      </c>
      <c r="I13" s="86" t="n">
        <v>2</v>
      </c>
      <c r="J13" s="86" t="n">
        <v>1</v>
      </c>
      <c r="K13" s="86" t="n">
        <v>2</v>
      </c>
      <c r="L13" s="86" t="n">
        <v>2</v>
      </c>
      <c r="M13" s="86" t="n">
        <v>2</v>
      </c>
      <c r="N13" s="86" t="n">
        <v>2</v>
      </c>
      <c r="O13" s="86" t="n">
        <v>2</v>
      </c>
      <c r="P13" s="86" t="n">
        <v>3</v>
      </c>
      <c r="Q13" s="86" t="n">
        <v>2</v>
      </c>
      <c r="R13" s="86" t="n">
        <v>48</v>
      </c>
      <c r="S13" s="86" t="n">
        <v>73</v>
      </c>
      <c r="T13" s="86" t="n">
        <v>2</v>
      </c>
      <c r="U13" s="86" t="n">
        <v>2</v>
      </c>
      <c r="V13" s="86" t="n">
        <v>65</v>
      </c>
      <c r="W13" s="87" t="n">
        <f aca="false">IF(C13&gt;=5,3,IF(C13&gt;=3,2,IF(C13&gt;=1,1,0)))</f>
        <v>2</v>
      </c>
      <c r="X13" s="88" t="n">
        <f aca="false">IF(D13&gt;40,3,IF(D13&gt;15,2,IF(D13&gt;5,1,0)))</f>
        <v>2</v>
      </c>
      <c r="Y13" s="89" t="n">
        <f aca="false">IF(E13&gt;=3,3,IF(E13&gt;=2,2,IF(E13&gt;=1,1,0)))</f>
        <v>2</v>
      </c>
      <c r="Z13" s="90" t="n">
        <f aca="false">IF(F13&gt;=3,3,IF(F13&gt;=2,2,IF(F13&gt;=1,1,0)))</f>
        <v>2</v>
      </c>
      <c r="AA13" s="91" t="n">
        <f aca="false">IF(G13&gt;=3,3,IF(G13&gt;=2,2,IF(G13&gt;=1,1,0)))</f>
        <v>3</v>
      </c>
      <c r="AB13" s="92" t="n">
        <f aca="false">IF(H13&gt;=3,3,IF(H13&gt;=2,2,IF(H13&gt;=1,1,0)))</f>
        <v>2</v>
      </c>
      <c r="AC13" s="93" t="n">
        <f aca="false">IF(I13&gt;=3,3,IF(I13&gt;=2,2,IF(I13&gt;=1,1,0)))</f>
        <v>2</v>
      </c>
      <c r="AD13" s="94" t="n">
        <f aca="false">IF(J13&gt;=3,3,IF(J13&gt;=2,2,IF(J13&gt;=1,1,0)))</f>
        <v>1</v>
      </c>
      <c r="AE13" s="95" t="n">
        <f aca="false">IF(K13&gt;=3,3,IF(K13&gt;=2,2,IF(K13&gt;=1,1,0)))</f>
        <v>2</v>
      </c>
      <c r="AF13" s="90" t="n">
        <f aca="false">IF(L13&gt;=3,3,IF(L13&gt;=2,2,IF(L13&gt;=1,1,0)))</f>
        <v>2</v>
      </c>
      <c r="AG13" s="96" t="n">
        <f aca="false">IF(M13&gt;=3,3,IF(M13&gt;=2,2,IF(M13&gt;=1,1,0)))</f>
        <v>2</v>
      </c>
      <c r="AH13" s="88" t="n">
        <f aca="false">IF(N13&gt;=3,3,IF(N13&gt;=2,2,IF(N13&gt;=1,1,0)))</f>
        <v>2</v>
      </c>
      <c r="AI13" s="89" t="n">
        <f aca="false">IF(O13&gt;=3,3,IF(O13&gt;=2,2,IF(O13&gt;=1,1,0)))</f>
        <v>2</v>
      </c>
      <c r="AJ13" s="91" t="n">
        <f aca="false">IF(P13&gt;=3,3,IF(P13&gt;=2,2,IF(P13&gt;=1,1,0)))</f>
        <v>3</v>
      </c>
      <c r="AK13" s="91" t="n">
        <f aca="false">IF(Q13&gt;=3,3,IF(Q13&gt;=2,2,IF(Q13&gt;=1,1,0)))</f>
        <v>2</v>
      </c>
      <c r="AL13" s="93" t="n">
        <f aca="false">IF(R13&gt;60,3,IF(R13&gt;40,2,IF(R13&gt;25,1,0)))</f>
        <v>2</v>
      </c>
      <c r="AM13" s="90" t="n">
        <f aca="false">IF(S13&gt;70,3,IF(S13&gt;50,2,IF(S13&gt;40,1,0)))</f>
        <v>3</v>
      </c>
      <c r="AN13" s="94" t="n">
        <f aca="false">IF(T13&gt;=3,3,IF(T13&gt;=2,2,IF(T13&gt;=1,1,0)))</f>
        <v>2</v>
      </c>
      <c r="AO13" s="95" t="n">
        <f aca="false">IF(U13&gt;=3,3,IF(U13&gt;=2,2,IF(U13&gt;=1,1,0)))</f>
        <v>2</v>
      </c>
      <c r="AP13" s="90" t="n">
        <f aca="false">IF(V13&gt;70,3,IF(V13&gt;40,2,IF(V13&gt;0,1,0)))</f>
        <v>2</v>
      </c>
      <c r="AQ13" s="97" t="n">
        <f aca="false">IFERROR(SUMPRODUCT(C7:V7,W13:AP13)/SUM(C7:V7),0)</f>
        <v>2.1</v>
      </c>
      <c r="AR13" s="98" t="n">
        <f aca="false">IF(AQ13&gt;=2.5,3,IF(AQ13&gt;=1.5,2,IF(AQ13&gt;=0.5,1,0)))</f>
        <v>2</v>
      </c>
      <c r="AS13" s="99" t="str">
        <f aca="false">IF(AR13=0,"—",TEXT(AR13,"0"))</f>
        <v>2</v>
      </c>
      <c r="AT13" s="100" t="str">
        <f aca="false">IF(AR13=0,"—",TEXT(AR13,"0"))</f>
        <v>2</v>
      </c>
      <c r="AU13" s="100" t="str">
        <f aca="false">IF(AR13=0,"—",TEXT(AR13,"0"))</f>
        <v>2</v>
      </c>
      <c r="AV13" s="101" t="s">
        <v>9</v>
      </c>
      <c r="AW13" s="101" t="s">
        <v>9</v>
      </c>
      <c r="AX13" s="100" t="str">
        <f aca="false">IF(AR13=0,"—",TEXT(AR13,"0"))</f>
        <v>2</v>
      </c>
      <c r="AY13" s="101" t="s">
        <v>9</v>
      </c>
      <c r="AZ13" s="101" t="s">
        <v>9</v>
      </c>
      <c r="BA13" s="101" t="s">
        <v>9</v>
      </c>
      <c r="BB13" s="101" t="s">
        <v>9</v>
      </c>
      <c r="BC13" s="101" t="s">
        <v>9</v>
      </c>
      <c r="BD13" s="101" t="s">
        <v>9</v>
      </c>
      <c r="BE13" s="100" t="str">
        <f aca="false">IF(AR13=0,"—",TEXT(AR13,"0"))</f>
        <v>2</v>
      </c>
      <c r="BF13" s="101" t="s">
        <v>9</v>
      </c>
      <c r="BG13" s="101" t="s">
        <v>9</v>
      </c>
      <c r="BH13" s="101" t="s">
        <v>9</v>
      </c>
    </row>
    <row r="15" customFormat="false" ht="21.75" hidden="false" customHeight="true" outlineLevel="0" collapsed="false">
      <c r="A15" s="104" t="s">
        <v>170</v>
      </c>
      <c r="B15" s="104"/>
      <c r="C15" s="105" t="n">
        <f aca="false">AVERAGE(C9:C13)</f>
        <v>3.8</v>
      </c>
      <c r="D15" s="105" t="n">
        <f aca="false">AVERAGE(D9:D13)</f>
        <v>37.2</v>
      </c>
      <c r="E15" s="105" t="n">
        <f aca="false">AVERAGE(E9:E13)</f>
        <v>2.2</v>
      </c>
      <c r="F15" s="105" t="n">
        <f aca="false">AVERAGE(F9:F13)</f>
        <v>2.2</v>
      </c>
      <c r="G15" s="105" t="n">
        <f aca="false">AVERAGE(G9:G13)</f>
        <v>2.6</v>
      </c>
      <c r="H15" s="105" t="n">
        <f aca="false">AVERAGE(H9:H13)</f>
        <v>1.6</v>
      </c>
      <c r="I15" s="105" t="n">
        <f aca="false">AVERAGE(I9:I13)</f>
        <v>2.2</v>
      </c>
      <c r="J15" s="105" t="n">
        <f aca="false">AVERAGE(J9:J13)</f>
        <v>1.4</v>
      </c>
      <c r="K15" s="105" t="n">
        <f aca="false">AVERAGE(K9:K13)</f>
        <v>1.6</v>
      </c>
      <c r="L15" s="105" t="n">
        <f aca="false">AVERAGE(L9:L13)</f>
        <v>1.8</v>
      </c>
      <c r="M15" s="105" t="n">
        <f aca="false">AVERAGE(M9:M13)</f>
        <v>1.8</v>
      </c>
      <c r="N15" s="105" t="n">
        <f aca="false">AVERAGE(N9:N13)</f>
        <v>1.6</v>
      </c>
      <c r="O15" s="105" t="n">
        <f aca="false">AVERAGE(O9:O13)</f>
        <v>1.6</v>
      </c>
      <c r="P15" s="105" t="n">
        <f aca="false">AVERAGE(P9:P13)</f>
        <v>2.4</v>
      </c>
      <c r="Q15" s="105" t="n">
        <f aca="false">AVERAGE(Q9:Q13)</f>
        <v>1.6</v>
      </c>
      <c r="R15" s="105" t="n">
        <f aca="false">AVERAGE(R9:R13)</f>
        <v>44.6</v>
      </c>
      <c r="S15" s="105" t="n">
        <f aca="false">AVERAGE(S9:S13)</f>
        <v>71.4</v>
      </c>
      <c r="T15" s="105" t="n">
        <f aca="false">AVERAGE(T9:T13)</f>
        <v>2</v>
      </c>
      <c r="U15" s="105" t="n">
        <f aca="false">AVERAGE(U9:U13)</f>
        <v>1.6</v>
      </c>
      <c r="V15" s="105" t="n">
        <f aca="false">AVERAGE(V9:V13)</f>
        <v>59.4</v>
      </c>
      <c r="W15" s="105" t="n">
        <f aca="false">AVERAGE(W9:W13)</f>
        <v>2</v>
      </c>
      <c r="X15" s="105" t="n">
        <f aca="false">AVERAGE(X9:X13)</f>
        <v>2.2</v>
      </c>
      <c r="Y15" s="105" t="n">
        <f aca="false">AVERAGE(Y9:Y13)</f>
        <v>2.2</v>
      </c>
      <c r="Z15" s="105" t="n">
        <f aca="false">AVERAGE(Z9:Z13)</f>
        <v>2.2</v>
      </c>
      <c r="AA15" s="105" t="n">
        <f aca="false">AVERAGE(AA9:AA13)</f>
        <v>2.6</v>
      </c>
      <c r="AB15" s="105" t="n">
        <f aca="false">AVERAGE(AB9:AB13)</f>
        <v>1.6</v>
      </c>
      <c r="AC15" s="105" t="n">
        <f aca="false">AVERAGE(AC9:AC13)</f>
        <v>2.2</v>
      </c>
      <c r="AD15" s="105" t="n">
        <f aca="false">AVERAGE(AD9:AD13)</f>
        <v>1.4</v>
      </c>
      <c r="AE15" s="105" t="n">
        <f aca="false">AVERAGE(AE9:AE13)</f>
        <v>1.6</v>
      </c>
      <c r="AF15" s="105" t="n">
        <f aca="false">AVERAGE(AF9:AF13)</f>
        <v>1.8</v>
      </c>
      <c r="AG15" s="105" t="n">
        <f aca="false">AVERAGE(AG9:AG13)</f>
        <v>1.8</v>
      </c>
      <c r="AH15" s="105" t="n">
        <f aca="false">AVERAGE(AH9:AH13)</f>
        <v>1.6</v>
      </c>
      <c r="AI15" s="105" t="n">
        <f aca="false">AVERAGE(AI9:AI13)</f>
        <v>1.6</v>
      </c>
      <c r="AJ15" s="105" t="n">
        <f aca="false">AVERAGE(AJ9:AJ13)</f>
        <v>2.4</v>
      </c>
      <c r="AK15" s="105" t="n">
        <f aca="false">AVERAGE(AK9:AK13)</f>
        <v>1.6</v>
      </c>
      <c r="AL15" s="105" t="n">
        <f aca="false">AVERAGE(AL9:AL13)</f>
        <v>1.8</v>
      </c>
      <c r="AM15" s="105" t="n">
        <f aca="false">AVERAGE(AM9:AM13)</f>
        <v>2.6</v>
      </c>
      <c r="AN15" s="105" t="n">
        <f aca="false">AVERAGE(AN9:AN13)</f>
        <v>2</v>
      </c>
      <c r="AO15" s="105" t="n">
        <f aca="false">AVERAGE(AO9:AO13)</f>
        <v>1.6</v>
      </c>
      <c r="AP15" s="105" t="n">
        <f aca="false">AVERAGE(AP9:AP13)</f>
        <v>2</v>
      </c>
      <c r="AQ15" s="106" t="n">
        <f aca="false">AVERAGE(AQ9:AQ13)</f>
        <v>1.94</v>
      </c>
      <c r="AR15" s="105" t="n">
        <f aca="false">AVERAGE(AR9:AR13)</f>
        <v>2</v>
      </c>
      <c r="AS15" s="107"/>
      <c r="AT15" s="105" t="str">
        <f aca="false">IFERROR(AVERAGEIF(AT9:AT13,"&lt;&gt;—"),"")</f>
        <v/>
      </c>
      <c r="AU15" s="105" t="str">
        <f aca="false">IFERROR(AVERAGEIF(AU9:AU13,"&lt;&gt;—"),"")</f>
        <v/>
      </c>
      <c r="AV15" s="105" t="str">
        <f aca="false">IFERROR(AVERAGEIF(AV9:AV13,"&lt;&gt;—"),"")</f>
        <v/>
      </c>
      <c r="AW15" s="105" t="str">
        <f aca="false">IFERROR(AVERAGEIF(AW9:AW13,"&lt;&gt;—"),"")</f>
        <v/>
      </c>
      <c r="AX15" s="105" t="str">
        <f aca="false">IFERROR(AVERAGEIF(AX9:AX13,"&lt;&gt;—"),"")</f>
        <v/>
      </c>
      <c r="AY15" s="105" t="str">
        <f aca="false">IFERROR(AVERAGEIF(AY9:AY13,"&lt;&gt;—"),"")</f>
        <v/>
      </c>
      <c r="AZ15" s="105" t="str">
        <f aca="false">IFERROR(AVERAGEIF(AZ9:AZ13,"&lt;&gt;—"),"")</f>
        <v/>
      </c>
      <c r="BA15" s="105" t="str">
        <f aca="false">IFERROR(AVERAGEIF(BA9:BA13,"&lt;&gt;—"),"")</f>
        <v/>
      </c>
      <c r="BB15" s="105" t="str">
        <f aca="false">IFERROR(AVERAGEIF(BB9:BB13,"&lt;&gt;—"),"")</f>
        <v/>
      </c>
      <c r="BC15" s="105" t="str">
        <f aca="false">IFERROR(AVERAGEIF(BC9:BC13,"&lt;&gt;—"),"")</f>
        <v/>
      </c>
      <c r="BD15" s="105" t="str">
        <f aca="false">IFERROR(AVERAGEIF(BD9:BD13,"&lt;&gt;—"),"")</f>
        <v/>
      </c>
      <c r="BE15" s="105" t="str">
        <f aca="false">IFERROR(AVERAGEIF(BE9:BE13,"&lt;&gt;—"),"")</f>
        <v/>
      </c>
      <c r="BF15" s="105" t="str">
        <f aca="false">IFERROR(AVERAGEIF(BF9:BF13,"&lt;&gt;—"),"")</f>
        <v/>
      </c>
      <c r="BG15" s="105" t="str">
        <f aca="false">IFERROR(AVERAGEIF(BG9:BG13,"&lt;&gt;—"),"")</f>
        <v/>
      </c>
      <c r="BH15" s="105" t="str">
        <f aca="false">IFERROR(AVERAGEIF(BH9:BH13,"&lt;&gt;—"),"")</f>
        <v/>
      </c>
    </row>
  </sheetData>
  <mergeCells count="10">
    <mergeCell ref="A1:BH1"/>
    <mergeCell ref="A2:BH2"/>
    <mergeCell ref="A4:B4"/>
    <mergeCell ref="C5:V5"/>
    <mergeCell ref="W5:AP5"/>
    <mergeCell ref="AT5:BE5"/>
    <mergeCell ref="BF5:BH5"/>
    <mergeCell ref="A7:B7"/>
    <mergeCell ref="A8:BH8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27" min="5" style="1" width="8"/>
  </cols>
  <sheetData>
    <row r="1" customFormat="false" ht="39.75" hidden="false" customHeight="true" outlineLevel="0" collapsed="false">
      <c r="A1" s="108" t="s">
        <v>206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customFormat="false" ht="13.5" hidden="false" customHeight="true" outlineLevel="0" collapsed="false">
      <c r="A2" s="115" t="s">
        <v>207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customFormat="false" ht="7.5" hidden="false" customHeight="true" outlineLevel="0" collapsed="false"/>
    <row r="4" customFormat="false" ht="21.75" hidden="false" customHeight="true" outlineLevel="0" collapsed="false">
      <c r="A4" s="109" t="s">
        <v>29</v>
      </c>
      <c r="B4" s="109" t="s">
        <v>184</v>
      </c>
      <c r="C4" s="109" t="s">
        <v>185</v>
      </c>
      <c r="D4" s="109" t="s">
        <v>133</v>
      </c>
      <c r="E4" s="110" t="s">
        <v>208</v>
      </c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66" t="s">
        <v>209</v>
      </c>
      <c r="Z4" s="66"/>
    </row>
    <row r="5" customFormat="false" ht="19.5" hidden="false" customHeight="true" outlineLevel="0" collapsed="false">
      <c r="A5" s="109"/>
      <c r="B5" s="109"/>
      <c r="C5" s="109"/>
      <c r="D5" s="109"/>
      <c r="E5" s="25" t="s">
        <v>35</v>
      </c>
      <c r="F5" s="29" t="s">
        <v>40</v>
      </c>
      <c r="G5" s="33" t="s">
        <v>45</v>
      </c>
      <c r="H5" s="35" t="s">
        <v>50</v>
      </c>
      <c r="I5" s="37" t="s">
        <v>53</v>
      </c>
      <c r="J5" s="39" t="s">
        <v>56</v>
      </c>
      <c r="K5" s="41" t="s">
        <v>59</v>
      </c>
      <c r="L5" s="43" t="s">
        <v>62</v>
      </c>
      <c r="M5" s="45" t="s">
        <v>65</v>
      </c>
      <c r="N5" s="47" t="s">
        <v>68</v>
      </c>
      <c r="O5" s="25" t="s">
        <v>71</v>
      </c>
      <c r="P5" s="29" t="s">
        <v>74</v>
      </c>
      <c r="Q5" s="33" t="s">
        <v>77</v>
      </c>
      <c r="R5" s="37" t="s">
        <v>80</v>
      </c>
      <c r="S5" s="39" t="s">
        <v>83</v>
      </c>
      <c r="T5" s="41" t="s">
        <v>86</v>
      </c>
      <c r="U5" s="35" t="s">
        <v>89</v>
      </c>
      <c r="V5" s="43" t="s">
        <v>93</v>
      </c>
      <c r="W5" s="45" t="s">
        <v>96</v>
      </c>
      <c r="X5" s="47" t="s">
        <v>99</v>
      </c>
      <c r="Y5" s="66" t="s">
        <v>210</v>
      </c>
      <c r="Z5" s="66" t="s">
        <v>211</v>
      </c>
    </row>
    <row r="6" customFormat="false" ht="18" hidden="false" customHeight="true" outlineLevel="0" collapsed="false">
      <c r="A6" s="111" t="n">
        <v>1</v>
      </c>
      <c r="B6" s="112" t="s">
        <v>188</v>
      </c>
      <c r="C6" s="113" t="s">
        <v>189</v>
      </c>
      <c r="D6" s="25" t="s">
        <v>160</v>
      </c>
      <c r="E6" s="116" t="n">
        <f aca="false">CS301!W9</f>
        <v>2</v>
      </c>
      <c r="F6" s="117" t="n">
        <f aca="false">CS301!X9</f>
        <v>2</v>
      </c>
      <c r="G6" s="118" t="n">
        <f aca="false">CS301!Y9</f>
        <v>2</v>
      </c>
      <c r="H6" s="119" t="n">
        <f aca="false">CS301!Z9</f>
        <v>2</v>
      </c>
      <c r="I6" s="120" t="n">
        <f aca="false">CS301!AA9</f>
        <v>2</v>
      </c>
      <c r="J6" s="121" t="n">
        <f aca="false">CS301!AB9</f>
        <v>1</v>
      </c>
      <c r="K6" s="122" t="n">
        <f aca="false">CS301!AC9</f>
        <v>2</v>
      </c>
      <c r="L6" s="123" t="n">
        <f aca="false">CS301!AD9</f>
        <v>1</v>
      </c>
      <c r="M6" s="124" t="n">
        <f aca="false">CS301!AE9</f>
        <v>1</v>
      </c>
      <c r="N6" s="119" t="n">
        <f aca="false">CS301!AF9</f>
        <v>1</v>
      </c>
      <c r="O6" s="125" t="n">
        <f aca="false">CS301!AG9</f>
        <v>1</v>
      </c>
      <c r="P6" s="117" t="n">
        <f aca="false">CS301!AH9</f>
        <v>1</v>
      </c>
      <c r="Q6" s="118" t="n">
        <f aca="false">CS301!AI9</f>
        <v>1</v>
      </c>
      <c r="R6" s="120" t="n">
        <f aca="false">CS301!AJ9</f>
        <v>2</v>
      </c>
      <c r="S6" s="120" t="n">
        <f aca="false">CS301!AK9</f>
        <v>1</v>
      </c>
      <c r="T6" s="122" t="n">
        <f aca="false">CS301!AL9</f>
        <v>1</v>
      </c>
      <c r="U6" s="119" t="n">
        <f aca="false">CS301!AM9</f>
        <v>3</v>
      </c>
      <c r="V6" s="123" t="n">
        <f aca="false">CS301!AN9</f>
        <v>2</v>
      </c>
      <c r="W6" s="124" t="n">
        <f aca="false">CS301!AO9</f>
        <v>1</v>
      </c>
      <c r="X6" s="119" t="n">
        <f aca="false">CS301!AP9</f>
        <v>2</v>
      </c>
      <c r="Y6" s="126" t="n">
        <f aca="false">IFERROR(AVERAGE(CS301!W9,CS301!X9,CS301!Y9,CS301!Z9,CS301!AA9,CS301!AB9,CS301!AC9,CS301!AD9,CS301!AE9,CS301!AF9,CS301!AG9,CS301!AH9,CS301!AI9,CS301!AJ9,CS301!AK9,CS301!AL9,CS301!AM9,CS301!AN9,CS301!AO9,CS301!AP9),0)</f>
        <v>1.55</v>
      </c>
      <c r="Z6" s="114" t="n">
        <f aca="false">CS301!AR9</f>
        <v>2</v>
      </c>
    </row>
    <row r="7" customFormat="false" ht="18" hidden="false" customHeight="true" outlineLevel="0" collapsed="false">
      <c r="A7" s="111"/>
      <c r="B7" s="111"/>
      <c r="C7" s="111"/>
      <c r="D7" s="25" t="s">
        <v>162</v>
      </c>
      <c r="E7" s="116" t="n">
        <f aca="false">CS301!W10</f>
        <v>2</v>
      </c>
      <c r="F7" s="117" t="n">
        <f aca="false">CS301!X10</f>
        <v>2</v>
      </c>
      <c r="G7" s="118" t="n">
        <f aca="false">CS301!Y10</f>
        <v>3</v>
      </c>
      <c r="H7" s="119" t="n">
        <f aca="false">CS301!Z10</f>
        <v>2</v>
      </c>
      <c r="I7" s="120" t="n">
        <f aca="false">CS301!AA10</f>
        <v>2</v>
      </c>
      <c r="J7" s="121" t="n">
        <f aca="false">CS301!AB10</f>
        <v>2</v>
      </c>
      <c r="K7" s="122" t="n">
        <f aca="false">CS301!AC10</f>
        <v>2</v>
      </c>
      <c r="L7" s="123" t="n">
        <f aca="false">CS301!AD10</f>
        <v>2</v>
      </c>
      <c r="M7" s="124" t="n">
        <f aca="false">CS301!AE10</f>
        <v>1</v>
      </c>
      <c r="N7" s="119" t="n">
        <f aca="false">CS301!AF10</f>
        <v>2</v>
      </c>
      <c r="O7" s="125" t="n">
        <f aca="false">CS301!AG10</f>
        <v>2</v>
      </c>
      <c r="P7" s="117" t="n">
        <f aca="false">CS301!AH10</f>
        <v>2</v>
      </c>
      <c r="Q7" s="118" t="n">
        <f aca="false">CS301!AI10</f>
        <v>1</v>
      </c>
      <c r="R7" s="120" t="n">
        <f aca="false">CS301!AJ10</f>
        <v>2</v>
      </c>
      <c r="S7" s="120" t="n">
        <f aca="false">CS301!AK10</f>
        <v>1</v>
      </c>
      <c r="T7" s="122" t="n">
        <f aca="false">CS301!AL10</f>
        <v>2</v>
      </c>
      <c r="U7" s="119" t="n">
        <f aca="false">CS301!AM10</f>
        <v>3</v>
      </c>
      <c r="V7" s="123" t="n">
        <f aca="false">CS301!AN10</f>
        <v>2</v>
      </c>
      <c r="W7" s="124" t="n">
        <f aca="false">CS301!AO10</f>
        <v>1</v>
      </c>
      <c r="X7" s="119" t="n">
        <f aca="false">CS301!AP10</f>
        <v>2</v>
      </c>
      <c r="Y7" s="126" t="n">
        <f aca="false">IFERROR(AVERAGE(CS301!W10,CS301!X10,CS301!Y10,CS301!Z10,CS301!AA10,CS301!AB10,CS301!AC10,CS301!AD10,CS301!AE10,CS301!AF10,CS301!AG10,CS301!AH10,CS301!AI10,CS301!AJ10,CS301!AK10,CS301!AL10,CS301!AM10,CS301!AN10,CS301!AO10,CS301!AP10),0)</f>
        <v>1.9</v>
      </c>
      <c r="Z7" s="114" t="n">
        <f aca="false">CS301!AR10</f>
        <v>2</v>
      </c>
    </row>
    <row r="8" customFormat="false" ht="18" hidden="false" customHeight="true" outlineLevel="0" collapsed="false">
      <c r="A8" s="111"/>
      <c r="B8" s="111"/>
      <c r="C8" s="111"/>
      <c r="D8" s="25" t="s">
        <v>164</v>
      </c>
      <c r="E8" s="116" t="n">
        <f aca="false">CS301!W11</f>
        <v>3</v>
      </c>
      <c r="F8" s="117" t="n">
        <f aca="false">CS301!X11</f>
        <v>3</v>
      </c>
      <c r="G8" s="118" t="n">
        <f aca="false">CS301!Y11</f>
        <v>3</v>
      </c>
      <c r="H8" s="119" t="n">
        <f aca="false">CS301!Z11</f>
        <v>3</v>
      </c>
      <c r="I8" s="120" t="n">
        <f aca="false">CS301!AA11</f>
        <v>3</v>
      </c>
      <c r="J8" s="121" t="n">
        <f aca="false">CS301!AB11</f>
        <v>2</v>
      </c>
      <c r="K8" s="122" t="n">
        <f aca="false">CS301!AC11</f>
        <v>3</v>
      </c>
      <c r="L8" s="123" t="n">
        <f aca="false">CS301!AD11</f>
        <v>2</v>
      </c>
      <c r="M8" s="124" t="n">
        <f aca="false">CS301!AE11</f>
        <v>2</v>
      </c>
      <c r="N8" s="119" t="n">
        <f aca="false">CS301!AF11</f>
        <v>2</v>
      </c>
      <c r="O8" s="125" t="n">
        <f aca="false">CS301!AG11</f>
        <v>2</v>
      </c>
      <c r="P8" s="117" t="n">
        <f aca="false">CS301!AH11</f>
        <v>2</v>
      </c>
      <c r="Q8" s="118" t="n">
        <f aca="false">CS301!AI11</f>
        <v>2</v>
      </c>
      <c r="R8" s="120" t="n">
        <f aca="false">CS301!AJ11</f>
        <v>3</v>
      </c>
      <c r="S8" s="120" t="n">
        <f aca="false">CS301!AK11</f>
        <v>2</v>
      </c>
      <c r="T8" s="122" t="n">
        <f aca="false">CS301!AL11</f>
        <v>2</v>
      </c>
      <c r="U8" s="119" t="n">
        <f aca="false">CS301!AM11</f>
        <v>3</v>
      </c>
      <c r="V8" s="123" t="n">
        <f aca="false">CS301!AN11</f>
        <v>3</v>
      </c>
      <c r="W8" s="124" t="n">
        <f aca="false">CS301!AO11</f>
        <v>2</v>
      </c>
      <c r="X8" s="119" t="n">
        <f aca="false">CS301!AP11</f>
        <v>3</v>
      </c>
      <c r="Y8" s="126" t="n">
        <f aca="false">IFERROR(AVERAGE(CS301!W11,CS301!X11,CS301!Y11,CS301!Z11,CS301!AA11,CS301!AB11,CS301!AC11,CS301!AD11,CS301!AE11,CS301!AF11,CS301!AG11,CS301!AH11,CS301!AI11,CS301!AJ11,CS301!AK11,CS301!AL11,CS301!AM11,CS301!AN11,CS301!AO11,CS301!AP11),0)</f>
        <v>2.5</v>
      </c>
      <c r="Z8" s="114" t="n">
        <f aca="false">CS301!AR11</f>
        <v>3</v>
      </c>
    </row>
    <row r="9" customFormat="false" ht="18" hidden="false" customHeight="true" outlineLevel="0" collapsed="false">
      <c r="A9" s="111"/>
      <c r="B9" s="111"/>
      <c r="C9" s="111"/>
      <c r="D9" s="25" t="s">
        <v>166</v>
      </c>
      <c r="E9" s="116" t="n">
        <f aca="false">CS301!W12</f>
        <v>2</v>
      </c>
      <c r="F9" s="117" t="n">
        <f aca="false">CS301!X12</f>
        <v>2</v>
      </c>
      <c r="G9" s="118" t="n">
        <f aca="false">CS301!Y12</f>
        <v>3</v>
      </c>
      <c r="H9" s="119" t="n">
        <f aca="false">CS301!Z12</f>
        <v>2</v>
      </c>
      <c r="I9" s="120" t="n">
        <f aca="false">CS301!AA12</f>
        <v>2</v>
      </c>
      <c r="J9" s="121" t="n">
        <f aca="false">CS301!AB12</f>
        <v>2</v>
      </c>
      <c r="K9" s="122" t="n">
        <f aca="false">CS301!AC12</f>
        <v>2</v>
      </c>
      <c r="L9" s="123" t="n">
        <f aca="false">CS301!AD12</f>
        <v>1</v>
      </c>
      <c r="M9" s="124" t="n">
        <f aca="false">CS301!AE12</f>
        <v>1</v>
      </c>
      <c r="N9" s="119" t="n">
        <f aca="false">CS301!AF12</f>
        <v>2</v>
      </c>
      <c r="O9" s="125" t="n">
        <f aca="false">CS301!AG12</f>
        <v>2</v>
      </c>
      <c r="P9" s="117" t="n">
        <f aca="false">CS301!AH12</f>
        <v>1</v>
      </c>
      <c r="Q9" s="118" t="n">
        <f aca="false">CS301!AI12</f>
        <v>1</v>
      </c>
      <c r="R9" s="120" t="n">
        <f aca="false">CS301!AJ12</f>
        <v>2</v>
      </c>
      <c r="S9" s="120" t="n">
        <f aca="false">CS301!AK12</f>
        <v>1</v>
      </c>
      <c r="T9" s="122" t="n">
        <f aca="false">CS301!AL12</f>
        <v>2</v>
      </c>
      <c r="U9" s="119" t="n">
        <f aca="false">CS301!AM12</f>
        <v>3</v>
      </c>
      <c r="V9" s="123" t="n">
        <f aca="false">CS301!AN12</f>
        <v>2</v>
      </c>
      <c r="W9" s="124" t="n">
        <f aca="false">CS301!AO12</f>
        <v>1</v>
      </c>
      <c r="X9" s="119" t="n">
        <f aca="false">CS301!AP12</f>
        <v>2</v>
      </c>
      <c r="Y9" s="126" t="n">
        <f aca="false">IFERROR(AVERAGE(CS301!W12,CS301!X12,CS301!Y12,CS301!Z12,CS301!AA12,CS301!AB12,CS301!AC12,CS301!AD12,CS301!AE12,CS301!AF12,CS301!AG12,CS301!AH12,CS301!AI12,CS301!AJ12,CS301!AK12,CS301!AL12,CS301!AM12,CS301!AN12,CS301!AO12,CS301!AP12),0)</f>
        <v>1.8</v>
      </c>
      <c r="Z9" s="114" t="n">
        <f aca="false">CS301!AR12</f>
        <v>2</v>
      </c>
    </row>
    <row r="10" customFormat="false" ht="18" hidden="false" customHeight="true" outlineLevel="0" collapsed="false">
      <c r="A10" s="111"/>
      <c r="B10" s="111"/>
      <c r="C10" s="111"/>
      <c r="D10" s="25" t="s">
        <v>168</v>
      </c>
      <c r="E10" s="116" t="n">
        <f aca="false">CS301!W13</f>
        <v>2</v>
      </c>
      <c r="F10" s="117" t="n">
        <f aca="false">CS301!X13</f>
        <v>2</v>
      </c>
      <c r="G10" s="118" t="n">
        <f aca="false">CS301!Y13</f>
        <v>3</v>
      </c>
      <c r="H10" s="119" t="n">
        <f aca="false">CS301!Z13</f>
        <v>2</v>
      </c>
      <c r="I10" s="120" t="n">
        <f aca="false">CS301!AA13</f>
        <v>2</v>
      </c>
      <c r="J10" s="121" t="n">
        <f aca="false">CS301!AB13</f>
        <v>1</v>
      </c>
      <c r="K10" s="122" t="n">
        <f aca="false">CS301!AC13</f>
        <v>2</v>
      </c>
      <c r="L10" s="123" t="n">
        <f aca="false">CS301!AD13</f>
        <v>2</v>
      </c>
      <c r="M10" s="124" t="n">
        <f aca="false">CS301!AE13</f>
        <v>1</v>
      </c>
      <c r="N10" s="119" t="n">
        <f aca="false">CS301!AF13</f>
        <v>2</v>
      </c>
      <c r="O10" s="125" t="n">
        <f aca="false">CS301!AG13</f>
        <v>2</v>
      </c>
      <c r="P10" s="117" t="n">
        <f aca="false">CS301!AH13</f>
        <v>1</v>
      </c>
      <c r="Q10" s="118" t="n">
        <f aca="false">CS301!AI13</f>
        <v>2</v>
      </c>
      <c r="R10" s="120" t="n">
        <f aca="false">CS301!AJ13</f>
        <v>2</v>
      </c>
      <c r="S10" s="120" t="n">
        <f aca="false">CS301!AK13</f>
        <v>2</v>
      </c>
      <c r="T10" s="122" t="n">
        <f aca="false">CS301!AL13</f>
        <v>2</v>
      </c>
      <c r="U10" s="119" t="n">
        <f aca="false">CS301!AM13</f>
        <v>3</v>
      </c>
      <c r="V10" s="123" t="n">
        <f aca="false">CS301!AN13</f>
        <v>2</v>
      </c>
      <c r="W10" s="124" t="n">
        <f aca="false">CS301!AO13</f>
        <v>2</v>
      </c>
      <c r="X10" s="119" t="n">
        <f aca="false">CS301!AP13</f>
        <v>2</v>
      </c>
      <c r="Y10" s="126" t="n">
        <f aca="false">IFERROR(AVERAGE(CS301!W13,CS301!X13,CS301!Y13,CS301!Z13,CS301!AA13,CS301!AB13,CS301!AC13,CS301!AD13,CS301!AE13,CS301!AF13,CS301!AG13,CS301!AH13,CS301!AI13,CS301!AJ13,CS301!AK13,CS301!AL13,CS301!AM13,CS301!AN13,CS301!AO13,CS301!AP13),0)</f>
        <v>1.95</v>
      </c>
      <c r="Z10" s="114" t="n">
        <f aca="false">CS301!AR13</f>
        <v>2</v>
      </c>
    </row>
    <row r="11" customFormat="false" ht="18" hidden="false" customHeight="true" outlineLevel="0" collapsed="false">
      <c r="A11" s="111" t="n">
        <v>2</v>
      </c>
      <c r="B11" s="112" t="s">
        <v>190</v>
      </c>
      <c r="C11" s="113" t="s">
        <v>191</v>
      </c>
      <c r="D11" s="25" t="s">
        <v>160</v>
      </c>
      <c r="E11" s="116" t="n">
        <f aca="false">CS302!W9</f>
        <v>1</v>
      </c>
      <c r="F11" s="117" t="n">
        <f aca="false">CS302!X9</f>
        <v>2</v>
      </c>
      <c r="G11" s="118" t="n">
        <f aca="false">CS302!Y9</f>
        <v>2</v>
      </c>
      <c r="H11" s="119" t="n">
        <f aca="false">CS302!Z9</f>
        <v>1</v>
      </c>
      <c r="I11" s="120" t="n">
        <f aca="false">CS302!AA9</f>
        <v>2</v>
      </c>
      <c r="J11" s="121" t="n">
        <f aca="false">CS302!AB9</f>
        <v>1</v>
      </c>
      <c r="K11" s="122" t="n">
        <f aca="false">CS302!AC9</f>
        <v>1</v>
      </c>
      <c r="L11" s="123" t="n">
        <f aca="false">CS302!AD9</f>
        <v>1</v>
      </c>
      <c r="M11" s="124" t="n">
        <f aca="false">CS302!AE9</f>
        <v>1</v>
      </c>
      <c r="N11" s="119" t="n">
        <f aca="false">CS302!AF9</f>
        <v>1</v>
      </c>
      <c r="O11" s="125" t="n">
        <f aca="false">CS302!AG9</f>
        <v>1</v>
      </c>
      <c r="P11" s="117" t="n">
        <f aca="false">CS302!AH9</f>
        <v>1</v>
      </c>
      <c r="Q11" s="118" t="n">
        <f aca="false">CS302!AI9</f>
        <v>1</v>
      </c>
      <c r="R11" s="120" t="n">
        <f aca="false">CS302!AJ9</f>
        <v>1</v>
      </c>
      <c r="S11" s="120" t="n">
        <f aca="false">CS302!AK9</f>
        <v>1</v>
      </c>
      <c r="T11" s="122" t="n">
        <f aca="false">CS302!AL9</f>
        <v>1</v>
      </c>
      <c r="U11" s="119" t="n">
        <f aca="false">CS302!AM9</f>
        <v>2</v>
      </c>
      <c r="V11" s="123" t="n">
        <f aca="false">CS302!AN9</f>
        <v>1</v>
      </c>
      <c r="W11" s="124" t="n">
        <f aca="false">CS302!AO9</f>
        <v>1</v>
      </c>
      <c r="X11" s="119" t="n">
        <f aca="false">CS302!AP9</f>
        <v>2</v>
      </c>
      <c r="Y11" s="126" t="n">
        <f aca="false">IFERROR(AVERAGE(CS302!W9,CS302!X9,CS302!Y9,CS302!Z9,CS302!AA9,CS302!AB9,CS302!AC9,CS302!AD9,CS302!AE9,CS302!AF9,CS302!AG9,CS302!AH9,CS302!AI9,CS302!AJ9,CS302!AK9,CS302!AL9,CS302!AM9,CS302!AN9,CS302!AO9,CS302!AP9),0)</f>
        <v>1.25</v>
      </c>
      <c r="Z11" s="114" t="n">
        <f aca="false">CS302!AR9</f>
        <v>1</v>
      </c>
    </row>
    <row r="12" customFormat="false" ht="18" hidden="false" customHeight="true" outlineLevel="0" collapsed="false">
      <c r="A12" s="111"/>
      <c r="B12" s="111"/>
      <c r="C12" s="111"/>
      <c r="D12" s="25" t="s">
        <v>162</v>
      </c>
      <c r="E12" s="116" t="n">
        <f aca="false">CS302!W10</f>
        <v>3</v>
      </c>
      <c r="F12" s="117" t="n">
        <f aca="false">CS302!X10</f>
        <v>3</v>
      </c>
      <c r="G12" s="118" t="n">
        <f aca="false">CS302!Y10</f>
        <v>3</v>
      </c>
      <c r="H12" s="119" t="n">
        <f aca="false">CS302!Z10</f>
        <v>3</v>
      </c>
      <c r="I12" s="120" t="n">
        <f aca="false">CS302!AA10</f>
        <v>3</v>
      </c>
      <c r="J12" s="121" t="n">
        <f aca="false">CS302!AB10</f>
        <v>2</v>
      </c>
      <c r="K12" s="122" t="n">
        <f aca="false">CS302!AC10</f>
        <v>3</v>
      </c>
      <c r="L12" s="123" t="n">
        <f aca="false">CS302!AD10</f>
        <v>2</v>
      </c>
      <c r="M12" s="124" t="n">
        <f aca="false">CS302!AE10</f>
        <v>2</v>
      </c>
      <c r="N12" s="119" t="n">
        <f aca="false">CS302!AF10</f>
        <v>2</v>
      </c>
      <c r="O12" s="125" t="n">
        <f aca="false">CS302!AG10</f>
        <v>2</v>
      </c>
      <c r="P12" s="117" t="n">
        <f aca="false">CS302!AH10</f>
        <v>2</v>
      </c>
      <c r="Q12" s="118" t="n">
        <f aca="false">CS302!AI10</f>
        <v>2</v>
      </c>
      <c r="R12" s="120" t="n">
        <f aca="false">CS302!AJ10</f>
        <v>3</v>
      </c>
      <c r="S12" s="120" t="n">
        <f aca="false">CS302!AK10</f>
        <v>2</v>
      </c>
      <c r="T12" s="122" t="n">
        <f aca="false">CS302!AL10</f>
        <v>2</v>
      </c>
      <c r="U12" s="119" t="n">
        <f aca="false">CS302!AM10</f>
        <v>3</v>
      </c>
      <c r="V12" s="123" t="n">
        <f aca="false">CS302!AN10</f>
        <v>3</v>
      </c>
      <c r="W12" s="124" t="n">
        <f aca="false">CS302!AO10</f>
        <v>2</v>
      </c>
      <c r="X12" s="119" t="n">
        <f aca="false">CS302!AP10</f>
        <v>3</v>
      </c>
      <c r="Y12" s="126" t="n">
        <f aca="false">IFERROR(AVERAGE(CS302!W10,CS302!X10,CS302!Y10,CS302!Z10,CS302!AA10,CS302!AB10,CS302!AC10,CS302!AD10,CS302!AE10,CS302!AF10,CS302!AG10,CS302!AH10,CS302!AI10,CS302!AJ10,CS302!AK10,CS302!AL10,CS302!AM10,CS302!AN10,CS302!AO10,CS302!AP10),0)</f>
        <v>2.5</v>
      </c>
      <c r="Z12" s="114" t="n">
        <f aca="false">CS302!AR10</f>
        <v>3</v>
      </c>
    </row>
    <row r="13" customFormat="false" ht="18" hidden="false" customHeight="true" outlineLevel="0" collapsed="false">
      <c r="A13" s="111"/>
      <c r="B13" s="111"/>
      <c r="C13" s="111"/>
      <c r="D13" s="25" t="s">
        <v>164</v>
      </c>
      <c r="E13" s="116" t="n">
        <f aca="false">CS302!W11</f>
        <v>2</v>
      </c>
      <c r="F13" s="117" t="n">
        <f aca="false">CS302!X11</f>
        <v>2</v>
      </c>
      <c r="G13" s="118" t="n">
        <f aca="false">CS302!Y11</f>
        <v>3</v>
      </c>
      <c r="H13" s="119" t="n">
        <f aca="false">CS302!Z11</f>
        <v>1</v>
      </c>
      <c r="I13" s="120" t="n">
        <f aca="false">CS302!AA11</f>
        <v>2</v>
      </c>
      <c r="J13" s="121" t="n">
        <f aca="false">CS302!AB11</f>
        <v>1</v>
      </c>
      <c r="K13" s="122" t="n">
        <f aca="false">CS302!AC11</f>
        <v>1</v>
      </c>
      <c r="L13" s="123" t="n">
        <f aca="false">CS302!AD11</f>
        <v>1</v>
      </c>
      <c r="M13" s="124" t="n">
        <f aca="false">CS302!AE11</f>
        <v>1</v>
      </c>
      <c r="N13" s="119" t="n">
        <f aca="false">CS302!AF11</f>
        <v>2</v>
      </c>
      <c r="O13" s="125" t="n">
        <f aca="false">CS302!AG11</f>
        <v>2</v>
      </c>
      <c r="P13" s="117" t="n">
        <f aca="false">CS302!AH11</f>
        <v>1</v>
      </c>
      <c r="Q13" s="118" t="n">
        <f aca="false">CS302!AI11</f>
        <v>1</v>
      </c>
      <c r="R13" s="120" t="n">
        <f aca="false">CS302!AJ11</f>
        <v>1</v>
      </c>
      <c r="S13" s="120" t="n">
        <f aca="false">CS302!AK11</f>
        <v>2</v>
      </c>
      <c r="T13" s="122" t="n">
        <f aca="false">CS302!AL11</f>
        <v>2</v>
      </c>
      <c r="U13" s="119" t="n">
        <f aca="false">CS302!AM11</f>
        <v>2</v>
      </c>
      <c r="V13" s="123" t="n">
        <f aca="false">CS302!AN11</f>
        <v>2</v>
      </c>
      <c r="W13" s="124" t="n">
        <f aca="false">CS302!AO11</f>
        <v>1</v>
      </c>
      <c r="X13" s="119" t="n">
        <f aca="false">CS302!AP11</f>
        <v>2</v>
      </c>
      <c r="Y13" s="126" t="n">
        <f aca="false">IFERROR(AVERAGE(CS302!W11,CS302!X11,CS302!Y11,CS302!Z11,CS302!AA11,CS302!AB11,CS302!AC11,CS302!AD11,CS302!AE11,CS302!AF11,CS302!AG11,CS302!AH11,CS302!AI11,CS302!AJ11,CS302!AK11,CS302!AL11,CS302!AM11,CS302!AN11,CS302!AO11,CS302!AP11),0)</f>
        <v>1.6</v>
      </c>
      <c r="Z13" s="114" t="n">
        <f aca="false">CS302!AR11</f>
        <v>2</v>
      </c>
    </row>
    <row r="14" customFormat="false" ht="18" hidden="false" customHeight="true" outlineLevel="0" collapsed="false">
      <c r="A14" s="111"/>
      <c r="B14" s="111"/>
      <c r="C14" s="111"/>
      <c r="D14" s="25" t="s">
        <v>166</v>
      </c>
      <c r="E14" s="116" t="n">
        <f aca="false">CS302!W12</f>
        <v>3</v>
      </c>
      <c r="F14" s="117" t="n">
        <f aca="false">CS302!X12</f>
        <v>3</v>
      </c>
      <c r="G14" s="118" t="n">
        <f aca="false">CS302!Y12</f>
        <v>3</v>
      </c>
      <c r="H14" s="119" t="n">
        <f aca="false">CS302!Z12</f>
        <v>2</v>
      </c>
      <c r="I14" s="120" t="n">
        <f aca="false">CS302!AA12</f>
        <v>2</v>
      </c>
      <c r="J14" s="121" t="n">
        <f aca="false">CS302!AB12</f>
        <v>2</v>
      </c>
      <c r="K14" s="122" t="n">
        <f aca="false">CS302!AC12</f>
        <v>2</v>
      </c>
      <c r="L14" s="123" t="n">
        <f aca="false">CS302!AD12</f>
        <v>2</v>
      </c>
      <c r="M14" s="124" t="n">
        <f aca="false">CS302!AE12</f>
        <v>2</v>
      </c>
      <c r="N14" s="119" t="n">
        <f aca="false">CS302!AF12</f>
        <v>2</v>
      </c>
      <c r="O14" s="125" t="n">
        <f aca="false">CS302!AG12</f>
        <v>2</v>
      </c>
      <c r="P14" s="117" t="n">
        <f aca="false">CS302!AH12</f>
        <v>2</v>
      </c>
      <c r="Q14" s="118" t="n">
        <f aca="false">CS302!AI12</f>
        <v>2</v>
      </c>
      <c r="R14" s="120" t="n">
        <f aca="false">CS302!AJ12</f>
        <v>2</v>
      </c>
      <c r="S14" s="120" t="n">
        <f aca="false">CS302!AK12</f>
        <v>2</v>
      </c>
      <c r="T14" s="122" t="n">
        <f aca="false">CS302!AL12</f>
        <v>2</v>
      </c>
      <c r="U14" s="119" t="n">
        <f aca="false">CS302!AM12</f>
        <v>3</v>
      </c>
      <c r="V14" s="123" t="n">
        <f aca="false">CS302!AN12</f>
        <v>2</v>
      </c>
      <c r="W14" s="124" t="n">
        <f aca="false">CS302!AO12</f>
        <v>2</v>
      </c>
      <c r="X14" s="119" t="n">
        <f aca="false">CS302!AP12</f>
        <v>2</v>
      </c>
      <c r="Y14" s="126" t="n">
        <f aca="false">IFERROR(AVERAGE(CS302!W12,CS302!X12,CS302!Y12,CS302!Z12,CS302!AA12,CS302!AB12,CS302!AC12,CS302!AD12,CS302!AE12,CS302!AF12,CS302!AG12,CS302!AH12,CS302!AI12,CS302!AJ12,CS302!AK12,CS302!AL12,CS302!AM12,CS302!AN12,CS302!AO12,CS302!AP12),0)</f>
        <v>2.2</v>
      </c>
      <c r="Z14" s="114" t="n">
        <f aca="false">CS302!AR12</f>
        <v>2</v>
      </c>
    </row>
    <row r="15" customFormat="false" ht="18" hidden="false" customHeight="true" outlineLevel="0" collapsed="false">
      <c r="A15" s="111"/>
      <c r="B15" s="111"/>
      <c r="C15" s="111"/>
      <c r="D15" s="25" t="s">
        <v>168</v>
      </c>
      <c r="E15" s="116" t="n">
        <f aca="false">CS302!W13</f>
        <v>3</v>
      </c>
      <c r="F15" s="117" t="n">
        <f aca="false">CS302!X13</f>
        <v>3</v>
      </c>
      <c r="G15" s="118" t="n">
        <f aca="false">CS302!Y13</f>
        <v>3</v>
      </c>
      <c r="H15" s="119" t="n">
        <f aca="false">CS302!Z13</f>
        <v>2</v>
      </c>
      <c r="I15" s="120" t="n">
        <f aca="false">CS302!AA13</f>
        <v>3</v>
      </c>
      <c r="J15" s="121" t="n">
        <f aca="false">CS302!AB13</f>
        <v>2</v>
      </c>
      <c r="K15" s="122" t="n">
        <f aca="false">CS302!AC13</f>
        <v>2</v>
      </c>
      <c r="L15" s="123" t="n">
        <f aca="false">CS302!AD13</f>
        <v>1</v>
      </c>
      <c r="M15" s="124" t="n">
        <f aca="false">CS302!AE13</f>
        <v>1</v>
      </c>
      <c r="N15" s="119" t="n">
        <f aca="false">CS302!AF13</f>
        <v>2</v>
      </c>
      <c r="O15" s="125" t="n">
        <f aca="false">CS302!AG13</f>
        <v>2</v>
      </c>
      <c r="P15" s="117" t="n">
        <f aca="false">CS302!AH13</f>
        <v>1</v>
      </c>
      <c r="Q15" s="118" t="n">
        <f aca="false">CS302!AI13</f>
        <v>2</v>
      </c>
      <c r="R15" s="120" t="n">
        <f aca="false">CS302!AJ13</f>
        <v>3</v>
      </c>
      <c r="S15" s="120" t="n">
        <f aca="false">CS302!AK13</f>
        <v>1</v>
      </c>
      <c r="T15" s="122" t="n">
        <f aca="false">CS302!AL13</f>
        <v>2</v>
      </c>
      <c r="U15" s="119" t="n">
        <f aca="false">CS302!AM13</f>
        <v>3</v>
      </c>
      <c r="V15" s="123" t="n">
        <f aca="false">CS302!AN13</f>
        <v>2</v>
      </c>
      <c r="W15" s="124" t="n">
        <f aca="false">CS302!AO13</f>
        <v>1</v>
      </c>
      <c r="X15" s="119" t="n">
        <f aca="false">CS302!AP13</f>
        <v>2</v>
      </c>
      <c r="Y15" s="126" t="n">
        <f aca="false">IFERROR(AVERAGE(CS302!W13,CS302!X13,CS302!Y13,CS302!Z13,CS302!AA13,CS302!AB13,CS302!AC13,CS302!AD13,CS302!AE13,CS302!AF13,CS302!AG13,CS302!AH13,CS302!AI13,CS302!AJ13,CS302!AK13,CS302!AL13,CS302!AM13,CS302!AN13,CS302!AO13,CS302!AP13),0)</f>
        <v>2.05</v>
      </c>
      <c r="Z15" s="114" t="n">
        <f aca="false">CS302!AR13</f>
        <v>2</v>
      </c>
    </row>
    <row r="16" customFormat="false" ht="18" hidden="false" customHeight="true" outlineLevel="0" collapsed="false">
      <c r="A16" s="111" t="n">
        <v>3</v>
      </c>
      <c r="B16" s="112" t="s">
        <v>192</v>
      </c>
      <c r="C16" s="113" t="s">
        <v>193</v>
      </c>
      <c r="D16" s="25" t="s">
        <v>160</v>
      </c>
      <c r="E16" s="116" t="n">
        <f aca="false">CS303!W9</f>
        <v>1</v>
      </c>
      <c r="F16" s="117" t="n">
        <f aca="false">CS303!X9</f>
        <v>2</v>
      </c>
      <c r="G16" s="118" t="n">
        <f aca="false">CS303!Y9</f>
        <v>1</v>
      </c>
      <c r="H16" s="119" t="n">
        <f aca="false">CS303!Z9</f>
        <v>1</v>
      </c>
      <c r="I16" s="120" t="n">
        <f aca="false">CS303!AA9</f>
        <v>2</v>
      </c>
      <c r="J16" s="121" t="n">
        <f aca="false">CS303!AB9</f>
        <v>1</v>
      </c>
      <c r="K16" s="122" t="n">
        <f aca="false">CS303!AC9</f>
        <v>1</v>
      </c>
      <c r="L16" s="123" t="n">
        <f aca="false">CS303!AD9</f>
        <v>1</v>
      </c>
      <c r="M16" s="124" t="n">
        <f aca="false">CS303!AE9</f>
        <v>1</v>
      </c>
      <c r="N16" s="119" t="n">
        <f aca="false">CS303!AF9</f>
        <v>1</v>
      </c>
      <c r="O16" s="125" t="n">
        <f aca="false">CS303!AG9</f>
        <v>1</v>
      </c>
      <c r="P16" s="117" t="n">
        <f aca="false">CS303!AH9</f>
        <v>1</v>
      </c>
      <c r="Q16" s="118" t="n">
        <f aca="false">CS303!AI9</f>
        <v>1</v>
      </c>
      <c r="R16" s="120" t="n">
        <f aca="false">CS303!AJ9</f>
        <v>1</v>
      </c>
      <c r="S16" s="120" t="n">
        <f aca="false">CS303!AK9</f>
        <v>1</v>
      </c>
      <c r="T16" s="122" t="n">
        <f aca="false">CS303!AL9</f>
        <v>1</v>
      </c>
      <c r="U16" s="119" t="n">
        <f aca="false">CS303!AM9</f>
        <v>2</v>
      </c>
      <c r="V16" s="123" t="n">
        <f aca="false">CS303!AN9</f>
        <v>1</v>
      </c>
      <c r="W16" s="124" t="n">
        <f aca="false">CS303!AO9</f>
        <v>1</v>
      </c>
      <c r="X16" s="119" t="n">
        <f aca="false">CS303!AP9</f>
        <v>1</v>
      </c>
      <c r="Y16" s="126" t="n">
        <f aca="false">IFERROR(AVERAGE(CS303!W9,CS303!X9,CS303!Y9,CS303!Z9,CS303!AA9,CS303!AB9,CS303!AC9,CS303!AD9,CS303!AE9,CS303!AF9,CS303!AG9,CS303!AH9,CS303!AI9,CS303!AJ9,CS303!AK9,CS303!AL9,CS303!AM9,CS303!AN9,CS303!AO9,CS303!AP9),0)</f>
        <v>1.15</v>
      </c>
      <c r="Z16" s="114" t="n">
        <f aca="false">CS303!AR9</f>
        <v>1</v>
      </c>
    </row>
    <row r="17" customFormat="false" ht="18" hidden="false" customHeight="true" outlineLevel="0" collapsed="false">
      <c r="A17" s="111"/>
      <c r="B17" s="111"/>
      <c r="C17" s="111"/>
      <c r="D17" s="25" t="s">
        <v>162</v>
      </c>
      <c r="E17" s="116" t="n">
        <f aca="false">CS303!W10</f>
        <v>2</v>
      </c>
      <c r="F17" s="117" t="n">
        <f aca="false">CS303!X10</f>
        <v>2</v>
      </c>
      <c r="G17" s="118" t="n">
        <f aca="false">CS303!Y10</f>
        <v>3</v>
      </c>
      <c r="H17" s="119" t="n">
        <f aca="false">CS303!Z10</f>
        <v>3</v>
      </c>
      <c r="I17" s="120" t="n">
        <f aca="false">CS303!AA10</f>
        <v>3</v>
      </c>
      <c r="J17" s="121" t="n">
        <f aca="false">CS303!AB10</f>
        <v>2</v>
      </c>
      <c r="K17" s="122" t="n">
        <f aca="false">CS303!AC10</f>
        <v>3</v>
      </c>
      <c r="L17" s="123" t="n">
        <f aca="false">CS303!AD10</f>
        <v>2</v>
      </c>
      <c r="M17" s="124" t="n">
        <f aca="false">CS303!AE10</f>
        <v>2</v>
      </c>
      <c r="N17" s="119" t="n">
        <f aca="false">CS303!AF10</f>
        <v>2</v>
      </c>
      <c r="O17" s="125" t="n">
        <f aca="false">CS303!AG10</f>
        <v>2</v>
      </c>
      <c r="P17" s="117" t="n">
        <f aca="false">CS303!AH10</f>
        <v>2</v>
      </c>
      <c r="Q17" s="118" t="n">
        <f aca="false">CS303!AI10</f>
        <v>2</v>
      </c>
      <c r="R17" s="120" t="n">
        <f aca="false">CS303!AJ10</f>
        <v>3</v>
      </c>
      <c r="S17" s="120" t="n">
        <f aca="false">CS303!AK10</f>
        <v>2</v>
      </c>
      <c r="T17" s="122" t="n">
        <f aca="false">CS303!AL10</f>
        <v>2</v>
      </c>
      <c r="U17" s="119" t="n">
        <f aca="false">CS303!AM10</f>
        <v>3</v>
      </c>
      <c r="V17" s="123" t="n">
        <f aca="false">CS303!AN10</f>
        <v>2</v>
      </c>
      <c r="W17" s="124" t="n">
        <f aca="false">CS303!AO10</f>
        <v>2</v>
      </c>
      <c r="X17" s="119" t="n">
        <f aca="false">CS303!AP10</f>
        <v>2</v>
      </c>
      <c r="Y17" s="126" t="n">
        <f aca="false">IFERROR(AVERAGE(CS303!W10,CS303!X10,CS303!Y10,CS303!Z10,CS303!AA10,CS303!AB10,CS303!AC10,CS303!AD10,CS303!AE10,CS303!AF10,CS303!AG10,CS303!AH10,CS303!AI10,CS303!AJ10,CS303!AK10,CS303!AL10,CS303!AM10,CS303!AN10,CS303!AO10,CS303!AP10),0)</f>
        <v>2.3</v>
      </c>
      <c r="Z17" s="114" t="n">
        <f aca="false">CS303!AR10</f>
        <v>2</v>
      </c>
    </row>
    <row r="18" customFormat="false" ht="18" hidden="false" customHeight="true" outlineLevel="0" collapsed="false">
      <c r="A18" s="111"/>
      <c r="B18" s="111"/>
      <c r="C18" s="111"/>
      <c r="D18" s="25" t="s">
        <v>164</v>
      </c>
      <c r="E18" s="116" t="n">
        <f aca="false">CS303!W11</f>
        <v>3</v>
      </c>
      <c r="F18" s="117" t="n">
        <f aca="false">CS303!X11</f>
        <v>3</v>
      </c>
      <c r="G18" s="118" t="n">
        <f aca="false">CS303!Y11</f>
        <v>3</v>
      </c>
      <c r="H18" s="119" t="n">
        <f aca="false">CS303!Z11</f>
        <v>3</v>
      </c>
      <c r="I18" s="120" t="n">
        <f aca="false">CS303!AA11</f>
        <v>3</v>
      </c>
      <c r="J18" s="121" t="n">
        <f aca="false">CS303!AB11</f>
        <v>2</v>
      </c>
      <c r="K18" s="122" t="n">
        <f aca="false">CS303!AC11</f>
        <v>3</v>
      </c>
      <c r="L18" s="123" t="n">
        <f aca="false">CS303!AD11</f>
        <v>2</v>
      </c>
      <c r="M18" s="124" t="n">
        <f aca="false">CS303!AE11</f>
        <v>2</v>
      </c>
      <c r="N18" s="119" t="n">
        <f aca="false">CS303!AF11</f>
        <v>3</v>
      </c>
      <c r="O18" s="125" t="n">
        <f aca="false">CS303!AG11</f>
        <v>3</v>
      </c>
      <c r="P18" s="117" t="n">
        <f aca="false">CS303!AH11</f>
        <v>2</v>
      </c>
      <c r="Q18" s="118" t="n">
        <f aca="false">CS303!AI11</f>
        <v>2</v>
      </c>
      <c r="R18" s="120" t="n">
        <f aca="false">CS303!AJ11</f>
        <v>3</v>
      </c>
      <c r="S18" s="120" t="n">
        <f aca="false">CS303!AK11</f>
        <v>2</v>
      </c>
      <c r="T18" s="122" t="n">
        <f aca="false">CS303!AL11</f>
        <v>2</v>
      </c>
      <c r="U18" s="119" t="n">
        <f aca="false">CS303!AM11</f>
        <v>3</v>
      </c>
      <c r="V18" s="123" t="n">
        <f aca="false">CS303!AN11</f>
        <v>3</v>
      </c>
      <c r="W18" s="124" t="n">
        <f aca="false">CS303!AO11</f>
        <v>2</v>
      </c>
      <c r="X18" s="119" t="n">
        <f aca="false">CS303!AP11</f>
        <v>3</v>
      </c>
      <c r="Y18" s="126" t="n">
        <f aca="false">IFERROR(AVERAGE(CS303!W11,CS303!X11,CS303!Y11,CS303!Z11,CS303!AA11,CS303!AB11,CS303!AC11,CS303!AD11,CS303!AE11,CS303!AF11,CS303!AG11,CS303!AH11,CS303!AI11,CS303!AJ11,CS303!AK11,CS303!AL11,CS303!AM11,CS303!AN11,CS303!AO11,CS303!AP11),0)</f>
        <v>2.6</v>
      </c>
      <c r="Z18" s="114" t="n">
        <f aca="false">CS303!AR11</f>
        <v>3</v>
      </c>
    </row>
    <row r="19" customFormat="false" ht="18" hidden="false" customHeight="true" outlineLevel="0" collapsed="false">
      <c r="A19" s="111"/>
      <c r="B19" s="111"/>
      <c r="C19" s="111"/>
      <c r="D19" s="25" t="s">
        <v>166</v>
      </c>
      <c r="E19" s="116" t="n">
        <f aca="false">CS303!W12</f>
        <v>2</v>
      </c>
      <c r="F19" s="117" t="n">
        <f aca="false">CS303!X12</f>
        <v>2</v>
      </c>
      <c r="G19" s="118" t="n">
        <f aca="false">CS303!Y12</f>
        <v>2</v>
      </c>
      <c r="H19" s="119" t="n">
        <f aca="false">CS303!Z12</f>
        <v>2</v>
      </c>
      <c r="I19" s="120" t="n">
        <f aca="false">CS303!AA12</f>
        <v>2</v>
      </c>
      <c r="J19" s="121" t="n">
        <f aca="false">CS303!AB12</f>
        <v>1</v>
      </c>
      <c r="K19" s="122" t="n">
        <f aca="false">CS303!AC12</f>
        <v>2</v>
      </c>
      <c r="L19" s="123" t="n">
        <f aca="false">CS303!AD12</f>
        <v>1</v>
      </c>
      <c r="M19" s="124" t="n">
        <f aca="false">CS303!AE12</f>
        <v>1</v>
      </c>
      <c r="N19" s="119" t="n">
        <f aca="false">CS303!AF12</f>
        <v>1</v>
      </c>
      <c r="O19" s="125" t="n">
        <f aca="false">CS303!AG12</f>
        <v>1</v>
      </c>
      <c r="P19" s="117" t="n">
        <f aca="false">CS303!AH12</f>
        <v>1</v>
      </c>
      <c r="Q19" s="118" t="n">
        <f aca="false">CS303!AI12</f>
        <v>1</v>
      </c>
      <c r="R19" s="120" t="n">
        <f aca="false">CS303!AJ12</f>
        <v>2</v>
      </c>
      <c r="S19" s="120" t="n">
        <f aca="false">CS303!AK12</f>
        <v>1</v>
      </c>
      <c r="T19" s="122" t="n">
        <f aca="false">CS303!AL12</f>
        <v>2</v>
      </c>
      <c r="U19" s="119" t="n">
        <f aca="false">CS303!AM12</f>
        <v>2</v>
      </c>
      <c r="V19" s="123" t="n">
        <f aca="false">CS303!AN12</f>
        <v>2</v>
      </c>
      <c r="W19" s="124" t="n">
        <f aca="false">CS303!AO12</f>
        <v>1</v>
      </c>
      <c r="X19" s="119" t="n">
        <f aca="false">CS303!AP12</f>
        <v>2</v>
      </c>
      <c r="Y19" s="126" t="n">
        <f aca="false">IFERROR(AVERAGE(CS303!W12,CS303!X12,CS303!Y12,CS303!Z12,CS303!AA12,CS303!AB12,CS303!AC12,CS303!AD12,CS303!AE12,CS303!AF12,CS303!AG12,CS303!AH12,CS303!AI12,CS303!AJ12,CS303!AK12,CS303!AL12,CS303!AM12,CS303!AN12,CS303!AO12,CS303!AP12),0)</f>
        <v>1.55</v>
      </c>
      <c r="Z19" s="114" t="n">
        <f aca="false">CS303!AR12</f>
        <v>2</v>
      </c>
    </row>
    <row r="20" customFormat="false" ht="18" hidden="false" customHeight="true" outlineLevel="0" collapsed="false">
      <c r="A20" s="111"/>
      <c r="B20" s="111"/>
      <c r="C20" s="111"/>
      <c r="D20" s="25" t="s">
        <v>168</v>
      </c>
      <c r="E20" s="116" t="n">
        <f aca="false">CS303!W13</f>
        <v>2</v>
      </c>
      <c r="F20" s="117" t="n">
        <f aca="false">CS303!X13</f>
        <v>2</v>
      </c>
      <c r="G20" s="118" t="n">
        <f aca="false">CS303!Y13</f>
        <v>2</v>
      </c>
      <c r="H20" s="119" t="n">
        <f aca="false">CS303!Z13</f>
        <v>2</v>
      </c>
      <c r="I20" s="120" t="n">
        <f aca="false">CS303!AA13</f>
        <v>3</v>
      </c>
      <c r="J20" s="121" t="n">
        <f aca="false">CS303!AB13</f>
        <v>2</v>
      </c>
      <c r="K20" s="122" t="n">
        <f aca="false">CS303!AC13</f>
        <v>2</v>
      </c>
      <c r="L20" s="123" t="n">
        <f aca="false">CS303!AD13</f>
        <v>1</v>
      </c>
      <c r="M20" s="124" t="n">
        <f aca="false">CS303!AE13</f>
        <v>2</v>
      </c>
      <c r="N20" s="119" t="n">
        <f aca="false">CS303!AF13</f>
        <v>2</v>
      </c>
      <c r="O20" s="125" t="n">
        <f aca="false">CS303!AG13</f>
        <v>2</v>
      </c>
      <c r="P20" s="117" t="n">
        <f aca="false">CS303!AH13</f>
        <v>2</v>
      </c>
      <c r="Q20" s="118" t="n">
        <f aca="false">CS303!AI13</f>
        <v>2</v>
      </c>
      <c r="R20" s="120" t="n">
        <f aca="false">CS303!AJ13</f>
        <v>3</v>
      </c>
      <c r="S20" s="120" t="n">
        <f aca="false">CS303!AK13</f>
        <v>2</v>
      </c>
      <c r="T20" s="122" t="n">
        <f aca="false">CS303!AL13</f>
        <v>2</v>
      </c>
      <c r="U20" s="119" t="n">
        <f aca="false">CS303!AM13</f>
        <v>3</v>
      </c>
      <c r="V20" s="123" t="n">
        <f aca="false">CS303!AN13</f>
        <v>2</v>
      </c>
      <c r="W20" s="124" t="n">
        <f aca="false">CS303!AO13</f>
        <v>2</v>
      </c>
      <c r="X20" s="119" t="n">
        <f aca="false">CS303!AP13</f>
        <v>2</v>
      </c>
      <c r="Y20" s="126" t="n">
        <f aca="false">IFERROR(AVERAGE(CS303!W13,CS303!X13,CS303!Y13,CS303!Z13,CS303!AA13,CS303!AB13,CS303!AC13,CS303!AD13,CS303!AE13,CS303!AF13,CS303!AG13,CS303!AH13,CS303!AI13,CS303!AJ13,CS303!AK13,CS303!AL13,CS303!AM13,CS303!AN13,CS303!AO13,CS303!AP13),0)</f>
        <v>2.1</v>
      </c>
      <c r="Z20" s="114" t="n">
        <f aca="false">CS303!AR13</f>
        <v>2</v>
      </c>
    </row>
    <row r="21" customFormat="false" ht="18" hidden="false" customHeight="true" outlineLevel="0" collapsed="false">
      <c r="A21" s="111" t="n">
        <v>4</v>
      </c>
      <c r="B21" s="112" t="s">
        <v>194</v>
      </c>
      <c r="C21" s="113" t="s">
        <v>195</v>
      </c>
      <c r="D21" s="25" t="s">
        <v>160</v>
      </c>
      <c r="E21" s="116" t="n">
        <f aca="false">CS304!W9</f>
        <v>2</v>
      </c>
      <c r="F21" s="117" t="n">
        <f aca="false">CS304!X9</f>
        <v>2</v>
      </c>
      <c r="G21" s="118" t="n">
        <f aca="false">CS304!Y9</f>
        <v>3</v>
      </c>
      <c r="H21" s="119" t="n">
        <f aca="false">CS304!Z9</f>
        <v>2</v>
      </c>
      <c r="I21" s="120" t="n">
        <f aca="false">CS304!AA9</f>
        <v>2</v>
      </c>
      <c r="J21" s="121" t="n">
        <f aca="false">CS304!AB9</f>
        <v>1</v>
      </c>
      <c r="K21" s="122" t="n">
        <f aca="false">CS304!AC9</f>
        <v>2</v>
      </c>
      <c r="L21" s="123" t="n">
        <f aca="false">CS304!AD9</f>
        <v>1</v>
      </c>
      <c r="M21" s="124" t="n">
        <f aca="false">CS304!AE9</f>
        <v>1</v>
      </c>
      <c r="N21" s="119" t="n">
        <f aca="false">CS304!AF9</f>
        <v>2</v>
      </c>
      <c r="O21" s="125" t="n">
        <f aca="false">CS304!AG9</f>
        <v>2</v>
      </c>
      <c r="P21" s="117" t="n">
        <f aca="false">CS304!AH9</f>
        <v>1</v>
      </c>
      <c r="Q21" s="118" t="n">
        <f aca="false">CS304!AI9</f>
        <v>1</v>
      </c>
      <c r="R21" s="120" t="n">
        <f aca="false">CS304!AJ9</f>
        <v>2</v>
      </c>
      <c r="S21" s="120" t="n">
        <f aca="false">CS304!AK9</f>
        <v>1</v>
      </c>
      <c r="T21" s="122" t="n">
        <f aca="false">CS304!AL9</f>
        <v>2</v>
      </c>
      <c r="U21" s="119" t="n">
        <f aca="false">CS304!AM9</f>
        <v>2</v>
      </c>
      <c r="V21" s="123" t="n">
        <f aca="false">CS304!AN9</f>
        <v>2</v>
      </c>
      <c r="W21" s="124" t="n">
        <f aca="false">CS304!AO9</f>
        <v>1</v>
      </c>
      <c r="X21" s="119" t="n">
        <f aca="false">CS304!AP9</f>
        <v>2</v>
      </c>
      <c r="Y21" s="126" t="n">
        <f aca="false">IFERROR(AVERAGE(CS304!W9,CS304!X9,CS304!Y9,CS304!Z9,CS304!AA9,CS304!AB9,CS304!AC9,CS304!AD9,CS304!AE9,CS304!AF9,CS304!AG9,CS304!AH9,CS304!AI9,CS304!AJ9,CS304!AK9,CS304!AL9,CS304!AM9,CS304!AN9,CS304!AO9,CS304!AP9),0)</f>
        <v>1.7</v>
      </c>
      <c r="Z21" s="114" t="n">
        <f aca="false">CS304!AR9</f>
        <v>2</v>
      </c>
    </row>
    <row r="22" customFormat="false" ht="18" hidden="false" customHeight="true" outlineLevel="0" collapsed="false">
      <c r="A22" s="111"/>
      <c r="B22" s="111"/>
      <c r="C22" s="111"/>
      <c r="D22" s="25" t="s">
        <v>162</v>
      </c>
      <c r="E22" s="116" t="n">
        <f aca="false">CS304!W10</f>
        <v>3</v>
      </c>
      <c r="F22" s="117" t="n">
        <f aca="false">CS304!X10</f>
        <v>3</v>
      </c>
      <c r="G22" s="118" t="n">
        <f aca="false">CS304!Y10</f>
        <v>3</v>
      </c>
      <c r="H22" s="119" t="n">
        <f aca="false">CS304!Z10</f>
        <v>3</v>
      </c>
      <c r="I22" s="120" t="n">
        <f aca="false">CS304!AA10</f>
        <v>2</v>
      </c>
      <c r="J22" s="121" t="n">
        <f aca="false">CS304!AB10</f>
        <v>2</v>
      </c>
      <c r="K22" s="122" t="n">
        <f aca="false">CS304!AC10</f>
        <v>2</v>
      </c>
      <c r="L22" s="123" t="n">
        <f aca="false">CS304!AD10</f>
        <v>2</v>
      </c>
      <c r="M22" s="124" t="n">
        <f aca="false">CS304!AE10</f>
        <v>2</v>
      </c>
      <c r="N22" s="119" t="n">
        <f aca="false">CS304!AF10</f>
        <v>2</v>
      </c>
      <c r="O22" s="125" t="n">
        <f aca="false">CS304!AG10</f>
        <v>3</v>
      </c>
      <c r="P22" s="117" t="n">
        <f aca="false">CS304!AH10</f>
        <v>2</v>
      </c>
      <c r="Q22" s="118" t="n">
        <f aca="false">CS304!AI10</f>
        <v>2</v>
      </c>
      <c r="R22" s="120" t="n">
        <f aca="false">CS304!AJ10</f>
        <v>2</v>
      </c>
      <c r="S22" s="120" t="n">
        <f aca="false">CS304!AK10</f>
        <v>2</v>
      </c>
      <c r="T22" s="122" t="n">
        <f aca="false">CS304!AL10</f>
        <v>2</v>
      </c>
      <c r="U22" s="119" t="n">
        <f aca="false">CS304!AM10</f>
        <v>3</v>
      </c>
      <c r="V22" s="123" t="n">
        <f aca="false">CS304!AN10</f>
        <v>3</v>
      </c>
      <c r="W22" s="124" t="n">
        <f aca="false">CS304!AO10</f>
        <v>2</v>
      </c>
      <c r="X22" s="119" t="n">
        <f aca="false">CS304!AP10</f>
        <v>2</v>
      </c>
      <c r="Y22" s="126" t="n">
        <f aca="false">IFERROR(AVERAGE(CS304!W10,CS304!X10,CS304!Y10,CS304!Z10,CS304!AA10,CS304!AB10,CS304!AC10,CS304!AD10,CS304!AE10,CS304!AF10,CS304!AG10,CS304!AH10,CS304!AI10,CS304!AJ10,CS304!AK10,CS304!AL10,CS304!AM10,CS304!AN10,CS304!AO10,CS304!AP10),0)</f>
        <v>2.35</v>
      </c>
      <c r="Z22" s="114" t="n">
        <f aca="false">CS304!AR10</f>
        <v>2</v>
      </c>
    </row>
    <row r="23" customFormat="false" ht="18" hidden="false" customHeight="true" outlineLevel="0" collapsed="false">
      <c r="A23" s="111"/>
      <c r="B23" s="111"/>
      <c r="C23" s="111"/>
      <c r="D23" s="25" t="s">
        <v>164</v>
      </c>
      <c r="E23" s="116" t="n">
        <f aca="false">CS304!W11</f>
        <v>2</v>
      </c>
      <c r="F23" s="117" t="n">
        <f aca="false">CS304!X11</f>
        <v>2</v>
      </c>
      <c r="G23" s="118" t="n">
        <f aca="false">CS304!Y11</f>
        <v>3</v>
      </c>
      <c r="H23" s="119" t="n">
        <f aca="false">CS304!Z11</f>
        <v>2</v>
      </c>
      <c r="I23" s="120" t="n">
        <f aca="false">CS304!AA11</f>
        <v>2</v>
      </c>
      <c r="J23" s="121" t="n">
        <f aca="false">CS304!AB11</f>
        <v>1</v>
      </c>
      <c r="K23" s="122" t="n">
        <f aca="false">CS304!AC11</f>
        <v>2</v>
      </c>
      <c r="L23" s="123" t="n">
        <f aca="false">CS304!AD11</f>
        <v>1</v>
      </c>
      <c r="M23" s="124" t="n">
        <f aca="false">CS304!AE11</f>
        <v>1</v>
      </c>
      <c r="N23" s="119" t="n">
        <f aca="false">CS304!AF11</f>
        <v>1</v>
      </c>
      <c r="O23" s="125" t="n">
        <f aca="false">CS304!AG11</f>
        <v>2</v>
      </c>
      <c r="P23" s="117" t="n">
        <f aca="false">CS304!AH11</f>
        <v>1</v>
      </c>
      <c r="Q23" s="118" t="n">
        <f aca="false">CS304!AI11</f>
        <v>1</v>
      </c>
      <c r="R23" s="120" t="n">
        <f aca="false">CS304!AJ11</f>
        <v>1</v>
      </c>
      <c r="S23" s="120" t="n">
        <f aca="false">CS304!AK11</f>
        <v>1</v>
      </c>
      <c r="T23" s="122" t="n">
        <f aca="false">CS304!AL11</f>
        <v>2</v>
      </c>
      <c r="U23" s="119" t="n">
        <f aca="false">CS304!AM11</f>
        <v>2</v>
      </c>
      <c r="V23" s="123" t="n">
        <f aca="false">CS304!AN11</f>
        <v>2</v>
      </c>
      <c r="W23" s="124" t="n">
        <f aca="false">CS304!AO11</f>
        <v>1</v>
      </c>
      <c r="X23" s="119" t="n">
        <f aca="false">CS304!AP11</f>
        <v>2</v>
      </c>
      <c r="Y23" s="126" t="n">
        <f aca="false">IFERROR(AVERAGE(CS304!W11,CS304!X11,CS304!Y11,CS304!Z11,CS304!AA11,CS304!AB11,CS304!AC11,CS304!AD11,CS304!AE11,CS304!AF11,CS304!AG11,CS304!AH11,CS304!AI11,CS304!AJ11,CS304!AK11,CS304!AL11,CS304!AM11,CS304!AN11,CS304!AO11,CS304!AP11),0)</f>
        <v>1.6</v>
      </c>
      <c r="Z23" s="114" t="n">
        <f aca="false">CS304!AR11</f>
        <v>2</v>
      </c>
    </row>
    <row r="24" customFormat="false" ht="18" hidden="false" customHeight="true" outlineLevel="0" collapsed="false">
      <c r="A24" s="111"/>
      <c r="B24" s="111"/>
      <c r="C24" s="111"/>
      <c r="D24" s="25" t="s">
        <v>166</v>
      </c>
      <c r="E24" s="116" t="n">
        <f aca="false">CS304!W12</f>
        <v>2</v>
      </c>
      <c r="F24" s="117" t="n">
        <f aca="false">CS304!X12</f>
        <v>2</v>
      </c>
      <c r="G24" s="118" t="n">
        <f aca="false">CS304!Y12</f>
        <v>2</v>
      </c>
      <c r="H24" s="119" t="n">
        <f aca="false">CS304!Z12</f>
        <v>2</v>
      </c>
      <c r="I24" s="120" t="n">
        <f aca="false">CS304!AA12</f>
        <v>2</v>
      </c>
      <c r="J24" s="121" t="n">
        <f aca="false">CS304!AB12</f>
        <v>1</v>
      </c>
      <c r="K24" s="122" t="n">
        <f aca="false">CS304!AC12</f>
        <v>2</v>
      </c>
      <c r="L24" s="123" t="n">
        <f aca="false">CS304!AD12</f>
        <v>1</v>
      </c>
      <c r="M24" s="124" t="n">
        <f aca="false">CS304!AE12</f>
        <v>1</v>
      </c>
      <c r="N24" s="119" t="n">
        <f aca="false">CS304!AF12</f>
        <v>1</v>
      </c>
      <c r="O24" s="125" t="n">
        <f aca="false">CS304!AG12</f>
        <v>1</v>
      </c>
      <c r="P24" s="117" t="n">
        <f aca="false">CS304!AH12</f>
        <v>1</v>
      </c>
      <c r="Q24" s="118" t="n">
        <f aca="false">CS304!AI12</f>
        <v>1</v>
      </c>
      <c r="R24" s="120" t="n">
        <f aca="false">CS304!AJ12</f>
        <v>2</v>
      </c>
      <c r="S24" s="120" t="n">
        <f aca="false">CS304!AK12</f>
        <v>1</v>
      </c>
      <c r="T24" s="122" t="n">
        <f aca="false">CS304!AL12</f>
        <v>1</v>
      </c>
      <c r="U24" s="119" t="n">
        <f aca="false">CS304!AM12</f>
        <v>2</v>
      </c>
      <c r="V24" s="123" t="n">
        <f aca="false">CS304!AN12</f>
        <v>2</v>
      </c>
      <c r="W24" s="124" t="n">
        <f aca="false">CS304!AO12</f>
        <v>1</v>
      </c>
      <c r="X24" s="119" t="n">
        <f aca="false">CS304!AP12</f>
        <v>2</v>
      </c>
      <c r="Y24" s="126" t="n">
        <f aca="false">IFERROR(AVERAGE(CS304!W12,CS304!X12,CS304!Y12,CS304!Z12,CS304!AA12,CS304!AB12,CS304!AC12,CS304!AD12,CS304!AE12,CS304!AF12,CS304!AG12,CS304!AH12,CS304!AI12,CS304!AJ12,CS304!AK12,CS304!AL12,CS304!AM12,CS304!AN12,CS304!AO12,CS304!AP12),0)</f>
        <v>1.5</v>
      </c>
      <c r="Z24" s="114" t="n">
        <f aca="false">CS304!AR12</f>
        <v>2</v>
      </c>
    </row>
    <row r="25" customFormat="false" ht="18" hidden="false" customHeight="true" outlineLevel="0" collapsed="false">
      <c r="A25" s="111"/>
      <c r="B25" s="111"/>
      <c r="C25" s="111"/>
      <c r="D25" s="25" t="s">
        <v>168</v>
      </c>
      <c r="E25" s="116" t="n">
        <f aca="false">CS304!W13</f>
        <v>2</v>
      </c>
      <c r="F25" s="117" t="n">
        <f aca="false">CS304!X13</f>
        <v>2</v>
      </c>
      <c r="G25" s="118" t="n">
        <f aca="false">CS304!Y13</f>
        <v>2</v>
      </c>
      <c r="H25" s="119" t="n">
        <f aca="false">CS304!Z13</f>
        <v>2</v>
      </c>
      <c r="I25" s="120" t="n">
        <f aca="false">CS304!AA13</f>
        <v>2</v>
      </c>
      <c r="J25" s="121" t="n">
        <f aca="false">CS304!AB13</f>
        <v>1</v>
      </c>
      <c r="K25" s="122" t="n">
        <f aca="false">CS304!AC13</f>
        <v>2</v>
      </c>
      <c r="L25" s="123" t="n">
        <f aca="false">CS304!AD13</f>
        <v>1</v>
      </c>
      <c r="M25" s="124" t="n">
        <f aca="false">CS304!AE13</f>
        <v>1</v>
      </c>
      <c r="N25" s="119" t="n">
        <f aca="false">CS304!AF13</f>
        <v>1</v>
      </c>
      <c r="O25" s="125" t="n">
        <f aca="false">CS304!AG13</f>
        <v>2</v>
      </c>
      <c r="P25" s="117" t="n">
        <f aca="false">CS304!AH13</f>
        <v>1</v>
      </c>
      <c r="Q25" s="118" t="n">
        <f aca="false">CS304!AI13</f>
        <v>1</v>
      </c>
      <c r="R25" s="120" t="n">
        <f aca="false">CS304!AJ13</f>
        <v>2</v>
      </c>
      <c r="S25" s="120" t="n">
        <f aca="false">CS304!AK13</f>
        <v>1</v>
      </c>
      <c r="T25" s="122" t="n">
        <f aca="false">CS304!AL13</f>
        <v>1</v>
      </c>
      <c r="U25" s="119" t="n">
        <f aca="false">CS304!AM13</f>
        <v>2</v>
      </c>
      <c r="V25" s="123" t="n">
        <f aca="false">CS304!AN13</f>
        <v>2</v>
      </c>
      <c r="W25" s="124" t="n">
        <f aca="false">CS304!AO13</f>
        <v>1</v>
      </c>
      <c r="X25" s="119" t="n">
        <f aca="false">CS304!AP13</f>
        <v>2</v>
      </c>
      <c r="Y25" s="126" t="n">
        <f aca="false">IFERROR(AVERAGE(CS304!W13,CS304!X13,CS304!Y13,CS304!Z13,CS304!AA13,CS304!AB13,CS304!AC13,CS304!AD13,CS304!AE13,CS304!AF13,CS304!AG13,CS304!AH13,CS304!AI13,CS304!AJ13,CS304!AK13,CS304!AL13,CS304!AM13,CS304!AN13,CS304!AO13,CS304!AP13),0)</f>
        <v>1.55</v>
      </c>
      <c r="Z25" s="114" t="n">
        <f aca="false">CS304!AR13</f>
        <v>2</v>
      </c>
    </row>
    <row r="26" customFormat="false" ht="18" hidden="false" customHeight="true" outlineLevel="0" collapsed="false">
      <c r="A26" s="111" t="n">
        <v>5</v>
      </c>
      <c r="B26" s="112" t="s">
        <v>196</v>
      </c>
      <c r="C26" s="113" t="s">
        <v>197</v>
      </c>
      <c r="D26" s="25" t="s">
        <v>160</v>
      </c>
      <c r="E26" s="116" t="n">
        <f aca="false">CS305!W9</f>
        <v>2</v>
      </c>
      <c r="F26" s="117" t="n">
        <f aca="false">CS305!X9</f>
        <v>2</v>
      </c>
      <c r="G26" s="118" t="n">
        <f aca="false">CS305!Y9</f>
        <v>2</v>
      </c>
      <c r="H26" s="119" t="n">
        <f aca="false">CS305!Z9</f>
        <v>3</v>
      </c>
      <c r="I26" s="120" t="n">
        <f aca="false">CS305!AA9</f>
        <v>3</v>
      </c>
      <c r="J26" s="121" t="n">
        <f aca="false">CS305!AB9</f>
        <v>2</v>
      </c>
      <c r="K26" s="122" t="n">
        <f aca="false">CS305!AC9</f>
        <v>3</v>
      </c>
      <c r="L26" s="123" t="n">
        <f aca="false">CS305!AD9</f>
        <v>2</v>
      </c>
      <c r="M26" s="124" t="n">
        <f aca="false">CS305!AE9</f>
        <v>2</v>
      </c>
      <c r="N26" s="119" t="n">
        <f aca="false">CS305!AF9</f>
        <v>2</v>
      </c>
      <c r="O26" s="125" t="n">
        <f aca="false">CS305!AG9</f>
        <v>2</v>
      </c>
      <c r="P26" s="117" t="n">
        <f aca="false">CS305!AH9</f>
        <v>2</v>
      </c>
      <c r="Q26" s="118" t="n">
        <f aca="false">CS305!AI9</f>
        <v>2</v>
      </c>
      <c r="R26" s="120" t="n">
        <f aca="false">CS305!AJ9</f>
        <v>3</v>
      </c>
      <c r="S26" s="120" t="n">
        <f aca="false">CS305!AK9</f>
        <v>2</v>
      </c>
      <c r="T26" s="122" t="n">
        <f aca="false">CS305!AL9</f>
        <v>2</v>
      </c>
      <c r="U26" s="119" t="n">
        <f aca="false">CS305!AM9</f>
        <v>3</v>
      </c>
      <c r="V26" s="123" t="n">
        <f aca="false">CS305!AN9</f>
        <v>2</v>
      </c>
      <c r="W26" s="124" t="n">
        <f aca="false">CS305!AO9</f>
        <v>2</v>
      </c>
      <c r="X26" s="119" t="n">
        <f aca="false">CS305!AP9</f>
        <v>2</v>
      </c>
      <c r="Y26" s="126" t="n">
        <f aca="false">IFERROR(AVERAGE(CS305!W9,CS305!X9,CS305!Y9,CS305!Z9,CS305!AA9,CS305!AB9,CS305!AC9,CS305!AD9,CS305!AE9,CS305!AF9,CS305!AG9,CS305!AH9,CS305!AI9,CS305!AJ9,CS305!AK9,CS305!AL9,CS305!AM9,CS305!AN9,CS305!AO9,CS305!AP9),0)</f>
        <v>2.25</v>
      </c>
      <c r="Z26" s="114" t="n">
        <f aca="false">CS305!AR9</f>
        <v>2</v>
      </c>
    </row>
    <row r="27" customFormat="false" ht="18" hidden="false" customHeight="true" outlineLevel="0" collapsed="false">
      <c r="A27" s="111"/>
      <c r="B27" s="111"/>
      <c r="C27" s="111"/>
      <c r="D27" s="25" t="s">
        <v>162</v>
      </c>
      <c r="E27" s="116" t="n">
        <f aca="false">CS305!W10</f>
        <v>2</v>
      </c>
      <c r="F27" s="117" t="n">
        <f aca="false">CS305!X10</f>
        <v>3</v>
      </c>
      <c r="G27" s="118" t="n">
        <f aca="false">CS305!Y10</f>
        <v>3</v>
      </c>
      <c r="H27" s="119" t="n">
        <f aca="false">CS305!Z10</f>
        <v>3</v>
      </c>
      <c r="I27" s="120" t="n">
        <f aca="false">CS305!AA10</f>
        <v>3</v>
      </c>
      <c r="J27" s="121" t="n">
        <f aca="false">CS305!AB10</f>
        <v>2</v>
      </c>
      <c r="K27" s="122" t="n">
        <f aca="false">CS305!AC10</f>
        <v>3</v>
      </c>
      <c r="L27" s="123" t="n">
        <f aca="false">CS305!AD10</f>
        <v>2</v>
      </c>
      <c r="M27" s="124" t="n">
        <f aca="false">CS305!AE10</f>
        <v>2</v>
      </c>
      <c r="N27" s="119" t="n">
        <f aca="false">CS305!AF10</f>
        <v>2</v>
      </c>
      <c r="O27" s="125" t="n">
        <f aca="false">CS305!AG10</f>
        <v>3</v>
      </c>
      <c r="P27" s="117" t="n">
        <f aca="false">CS305!AH10</f>
        <v>2</v>
      </c>
      <c r="Q27" s="118" t="n">
        <f aca="false">CS305!AI10</f>
        <v>2</v>
      </c>
      <c r="R27" s="120" t="n">
        <f aca="false">CS305!AJ10</f>
        <v>3</v>
      </c>
      <c r="S27" s="120" t="n">
        <f aca="false">CS305!AK10</f>
        <v>2</v>
      </c>
      <c r="T27" s="122" t="n">
        <f aca="false">CS305!AL10</f>
        <v>2</v>
      </c>
      <c r="U27" s="119" t="n">
        <f aca="false">CS305!AM10</f>
        <v>3</v>
      </c>
      <c r="V27" s="123" t="n">
        <f aca="false">CS305!AN10</f>
        <v>3</v>
      </c>
      <c r="W27" s="124" t="n">
        <f aca="false">CS305!AO10</f>
        <v>2</v>
      </c>
      <c r="X27" s="119" t="n">
        <f aca="false">CS305!AP10</f>
        <v>2</v>
      </c>
      <c r="Y27" s="126" t="n">
        <f aca="false">IFERROR(AVERAGE(CS305!W10,CS305!X10,CS305!Y10,CS305!Z10,CS305!AA10,CS305!AB10,CS305!AC10,CS305!AD10,CS305!AE10,CS305!AF10,CS305!AG10,CS305!AH10,CS305!AI10,CS305!AJ10,CS305!AK10,CS305!AL10,CS305!AM10,CS305!AN10,CS305!AO10,CS305!AP10),0)</f>
        <v>2.45</v>
      </c>
      <c r="Z27" s="114" t="n">
        <f aca="false">CS305!AR10</f>
        <v>2</v>
      </c>
    </row>
    <row r="28" customFormat="false" ht="18" hidden="false" customHeight="true" outlineLevel="0" collapsed="false">
      <c r="A28" s="111"/>
      <c r="B28" s="111"/>
      <c r="C28" s="111"/>
      <c r="D28" s="25" t="s">
        <v>164</v>
      </c>
      <c r="E28" s="116" t="n">
        <f aca="false">CS305!W11</f>
        <v>3</v>
      </c>
      <c r="F28" s="117" t="n">
        <f aca="false">CS305!X11</f>
        <v>3</v>
      </c>
      <c r="G28" s="118" t="n">
        <f aca="false">CS305!Y11</f>
        <v>3</v>
      </c>
      <c r="H28" s="119" t="n">
        <f aca="false">CS305!Z11</f>
        <v>3</v>
      </c>
      <c r="I28" s="120" t="n">
        <f aca="false">CS305!AA11</f>
        <v>3</v>
      </c>
      <c r="J28" s="121" t="n">
        <f aca="false">CS305!AB11</f>
        <v>3</v>
      </c>
      <c r="K28" s="122" t="n">
        <f aca="false">CS305!AC11</f>
        <v>3</v>
      </c>
      <c r="L28" s="123" t="n">
        <f aca="false">CS305!AD11</f>
        <v>2</v>
      </c>
      <c r="M28" s="124" t="n">
        <f aca="false">CS305!AE11</f>
        <v>3</v>
      </c>
      <c r="N28" s="119" t="n">
        <f aca="false">CS305!AF11</f>
        <v>3</v>
      </c>
      <c r="O28" s="125" t="n">
        <f aca="false">CS305!AG11</f>
        <v>3</v>
      </c>
      <c r="P28" s="117" t="n">
        <f aca="false">CS305!AH11</f>
        <v>3</v>
      </c>
      <c r="Q28" s="118" t="n">
        <f aca="false">CS305!AI11</f>
        <v>3</v>
      </c>
      <c r="R28" s="120" t="n">
        <f aca="false">CS305!AJ11</f>
        <v>3</v>
      </c>
      <c r="S28" s="120" t="n">
        <f aca="false">CS305!AK11</f>
        <v>3</v>
      </c>
      <c r="T28" s="122" t="n">
        <f aca="false">CS305!AL11</f>
        <v>3</v>
      </c>
      <c r="U28" s="119" t="n">
        <f aca="false">CS305!AM11</f>
        <v>3</v>
      </c>
      <c r="V28" s="123" t="n">
        <f aca="false">CS305!AN11</f>
        <v>3</v>
      </c>
      <c r="W28" s="124" t="n">
        <f aca="false">CS305!AO11</f>
        <v>3</v>
      </c>
      <c r="X28" s="119" t="n">
        <f aca="false">CS305!AP11</f>
        <v>3</v>
      </c>
      <c r="Y28" s="126" t="n">
        <f aca="false">IFERROR(AVERAGE(CS305!W11,CS305!X11,CS305!Y11,CS305!Z11,CS305!AA11,CS305!AB11,CS305!AC11,CS305!AD11,CS305!AE11,CS305!AF11,CS305!AG11,CS305!AH11,CS305!AI11,CS305!AJ11,CS305!AK11,CS305!AL11,CS305!AM11,CS305!AN11,CS305!AO11,CS305!AP11),0)</f>
        <v>2.95</v>
      </c>
      <c r="Z28" s="114" t="n">
        <f aca="false">CS305!AR11</f>
        <v>3</v>
      </c>
    </row>
    <row r="29" customFormat="false" ht="18" hidden="false" customHeight="true" outlineLevel="0" collapsed="false">
      <c r="A29" s="111"/>
      <c r="B29" s="111"/>
      <c r="C29" s="111"/>
      <c r="D29" s="25" t="s">
        <v>166</v>
      </c>
      <c r="E29" s="116" t="n">
        <f aca="false">CS305!W12</f>
        <v>2</v>
      </c>
      <c r="F29" s="117" t="n">
        <f aca="false">CS305!X12</f>
        <v>2</v>
      </c>
      <c r="G29" s="118" t="n">
        <f aca="false">CS305!Y12</f>
        <v>3</v>
      </c>
      <c r="H29" s="119" t="n">
        <f aca="false">CS305!Z12</f>
        <v>3</v>
      </c>
      <c r="I29" s="120" t="n">
        <f aca="false">CS305!AA12</f>
        <v>3</v>
      </c>
      <c r="J29" s="121" t="n">
        <f aca="false">CS305!AB12</f>
        <v>2</v>
      </c>
      <c r="K29" s="122" t="n">
        <f aca="false">CS305!AC12</f>
        <v>3</v>
      </c>
      <c r="L29" s="123" t="n">
        <f aca="false">CS305!AD12</f>
        <v>2</v>
      </c>
      <c r="M29" s="124" t="n">
        <f aca="false">CS305!AE12</f>
        <v>2</v>
      </c>
      <c r="N29" s="119" t="n">
        <f aca="false">CS305!AF12</f>
        <v>2</v>
      </c>
      <c r="O29" s="125" t="n">
        <f aca="false">CS305!AG12</f>
        <v>3</v>
      </c>
      <c r="P29" s="117" t="n">
        <f aca="false">CS305!AH12</f>
        <v>2</v>
      </c>
      <c r="Q29" s="118" t="n">
        <f aca="false">CS305!AI12</f>
        <v>2</v>
      </c>
      <c r="R29" s="120" t="n">
        <f aca="false">CS305!AJ12</f>
        <v>3</v>
      </c>
      <c r="S29" s="120" t="n">
        <f aca="false">CS305!AK12</f>
        <v>2</v>
      </c>
      <c r="T29" s="122" t="n">
        <f aca="false">CS305!AL12</f>
        <v>2</v>
      </c>
      <c r="U29" s="119" t="n">
        <f aca="false">CS305!AM12</f>
        <v>3</v>
      </c>
      <c r="V29" s="123" t="n">
        <f aca="false">CS305!AN12</f>
        <v>2</v>
      </c>
      <c r="W29" s="124" t="n">
        <f aca="false">CS305!AO12</f>
        <v>2</v>
      </c>
      <c r="X29" s="119" t="n">
        <f aca="false">CS305!AP12</f>
        <v>2</v>
      </c>
      <c r="Y29" s="126" t="n">
        <f aca="false">IFERROR(AVERAGE(CS305!W12,CS305!X12,CS305!Y12,CS305!Z12,CS305!AA12,CS305!AB12,CS305!AC12,CS305!AD12,CS305!AE12,CS305!AF12,CS305!AG12,CS305!AH12,CS305!AI12,CS305!AJ12,CS305!AK12,CS305!AL12,CS305!AM12,CS305!AN12,CS305!AO12,CS305!AP12),0)</f>
        <v>2.35</v>
      </c>
      <c r="Z29" s="114" t="n">
        <f aca="false">CS305!AR12</f>
        <v>2</v>
      </c>
    </row>
    <row r="30" customFormat="false" ht="18" hidden="false" customHeight="true" outlineLevel="0" collapsed="false">
      <c r="A30" s="111"/>
      <c r="B30" s="111"/>
      <c r="C30" s="111"/>
      <c r="D30" s="25" t="s">
        <v>168</v>
      </c>
      <c r="E30" s="116" t="n">
        <f aca="false">CS305!W13</f>
        <v>3</v>
      </c>
      <c r="F30" s="117" t="n">
        <f aca="false">CS305!X13</f>
        <v>3</v>
      </c>
      <c r="G30" s="118" t="n">
        <f aca="false">CS305!Y13</f>
        <v>3</v>
      </c>
      <c r="H30" s="119" t="n">
        <f aca="false">CS305!Z13</f>
        <v>3</v>
      </c>
      <c r="I30" s="120" t="n">
        <f aca="false">CS305!AA13</f>
        <v>3</v>
      </c>
      <c r="J30" s="121" t="n">
        <f aca="false">CS305!AB13</f>
        <v>2</v>
      </c>
      <c r="K30" s="122" t="n">
        <f aca="false">CS305!AC13</f>
        <v>3</v>
      </c>
      <c r="L30" s="123" t="n">
        <f aca="false">CS305!AD13</f>
        <v>2</v>
      </c>
      <c r="M30" s="124" t="n">
        <f aca="false">CS305!AE13</f>
        <v>2</v>
      </c>
      <c r="N30" s="119" t="n">
        <f aca="false">CS305!AF13</f>
        <v>2</v>
      </c>
      <c r="O30" s="125" t="n">
        <f aca="false">CS305!AG13</f>
        <v>3</v>
      </c>
      <c r="P30" s="117" t="n">
        <f aca="false">CS305!AH13</f>
        <v>2</v>
      </c>
      <c r="Q30" s="118" t="n">
        <f aca="false">CS305!AI13</f>
        <v>2</v>
      </c>
      <c r="R30" s="120" t="n">
        <f aca="false">CS305!AJ13</f>
        <v>3</v>
      </c>
      <c r="S30" s="120" t="n">
        <f aca="false">CS305!AK13</f>
        <v>2</v>
      </c>
      <c r="T30" s="122" t="n">
        <f aca="false">CS305!AL13</f>
        <v>2</v>
      </c>
      <c r="U30" s="119" t="n">
        <f aca="false">CS305!AM13</f>
        <v>3</v>
      </c>
      <c r="V30" s="123" t="n">
        <f aca="false">CS305!AN13</f>
        <v>3</v>
      </c>
      <c r="W30" s="124" t="n">
        <f aca="false">CS305!AO13</f>
        <v>2</v>
      </c>
      <c r="X30" s="119" t="n">
        <f aca="false">CS305!AP13</f>
        <v>3</v>
      </c>
      <c r="Y30" s="126" t="n">
        <f aca="false">IFERROR(AVERAGE(CS305!W13,CS305!X13,CS305!Y13,CS305!Z13,CS305!AA13,CS305!AB13,CS305!AC13,CS305!AD13,CS305!AE13,CS305!AF13,CS305!AG13,CS305!AH13,CS305!AI13,CS305!AJ13,CS305!AK13,CS305!AL13,CS305!AM13,CS305!AN13,CS305!AO13,CS305!AP13),0)</f>
        <v>2.55</v>
      </c>
      <c r="Z30" s="114" t="n">
        <f aca="false">CS305!AR13</f>
        <v>3</v>
      </c>
    </row>
    <row r="31" customFormat="false" ht="18" hidden="false" customHeight="true" outlineLevel="0" collapsed="false">
      <c r="A31" s="111"/>
      <c r="B31" s="111"/>
      <c r="C31" s="111"/>
      <c r="D31" s="25" t="s">
        <v>198</v>
      </c>
      <c r="E31" s="116" t="n">
        <f aca="false">CS305!W14</f>
        <v>3</v>
      </c>
      <c r="F31" s="117" t="n">
        <f aca="false">CS305!X14</f>
        <v>3</v>
      </c>
      <c r="G31" s="118" t="n">
        <f aca="false">CS305!Y14</f>
        <v>3</v>
      </c>
      <c r="H31" s="119" t="n">
        <f aca="false">CS305!Z14</f>
        <v>3</v>
      </c>
      <c r="I31" s="120" t="n">
        <f aca="false">CS305!AA14</f>
        <v>3</v>
      </c>
      <c r="J31" s="121" t="n">
        <f aca="false">CS305!AB14</f>
        <v>3</v>
      </c>
      <c r="K31" s="122" t="n">
        <f aca="false">CS305!AC14</f>
        <v>3</v>
      </c>
      <c r="L31" s="123" t="n">
        <f aca="false">CS305!AD14</f>
        <v>3</v>
      </c>
      <c r="M31" s="124" t="n">
        <f aca="false">CS305!AE14</f>
        <v>3</v>
      </c>
      <c r="N31" s="119" t="n">
        <f aca="false">CS305!AF14</f>
        <v>3</v>
      </c>
      <c r="O31" s="125" t="n">
        <f aca="false">CS305!AG14</f>
        <v>3</v>
      </c>
      <c r="P31" s="117" t="n">
        <f aca="false">CS305!AH14</f>
        <v>3</v>
      </c>
      <c r="Q31" s="118" t="n">
        <f aca="false">CS305!AI14</f>
        <v>3</v>
      </c>
      <c r="R31" s="120" t="n">
        <f aca="false">CS305!AJ14</f>
        <v>3</v>
      </c>
      <c r="S31" s="120" t="n">
        <f aca="false">CS305!AK14</f>
        <v>3</v>
      </c>
      <c r="T31" s="122" t="n">
        <f aca="false">CS305!AL14</f>
        <v>3</v>
      </c>
      <c r="U31" s="119" t="n">
        <f aca="false">CS305!AM14</f>
        <v>3</v>
      </c>
      <c r="V31" s="123" t="n">
        <f aca="false">CS305!AN14</f>
        <v>3</v>
      </c>
      <c r="W31" s="124" t="n">
        <f aca="false">CS305!AO14</f>
        <v>3</v>
      </c>
      <c r="X31" s="119" t="n">
        <f aca="false">CS305!AP14</f>
        <v>3</v>
      </c>
      <c r="Y31" s="126" t="n">
        <f aca="false">IFERROR(AVERAGE(CS305!W14,CS305!X14,CS305!Y14,CS305!Z14,CS305!AA14,CS305!AB14,CS305!AC14,CS305!AD14,CS305!AE14,CS305!AF14,CS305!AG14,CS305!AH14,CS305!AI14,CS305!AJ14,CS305!AK14,CS305!AL14,CS305!AM14,CS305!AN14,CS305!AO14,CS305!AP14),0)</f>
        <v>3</v>
      </c>
      <c r="Z31" s="114" t="n">
        <f aca="false">CS305!AR14</f>
        <v>3</v>
      </c>
    </row>
    <row r="33" customFormat="false" ht="21.75" hidden="false" customHeight="true" outlineLevel="0" collapsed="false">
      <c r="A33" s="104" t="s">
        <v>199</v>
      </c>
      <c r="B33" s="104"/>
      <c r="C33" s="104"/>
      <c r="D33" s="104"/>
      <c r="E33" s="105" t="n">
        <f aca="false">IFERROR(AVERAGE(E6:E31),0)</f>
        <v>2.26923076923077</v>
      </c>
      <c r="F33" s="105" t="n">
        <f aca="false">IFERROR(AVERAGE(F6:F31),0)</f>
        <v>2.38461538461538</v>
      </c>
      <c r="G33" s="105" t="n">
        <f aca="false">IFERROR(AVERAGE(G6:G31),0)</f>
        <v>2.65384615384615</v>
      </c>
      <c r="H33" s="105" t="n">
        <f aca="false">IFERROR(AVERAGE(H6:H31),0)</f>
        <v>2.30769230769231</v>
      </c>
      <c r="I33" s="105" t="n">
        <f aca="false">IFERROR(AVERAGE(I6:I31),0)</f>
        <v>2.46153846153846</v>
      </c>
      <c r="J33" s="105" t="n">
        <f aca="false">IFERROR(AVERAGE(J6:J31),0)</f>
        <v>1.69230769230769</v>
      </c>
      <c r="K33" s="105" t="n">
        <f aca="false">IFERROR(AVERAGE(K6:K31),0)</f>
        <v>2.26923076923077</v>
      </c>
      <c r="L33" s="105" t="n">
        <f aca="false">IFERROR(AVERAGE(L6:L31),0)</f>
        <v>1.57692307692308</v>
      </c>
      <c r="M33" s="105" t="n">
        <f aca="false">IFERROR(AVERAGE(M6:M31),0)</f>
        <v>1.57692307692308</v>
      </c>
      <c r="N33" s="105" t="n">
        <f aca="false">IFERROR(AVERAGE(N6:N31),0)</f>
        <v>1.84615384615385</v>
      </c>
      <c r="O33" s="105" t="n">
        <f aca="false">IFERROR(AVERAGE(O6:O31),0)</f>
        <v>2.07692307692308</v>
      </c>
      <c r="P33" s="105" t="n">
        <f aca="false">IFERROR(AVERAGE(P6:P31),0)</f>
        <v>1.61538461538462</v>
      </c>
      <c r="Q33" s="105" t="n">
        <f aca="false">IFERROR(AVERAGE(Q6:Q31),0)</f>
        <v>1.65384615384615</v>
      </c>
      <c r="R33" s="105" t="n">
        <f aca="false">IFERROR(AVERAGE(R6:R31),0)</f>
        <v>2.30769230769231</v>
      </c>
      <c r="S33" s="105" t="n">
        <f aca="false">IFERROR(AVERAGE(S6:S31),0)</f>
        <v>1.65384615384615</v>
      </c>
      <c r="T33" s="105" t="n">
        <f aca="false">IFERROR(AVERAGE(T6:T31),0)</f>
        <v>1.88461538461538</v>
      </c>
      <c r="U33" s="105" t="n">
        <f aca="false">IFERROR(AVERAGE(U6:U31),0)</f>
        <v>2.69230769230769</v>
      </c>
      <c r="V33" s="105" t="n">
        <f aca="false">IFERROR(AVERAGE(V6:V31),0)</f>
        <v>2.23076923076923</v>
      </c>
      <c r="W33" s="105" t="n">
        <f aca="false">IFERROR(AVERAGE(W6:W31),0)</f>
        <v>1.61538461538462</v>
      </c>
      <c r="X33" s="105" t="n">
        <f aca="false">IFERROR(AVERAGE(X6:X31),0)</f>
        <v>2.19230769230769</v>
      </c>
      <c r="Y33" s="105" t="n">
        <f aca="false">IFERROR(AVERAGE(Y6:Y31),0)</f>
        <v>2.04807692307692</v>
      </c>
      <c r="Z33" s="105" t="n">
        <f aca="false">IFERROR(AVERAGE(Z6:Z31),0)</f>
        <v>2.15384615384615</v>
      </c>
    </row>
  </sheetData>
  <mergeCells count="24">
    <mergeCell ref="A1:Z1"/>
    <mergeCell ref="A2:Z2"/>
    <mergeCell ref="A4:A5"/>
    <mergeCell ref="B4:B5"/>
    <mergeCell ref="C4:C5"/>
    <mergeCell ref="D4:D5"/>
    <mergeCell ref="E4:X4"/>
    <mergeCell ref="Y4:Z4"/>
    <mergeCell ref="A6:A10"/>
    <mergeCell ref="B6:B10"/>
    <mergeCell ref="C6:C10"/>
    <mergeCell ref="A11:A15"/>
    <mergeCell ref="B11:B15"/>
    <mergeCell ref="C11:C15"/>
    <mergeCell ref="A16:A20"/>
    <mergeCell ref="B16:B20"/>
    <mergeCell ref="C16:C20"/>
    <mergeCell ref="A21:A25"/>
    <mergeCell ref="B21:B25"/>
    <mergeCell ref="C21:C25"/>
    <mergeCell ref="A26:A31"/>
    <mergeCell ref="B26:B31"/>
    <mergeCell ref="C26:C31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22" min="3" style="1" width="8"/>
    <col collapsed="false" customWidth="true" hidden="false" outlineLevel="0" max="42" min="23" style="1" width="7"/>
    <col collapsed="false" customWidth="true" hidden="false" outlineLevel="0" max="43" min="43" style="1" width="10"/>
    <col collapsed="false" customWidth="true" hidden="false" outlineLevel="0" max="45" min="44" style="1" width="9"/>
    <col collapsed="false" customWidth="true" hidden="false" outlineLevel="0" max="60" min="46" style="1" width="8"/>
  </cols>
  <sheetData>
    <row r="1" customFormat="false" ht="36" hidden="false" customHeight="true" outlineLevel="0" collapsed="false">
      <c r="A1" s="58" t="s">
        <v>212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</row>
    <row r="2" customFormat="false" ht="13.5" hidden="false" customHeight="true" outlineLevel="0" collapsed="false">
      <c r="A2" s="59" t="s">
        <v>127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</row>
    <row r="3" customFormat="false" ht="4.5" hidden="false" customHeight="true" outlineLevel="0" collapsed="false"/>
    <row r="4" customFormat="false" ht="15.75" hidden="false" customHeight="true" outlineLevel="0" collapsed="false">
      <c r="A4" s="6" t="s">
        <v>128</v>
      </c>
      <c r="B4" s="6"/>
      <c r="C4" s="60" t="s">
        <v>129</v>
      </c>
      <c r="D4" s="61" t="s">
        <v>130</v>
      </c>
      <c r="E4" s="62" t="s">
        <v>131</v>
      </c>
      <c r="F4" s="63" t="s">
        <v>132</v>
      </c>
    </row>
    <row r="5" customFormat="false" ht="21.75" hidden="false" customHeight="true" outlineLevel="0" collapsed="false">
      <c r="A5" s="5" t="s">
        <v>133</v>
      </c>
      <c r="B5" s="5" t="s">
        <v>134</v>
      </c>
      <c r="C5" s="64" t="s">
        <v>135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5" t="s">
        <v>136</v>
      </c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6" t="s">
        <v>137</v>
      </c>
      <c r="AR5" s="66" t="s">
        <v>138</v>
      </c>
      <c r="AS5" s="67" t="s">
        <v>139</v>
      </c>
      <c r="AT5" s="65" t="s">
        <v>140</v>
      </c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8" t="s">
        <v>141</v>
      </c>
      <c r="BG5" s="68"/>
      <c r="BH5" s="68"/>
    </row>
    <row r="6" customFormat="false" ht="27.75" hidden="false" customHeight="true" outlineLevel="0" collapsed="false">
      <c r="A6" s="24"/>
      <c r="B6" s="69" t="s">
        <v>142</v>
      </c>
      <c r="C6" s="70" t="s">
        <v>35</v>
      </c>
      <c r="D6" s="71" t="s">
        <v>40</v>
      </c>
      <c r="E6" s="72" t="s">
        <v>45</v>
      </c>
      <c r="F6" s="73" t="s">
        <v>50</v>
      </c>
      <c r="G6" s="74" t="s">
        <v>53</v>
      </c>
      <c r="H6" s="75" t="s">
        <v>56</v>
      </c>
      <c r="I6" s="76" t="s">
        <v>59</v>
      </c>
      <c r="J6" s="77" t="s">
        <v>62</v>
      </c>
      <c r="K6" s="78" t="s">
        <v>65</v>
      </c>
      <c r="L6" s="79" t="s">
        <v>68</v>
      </c>
      <c r="M6" s="70" t="s">
        <v>71</v>
      </c>
      <c r="N6" s="71" t="s">
        <v>74</v>
      </c>
      <c r="O6" s="72" t="s">
        <v>77</v>
      </c>
      <c r="P6" s="74" t="s">
        <v>80</v>
      </c>
      <c r="Q6" s="75" t="s">
        <v>83</v>
      </c>
      <c r="R6" s="76" t="s">
        <v>86</v>
      </c>
      <c r="S6" s="73" t="s">
        <v>89</v>
      </c>
      <c r="T6" s="77" t="s">
        <v>93</v>
      </c>
      <c r="U6" s="78" t="s">
        <v>96</v>
      </c>
      <c r="V6" s="79" t="s">
        <v>99</v>
      </c>
      <c r="W6" s="70" t="s">
        <v>35</v>
      </c>
      <c r="X6" s="71" t="s">
        <v>40</v>
      </c>
      <c r="Y6" s="72" t="s">
        <v>45</v>
      </c>
      <c r="Z6" s="73" t="s">
        <v>50</v>
      </c>
      <c r="AA6" s="74" t="s">
        <v>53</v>
      </c>
      <c r="AB6" s="75" t="s">
        <v>56</v>
      </c>
      <c r="AC6" s="76" t="s">
        <v>59</v>
      </c>
      <c r="AD6" s="77" t="s">
        <v>62</v>
      </c>
      <c r="AE6" s="78" t="s">
        <v>65</v>
      </c>
      <c r="AF6" s="79" t="s">
        <v>68</v>
      </c>
      <c r="AG6" s="70" t="s">
        <v>71</v>
      </c>
      <c r="AH6" s="71" t="s">
        <v>74</v>
      </c>
      <c r="AI6" s="72" t="s">
        <v>77</v>
      </c>
      <c r="AJ6" s="74" t="s">
        <v>80</v>
      </c>
      <c r="AK6" s="75" t="s">
        <v>83</v>
      </c>
      <c r="AL6" s="76" t="s">
        <v>86</v>
      </c>
      <c r="AM6" s="73" t="s">
        <v>89</v>
      </c>
      <c r="AN6" s="77" t="s">
        <v>93</v>
      </c>
      <c r="AO6" s="78" t="s">
        <v>96</v>
      </c>
      <c r="AP6" s="79" t="s">
        <v>99</v>
      </c>
      <c r="AQ6" s="80" t="s">
        <v>143</v>
      </c>
      <c r="AR6" s="80" t="s">
        <v>144</v>
      </c>
      <c r="AS6" s="81" t="s">
        <v>145</v>
      </c>
      <c r="AT6" s="25" t="s">
        <v>146</v>
      </c>
      <c r="AU6" s="25" t="s">
        <v>147</v>
      </c>
      <c r="AV6" s="25" t="s">
        <v>148</v>
      </c>
      <c r="AW6" s="25" t="s">
        <v>149</v>
      </c>
      <c r="AX6" s="25" t="s">
        <v>82</v>
      </c>
      <c r="AY6" s="25" t="s">
        <v>150</v>
      </c>
      <c r="AZ6" s="25" t="s">
        <v>151</v>
      </c>
      <c r="BA6" s="25" t="s">
        <v>152</v>
      </c>
      <c r="BB6" s="25" t="s">
        <v>76</v>
      </c>
      <c r="BC6" s="25" t="s">
        <v>79</v>
      </c>
      <c r="BD6" s="25" t="s">
        <v>153</v>
      </c>
      <c r="BE6" s="25" t="s">
        <v>154</v>
      </c>
      <c r="BF6" s="33" t="s">
        <v>155</v>
      </c>
      <c r="BG6" s="33" t="s">
        <v>156</v>
      </c>
      <c r="BH6" s="33" t="s">
        <v>157</v>
      </c>
    </row>
    <row r="7" customFormat="false" ht="15.75" hidden="false" customHeight="true" outlineLevel="0" collapsed="false">
      <c r="A7" s="82" t="s">
        <v>158</v>
      </c>
      <c r="B7" s="82"/>
      <c r="C7" s="83" t="n">
        <v>0.05</v>
      </c>
      <c r="D7" s="83" t="n">
        <v>0.05</v>
      </c>
      <c r="E7" s="83" t="n">
        <v>0.05</v>
      </c>
      <c r="F7" s="83" t="n">
        <v>0.05</v>
      </c>
      <c r="G7" s="83" t="n">
        <v>0.05</v>
      </c>
      <c r="H7" s="83" t="n">
        <v>0.05</v>
      </c>
      <c r="I7" s="83" t="n">
        <v>0.05</v>
      </c>
      <c r="J7" s="83" t="n">
        <v>0.05</v>
      </c>
      <c r="K7" s="83" t="n">
        <v>0.05</v>
      </c>
      <c r="L7" s="83" t="n">
        <v>0.05</v>
      </c>
      <c r="M7" s="83" t="n">
        <v>0.05</v>
      </c>
      <c r="N7" s="83" t="n">
        <v>0.05</v>
      </c>
      <c r="O7" s="83" t="n">
        <v>0.05</v>
      </c>
      <c r="P7" s="83" t="n">
        <v>0.05</v>
      </c>
      <c r="Q7" s="83" t="n">
        <v>0.05</v>
      </c>
      <c r="R7" s="83" t="n">
        <v>0.05</v>
      </c>
      <c r="S7" s="83" t="n">
        <v>0.05</v>
      </c>
      <c r="T7" s="83" t="n">
        <v>0.05</v>
      </c>
      <c r="U7" s="83" t="n">
        <v>0.05</v>
      </c>
      <c r="V7" s="83" t="n">
        <v>0.05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83" t="n">
        <f aca="false">SUM(C7:V7)</f>
        <v>1</v>
      </c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customFormat="false" ht="12.75" hidden="false" customHeight="true" outlineLevel="0" collapsed="false">
      <c r="A8" s="84" t="s">
        <v>159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</row>
    <row r="9" customFormat="false" ht="21.75" hidden="false" customHeight="true" outlineLevel="0" collapsed="false">
      <c r="A9" s="85" t="s">
        <v>160</v>
      </c>
      <c r="B9" s="50" t="s">
        <v>213</v>
      </c>
      <c r="C9" s="86" t="n">
        <v>4</v>
      </c>
      <c r="D9" s="86" t="n">
        <v>38</v>
      </c>
      <c r="E9" s="86" t="n">
        <v>3</v>
      </c>
      <c r="F9" s="86" t="n">
        <v>2</v>
      </c>
      <c r="G9" s="86" t="n">
        <v>2</v>
      </c>
      <c r="H9" s="86" t="n">
        <v>1</v>
      </c>
      <c r="I9" s="86" t="n">
        <v>2</v>
      </c>
      <c r="J9" s="86" t="n">
        <v>1</v>
      </c>
      <c r="K9" s="86" t="n">
        <v>1</v>
      </c>
      <c r="L9" s="86" t="n">
        <v>2</v>
      </c>
      <c r="M9" s="86" t="n">
        <v>2</v>
      </c>
      <c r="N9" s="86" t="n">
        <v>1</v>
      </c>
      <c r="O9" s="86" t="n">
        <v>1</v>
      </c>
      <c r="P9" s="86" t="n">
        <v>2</v>
      </c>
      <c r="Q9" s="86" t="n">
        <v>1</v>
      </c>
      <c r="R9" s="86" t="n">
        <v>42</v>
      </c>
      <c r="S9" s="86" t="n">
        <v>70</v>
      </c>
      <c r="T9" s="86" t="n">
        <v>2</v>
      </c>
      <c r="U9" s="86" t="n">
        <v>1</v>
      </c>
      <c r="V9" s="86" t="n">
        <v>55</v>
      </c>
      <c r="W9" s="87" t="n">
        <f aca="false">IF(C9&gt;=5,3,IF(C9&gt;=3,2,IF(C9&gt;=1,1,0)))</f>
        <v>2</v>
      </c>
      <c r="X9" s="88" t="n">
        <f aca="false">IF(D9&gt;40,3,IF(D9&gt;15,2,IF(D9&gt;5,1,0)))</f>
        <v>2</v>
      </c>
      <c r="Y9" s="89" t="n">
        <f aca="false">IF(E9&gt;=3,3,IF(E9&gt;=2,2,IF(E9&gt;=1,1,0)))</f>
        <v>3</v>
      </c>
      <c r="Z9" s="90" t="n">
        <f aca="false">IF(F9&gt;=3,3,IF(F9&gt;=2,2,IF(F9&gt;=1,1,0)))</f>
        <v>2</v>
      </c>
      <c r="AA9" s="91" t="n">
        <f aca="false">IF(G9&gt;=3,3,IF(G9&gt;=2,2,IF(G9&gt;=1,1,0)))</f>
        <v>2</v>
      </c>
      <c r="AB9" s="92" t="n">
        <f aca="false">IF(H9&gt;=3,3,IF(H9&gt;=2,2,IF(H9&gt;=1,1,0)))</f>
        <v>1</v>
      </c>
      <c r="AC9" s="93" t="n">
        <f aca="false">IF(I9&gt;=3,3,IF(I9&gt;=2,2,IF(I9&gt;=1,1,0)))</f>
        <v>2</v>
      </c>
      <c r="AD9" s="94" t="n">
        <f aca="false">IF(J9&gt;=3,3,IF(J9&gt;=2,2,IF(J9&gt;=1,1,0)))</f>
        <v>1</v>
      </c>
      <c r="AE9" s="95" t="n">
        <f aca="false">IF(K9&gt;=3,3,IF(K9&gt;=2,2,IF(K9&gt;=1,1,0)))</f>
        <v>1</v>
      </c>
      <c r="AF9" s="90" t="n">
        <f aca="false">IF(L9&gt;=3,3,IF(L9&gt;=2,2,IF(L9&gt;=1,1,0)))</f>
        <v>2</v>
      </c>
      <c r="AG9" s="96" t="n">
        <f aca="false">IF(M9&gt;=3,3,IF(M9&gt;=2,2,IF(M9&gt;=1,1,0)))</f>
        <v>2</v>
      </c>
      <c r="AH9" s="88" t="n">
        <f aca="false">IF(N9&gt;=3,3,IF(N9&gt;=2,2,IF(N9&gt;=1,1,0)))</f>
        <v>1</v>
      </c>
      <c r="AI9" s="89" t="n">
        <f aca="false">IF(O9&gt;=3,3,IF(O9&gt;=2,2,IF(O9&gt;=1,1,0)))</f>
        <v>1</v>
      </c>
      <c r="AJ9" s="91" t="n">
        <f aca="false">IF(P9&gt;=3,3,IF(P9&gt;=2,2,IF(P9&gt;=1,1,0)))</f>
        <v>2</v>
      </c>
      <c r="AK9" s="91" t="n">
        <f aca="false">IF(Q9&gt;=3,3,IF(Q9&gt;=2,2,IF(Q9&gt;=1,1,0)))</f>
        <v>1</v>
      </c>
      <c r="AL9" s="93" t="n">
        <f aca="false">IF(R9&gt;60,3,IF(R9&gt;40,2,IF(R9&gt;25,1,0)))</f>
        <v>2</v>
      </c>
      <c r="AM9" s="90" t="n">
        <f aca="false">IF(S9&gt;70,3,IF(S9&gt;50,2,IF(S9&gt;40,1,0)))</f>
        <v>2</v>
      </c>
      <c r="AN9" s="94" t="n">
        <f aca="false">IF(T9&gt;=3,3,IF(T9&gt;=2,2,IF(T9&gt;=1,1,0)))</f>
        <v>2</v>
      </c>
      <c r="AO9" s="95" t="n">
        <f aca="false">IF(U9&gt;=3,3,IF(U9&gt;=2,2,IF(U9&gt;=1,1,0)))</f>
        <v>1</v>
      </c>
      <c r="AP9" s="90" t="n">
        <f aca="false">IF(V9&gt;70,3,IF(V9&gt;40,2,IF(V9&gt;0,1,0)))</f>
        <v>2</v>
      </c>
      <c r="AQ9" s="97" t="n">
        <f aca="false">IFERROR(SUMPRODUCT(C7:V7,W9:AP9)/SUM(C7:V7),0)</f>
        <v>1.7</v>
      </c>
      <c r="AR9" s="98" t="n">
        <f aca="false">IF(AQ9&gt;=2.5,3,IF(AQ9&gt;=1.5,2,IF(AQ9&gt;=0.5,1,0)))</f>
        <v>2</v>
      </c>
      <c r="AS9" s="99" t="str">
        <f aca="false">IF(AR9=0,"—",TEXT(AR9,"0"))</f>
        <v>2</v>
      </c>
      <c r="AT9" s="100" t="str">
        <f aca="false">IF(AR9=0,"—",TEXT(AR9,"0"))</f>
        <v>2</v>
      </c>
      <c r="AU9" s="100" t="str">
        <f aca="false">IF(AR9=0,"—",TEXT(AR9,"0"))</f>
        <v>2</v>
      </c>
      <c r="AV9" s="101" t="s">
        <v>9</v>
      </c>
      <c r="AW9" s="101" t="s">
        <v>9</v>
      </c>
      <c r="AX9" s="101" t="s">
        <v>9</v>
      </c>
      <c r="AY9" s="101" t="s">
        <v>9</v>
      </c>
      <c r="AZ9" s="101" t="s">
        <v>9</v>
      </c>
      <c r="BA9" s="101" t="s">
        <v>9</v>
      </c>
      <c r="BB9" s="101" t="s">
        <v>9</v>
      </c>
      <c r="BC9" s="101" t="s">
        <v>9</v>
      </c>
      <c r="BD9" s="101" t="s">
        <v>9</v>
      </c>
      <c r="BE9" s="100" t="str">
        <f aca="false">IF(AR9=0,"—",TEXT(AR9,"0"))</f>
        <v>2</v>
      </c>
      <c r="BF9" s="101" t="s">
        <v>9</v>
      </c>
      <c r="BG9" s="101" t="s">
        <v>9</v>
      </c>
      <c r="BH9" s="101" t="s">
        <v>9</v>
      </c>
    </row>
    <row r="10" customFormat="false" ht="21.75" hidden="false" customHeight="true" outlineLevel="0" collapsed="false">
      <c r="A10" s="85" t="s">
        <v>162</v>
      </c>
      <c r="B10" s="53" t="s">
        <v>214</v>
      </c>
      <c r="C10" s="86" t="n">
        <v>5</v>
      </c>
      <c r="D10" s="86" t="n">
        <v>45</v>
      </c>
      <c r="E10" s="86" t="n">
        <v>3</v>
      </c>
      <c r="F10" s="86" t="n">
        <v>3</v>
      </c>
      <c r="G10" s="86" t="n">
        <v>2</v>
      </c>
      <c r="H10" s="86" t="n">
        <v>2</v>
      </c>
      <c r="I10" s="86" t="n">
        <v>2</v>
      </c>
      <c r="J10" s="86" t="n">
        <v>2</v>
      </c>
      <c r="K10" s="86" t="n">
        <v>2</v>
      </c>
      <c r="L10" s="86" t="n">
        <v>2</v>
      </c>
      <c r="M10" s="86" t="n">
        <v>3</v>
      </c>
      <c r="N10" s="86" t="n">
        <v>2</v>
      </c>
      <c r="O10" s="86" t="n">
        <v>2</v>
      </c>
      <c r="P10" s="86" t="n">
        <v>2</v>
      </c>
      <c r="Q10" s="86" t="n">
        <v>2</v>
      </c>
      <c r="R10" s="86" t="n">
        <v>52</v>
      </c>
      <c r="S10" s="86" t="n">
        <v>76</v>
      </c>
      <c r="T10" s="86" t="n">
        <v>3</v>
      </c>
      <c r="U10" s="86" t="n">
        <v>2</v>
      </c>
      <c r="V10" s="86" t="n">
        <v>68</v>
      </c>
      <c r="W10" s="87" t="n">
        <f aca="false">IF(C10&gt;=5,3,IF(C10&gt;=3,2,IF(C10&gt;=1,1,0)))</f>
        <v>3</v>
      </c>
      <c r="X10" s="88" t="n">
        <f aca="false">IF(D10&gt;40,3,IF(D10&gt;15,2,IF(D10&gt;5,1,0)))</f>
        <v>3</v>
      </c>
      <c r="Y10" s="89" t="n">
        <f aca="false">IF(E10&gt;=3,3,IF(E10&gt;=2,2,IF(E10&gt;=1,1,0)))</f>
        <v>3</v>
      </c>
      <c r="Z10" s="90" t="n">
        <f aca="false">IF(F10&gt;=3,3,IF(F10&gt;=2,2,IF(F10&gt;=1,1,0)))</f>
        <v>3</v>
      </c>
      <c r="AA10" s="91" t="n">
        <f aca="false">IF(G10&gt;=3,3,IF(G10&gt;=2,2,IF(G10&gt;=1,1,0)))</f>
        <v>2</v>
      </c>
      <c r="AB10" s="92" t="n">
        <f aca="false">IF(H10&gt;=3,3,IF(H10&gt;=2,2,IF(H10&gt;=1,1,0)))</f>
        <v>2</v>
      </c>
      <c r="AC10" s="93" t="n">
        <f aca="false">IF(I10&gt;=3,3,IF(I10&gt;=2,2,IF(I10&gt;=1,1,0)))</f>
        <v>2</v>
      </c>
      <c r="AD10" s="94" t="n">
        <f aca="false">IF(J10&gt;=3,3,IF(J10&gt;=2,2,IF(J10&gt;=1,1,0)))</f>
        <v>2</v>
      </c>
      <c r="AE10" s="95" t="n">
        <f aca="false">IF(K10&gt;=3,3,IF(K10&gt;=2,2,IF(K10&gt;=1,1,0)))</f>
        <v>2</v>
      </c>
      <c r="AF10" s="90" t="n">
        <f aca="false">IF(L10&gt;=3,3,IF(L10&gt;=2,2,IF(L10&gt;=1,1,0)))</f>
        <v>2</v>
      </c>
      <c r="AG10" s="96" t="n">
        <f aca="false">IF(M10&gt;=3,3,IF(M10&gt;=2,2,IF(M10&gt;=1,1,0)))</f>
        <v>3</v>
      </c>
      <c r="AH10" s="88" t="n">
        <f aca="false">IF(N10&gt;=3,3,IF(N10&gt;=2,2,IF(N10&gt;=1,1,0)))</f>
        <v>2</v>
      </c>
      <c r="AI10" s="89" t="n">
        <f aca="false">IF(O10&gt;=3,3,IF(O10&gt;=2,2,IF(O10&gt;=1,1,0)))</f>
        <v>2</v>
      </c>
      <c r="AJ10" s="91" t="n">
        <f aca="false">IF(P10&gt;=3,3,IF(P10&gt;=2,2,IF(P10&gt;=1,1,0)))</f>
        <v>2</v>
      </c>
      <c r="AK10" s="91" t="n">
        <f aca="false">IF(Q10&gt;=3,3,IF(Q10&gt;=2,2,IF(Q10&gt;=1,1,0)))</f>
        <v>2</v>
      </c>
      <c r="AL10" s="93" t="n">
        <f aca="false">IF(R10&gt;60,3,IF(R10&gt;40,2,IF(R10&gt;25,1,0)))</f>
        <v>2</v>
      </c>
      <c r="AM10" s="90" t="n">
        <f aca="false">IF(S10&gt;70,3,IF(S10&gt;50,2,IF(S10&gt;40,1,0)))</f>
        <v>3</v>
      </c>
      <c r="AN10" s="94" t="n">
        <f aca="false">IF(T10&gt;=3,3,IF(T10&gt;=2,2,IF(T10&gt;=1,1,0)))</f>
        <v>3</v>
      </c>
      <c r="AO10" s="95" t="n">
        <f aca="false">IF(U10&gt;=3,3,IF(U10&gt;=2,2,IF(U10&gt;=1,1,0)))</f>
        <v>2</v>
      </c>
      <c r="AP10" s="90" t="n">
        <f aca="false">IF(V10&gt;70,3,IF(V10&gt;40,2,IF(V10&gt;0,1,0)))</f>
        <v>2</v>
      </c>
      <c r="AQ10" s="97" t="n">
        <f aca="false">IFERROR(SUMPRODUCT(C7:V7,W10:AP10)/SUM(C7:V7),0)</f>
        <v>2.35</v>
      </c>
      <c r="AR10" s="98" t="n">
        <f aca="false">IF(AQ10&gt;=2.5,3,IF(AQ10&gt;=1.5,2,IF(AQ10&gt;=0.5,1,0)))</f>
        <v>2</v>
      </c>
      <c r="AS10" s="99" t="str">
        <f aca="false">IF(AR10=0,"—",TEXT(AR10,"0"))</f>
        <v>2</v>
      </c>
      <c r="AT10" s="102" t="str">
        <f aca="false">IF(AR10=0,"—",TEXT(AR10,"0"))</f>
        <v>2</v>
      </c>
      <c r="AU10" s="102" t="str">
        <f aca="false">IF(AR10=0,"—",TEXT(AR10,"0"))</f>
        <v>2</v>
      </c>
      <c r="AV10" s="102" t="str">
        <f aca="false">IF(AR10=0,"—",TEXT(AR10,"0"))</f>
        <v>2</v>
      </c>
      <c r="AW10" s="102" t="str">
        <f aca="false">IF(AR10=0,"—",TEXT(AR10,"0"))</f>
        <v>2</v>
      </c>
      <c r="AX10" s="103" t="s">
        <v>9</v>
      </c>
      <c r="AY10" s="103" t="s">
        <v>9</v>
      </c>
      <c r="AZ10" s="103" t="s">
        <v>9</v>
      </c>
      <c r="BA10" s="103" t="s">
        <v>9</v>
      </c>
      <c r="BB10" s="103" t="s">
        <v>9</v>
      </c>
      <c r="BC10" s="103" t="s">
        <v>9</v>
      </c>
      <c r="BD10" s="103" t="s">
        <v>9</v>
      </c>
      <c r="BE10" s="102" t="str">
        <f aca="false">IF(AR10=0,"—",TEXT(AR10,"0"))</f>
        <v>2</v>
      </c>
      <c r="BF10" s="103" t="s">
        <v>9</v>
      </c>
      <c r="BG10" s="103" t="s">
        <v>9</v>
      </c>
      <c r="BH10" s="103" t="s">
        <v>9</v>
      </c>
    </row>
    <row r="11" customFormat="false" ht="21.75" hidden="false" customHeight="true" outlineLevel="0" collapsed="false">
      <c r="A11" s="85" t="s">
        <v>164</v>
      </c>
      <c r="B11" s="50" t="s">
        <v>215</v>
      </c>
      <c r="C11" s="86" t="n">
        <v>4</v>
      </c>
      <c r="D11" s="86" t="n">
        <v>38</v>
      </c>
      <c r="E11" s="86" t="n">
        <v>3</v>
      </c>
      <c r="F11" s="86" t="n">
        <v>2</v>
      </c>
      <c r="G11" s="86" t="n">
        <v>2</v>
      </c>
      <c r="H11" s="86" t="n">
        <v>1</v>
      </c>
      <c r="I11" s="86" t="n">
        <v>2</v>
      </c>
      <c r="J11" s="86" t="n">
        <v>1</v>
      </c>
      <c r="K11" s="86" t="n">
        <v>1</v>
      </c>
      <c r="L11" s="86" t="n">
        <v>1</v>
      </c>
      <c r="M11" s="86" t="n">
        <v>2</v>
      </c>
      <c r="N11" s="86" t="n">
        <v>1</v>
      </c>
      <c r="O11" s="86" t="n">
        <v>1</v>
      </c>
      <c r="P11" s="86" t="n">
        <v>1</v>
      </c>
      <c r="Q11" s="86" t="n">
        <v>1</v>
      </c>
      <c r="R11" s="86" t="n">
        <v>42</v>
      </c>
      <c r="S11" s="86" t="n">
        <v>70</v>
      </c>
      <c r="T11" s="86" t="n">
        <v>2</v>
      </c>
      <c r="U11" s="86" t="n">
        <v>1</v>
      </c>
      <c r="V11" s="86" t="n">
        <v>52</v>
      </c>
      <c r="W11" s="87" t="n">
        <f aca="false">IF(C11&gt;=5,3,IF(C11&gt;=3,2,IF(C11&gt;=1,1,0)))</f>
        <v>2</v>
      </c>
      <c r="X11" s="88" t="n">
        <f aca="false">IF(D11&gt;40,3,IF(D11&gt;15,2,IF(D11&gt;5,1,0)))</f>
        <v>2</v>
      </c>
      <c r="Y11" s="89" t="n">
        <f aca="false">IF(E11&gt;=3,3,IF(E11&gt;=2,2,IF(E11&gt;=1,1,0)))</f>
        <v>3</v>
      </c>
      <c r="Z11" s="90" t="n">
        <f aca="false">IF(F11&gt;=3,3,IF(F11&gt;=2,2,IF(F11&gt;=1,1,0)))</f>
        <v>2</v>
      </c>
      <c r="AA11" s="91" t="n">
        <f aca="false">IF(G11&gt;=3,3,IF(G11&gt;=2,2,IF(G11&gt;=1,1,0)))</f>
        <v>2</v>
      </c>
      <c r="AB11" s="92" t="n">
        <f aca="false">IF(H11&gt;=3,3,IF(H11&gt;=2,2,IF(H11&gt;=1,1,0)))</f>
        <v>1</v>
      </c>
      <c r="AC11" s="93" t="n">
        <f aca="false">IF(I11&gt;=3,3,IF(I11&gt;=2,2,IF(I11&gt;=1,1,0)))</f>
        <v>2</v>
      </c>
      <c r="AD11" s="94" t="n">
        <f aca="false">IF(J11&gt;=3,3,IF(J11&gt;=2,2,IF(J11&gt;=1,1,0)))</f>
        <v>1</v>
      </c>
      <c r="AE11" s="95" t="n">
        <f aca="false">IF(K11&gt;=3,3,IF(K11&gt;=2,2,IF(K11&gt;=1,1,0)))</f>
        <v>1</v>
      </c>
      <c r="AF11" s="90" t="n">
        <f aca="false">IF(L11&gt;=3,3,IF(L11&gt;=2,2,IF(L11&gt;=1,1,0)))</f>
        <v>1</v>
      </c>
      <c r="AG11" s="96" t="n">
        <f aca="false">IF(M11&gt;=3,3,IF(M11&gt;=2,2,IF(M11&gt;=1,1,0)))</f>
        <v>2</v>
      </c>
      <c r="AH11" s="88" t="n">
        <f aca="false">IF(N11&gt;=3,3,IF(N11&gt;=2,2,IF(N11&gt;=1,1,0)))</f>
        <v>1</v>
      </c>
      <c r="AI11" s="89" t="n">
        <f aca="false">IF(O11&gt;=3,3,IF(O11&gt;=2,2,IF(O11&gt;=1,1,0)))</f>
        <v>1</v>
      </c>
      <c r="AJ11" s="91" t="n">
        <f aca="false">IF(P11&gt;=3,3,IF(P11&gt;=2,2,IF(P11&gt;=1,1,0)))</f>
        <v>1</v>
      </c>
      <c r="AK11" s="91" t="n">
        <f aca="false">IF(Q11&gt;=3,3,IF(Q11&gt;=2,2,IF(Q11&gt;=1,1,0)))</f>
        <v>1</v>
      </c>
      <c r="AL11" s="93" t="n">
        <f aca="false">IF(R11&gt;60,3,IF(R11&gt;40,2,IF(R11&gt;25,1,0)))</f>
        <v>2</v>
      </c>
      <c r="AM11" s="90" t="n">
        <f aca="false">IF(S11&gt;70,3,IF(S11&gt;50,2,IF(S11&gt;40,1,0)))</f>
        <v>2</v>
      </c>
      <c r="AN11" s="94" t="n">
        <f aca="false">IF(T11&gt;=3,3,IF(T11&gt;=2,2,IF(T11&gt;=1,1,0)))</f>
        <v>2</v>
      </c>
      <c r="AO11" s="95" t="n">
        <f aca="false">IF(U11&gt;=3,3,IF(U11&gt;=2,2,IF(U11&gt;=1,1,0)))</f>
        <v>1</v>
      </c>
      <c r="AP11" s="90" t="n">
        <f aca="false">IF(V11&gt;70,3,IF(V11&gt;40,2,IF(V11&gt;0,1,0)))</f>
        <v>2</v>
      </c>
      <c r="AQ11" s="97" t="n">
        <f aca="false">IFERROR(SUMPRODUCT(C7:V7,W11:AP11)/SUM(C7:V7),0)</f>
        <v>1.6</v>
      </c>
      <c r="AR11" s="98" t="n">
        <f aca="false">IF(AQ11&gt;=2.5,3,IF(AQ11&gt;=1.5,2,IF(AQ11&gt;=0.5,1,0)))</f>
        <v>2</v>
      </c>
      <c r="AS11" s="99" t="str">
        <f aca="false">IF(AR11=0,"—",TEXT(AR11,"0"))</f>
        <v>2</v>
      </c>
      <c r="AT11" s="100" t="str">
        <f aca="false">IF(AR11=0,"—",TEXT(AR11,"0"))</f>
        <v>2</v>
      </c>
      <c r="AU11" s="100" t="str">
        <f aca="false">IF(AR11=0,"—",TEXT(AR11,"0"))</f>
        <v>2</v>
      </c>
      <c r="AV11" s="100" t="str">
        <f aca="false">IF(AR11=0,"—",TEXT(AR11,"0"))</f>
        <v>2</v>
      </c>
      <c r="AW11" s="100" t="str">
        <f aca="false">IF(AR11=0,"—",TEXT(AR11,"0"))</f>
        <v>2</v>
      </c>
      <c r="AX11" s="101" t="s">
        <v>9</v>
      </c>
      <c r="AY11" s="101" t="s">
        <v>9</v>
      </c>
      <c r="AZ11" s="101" t="s">
        <v>9</v>
      </c>
      <c r="BA11" s="101" t="s">
        <v>9</v>
      </c>
      <c r="BB11" s="101" t="s">
        <v>9</v>
      </c>
      <c r="BC11" s="101" t="s">
        <v>9</v>
      </c>
      <c r="BD11" s="101" t="s">
        <v>9</v>
      </c>
      <c r="BE11" s="100" t="str">
        <f aca="false">IF(AR11=0,"—",TEXT(AR11,"0"))</f>
        <v>2</v>
      </c>
      <c r="BF11" s="101" t="s">
        <v>9</v>
      </c>
      <c r="BG11" s="101" t="s">
        <v>9</v>
      </c>
      <c r="BH11" s="101" t="s">
        <v>9</v>
      </c>
    </row>
    <row r="12" customFormat="false" ht="21.75" hidden="false" customHeight="true" outlineLevel="0" collapsed="false">
      <c r="A12" s="85" t="s">
        <v>166</v>
      </c>
      <c r="B12" s="53" t="s">
        <v>216</v>
      </c>
      <c r="C12" s="86" t="n">
        <v>3</v>
      </c>
      <c r="D12" s="86" t="n">
        <v>32</v>
      </c>
      <c r="E12" s="86" t="n">
        <v>2</v>
      </c>
      <c r="F12" s="86" t="n">
        <v>2</v>
      </c>
      <c r="G12" s="86" t="n">
        <v>2</v>
      </c>
      <c r="H12" s="86" t="n">
        <v>1</v>
      </c>
      <c r="I12" s="86" t="n">
        <v>2</v>
      </c>
      <c r="J12" s="86" t="n">
        <v>1</v>
      </c>
      <c r="K12" s="86" t="n">
        <v>1</v>
      </c>
      <c r="L12" s="86" t="n">
        <v>1</v>
      </c>
      <c r="M12" s="86" t="n">
        <v>1</v>
      </c>
      <c r="N12" s="86" t="n">
        <v>1</v>
      </c>
      <c r="O12" s="86" t="n">
        <v>1</v>
      </c>
      <c r="P12" s="86" t="n">
        <v>2</v>
      </c>
      <c r="Q12" s="86" t="n">
        <v>1</v>
      </c>
      <c r="R12" s="86" t="n">
        <v>38</v>
      </c>
      <c r="S12" s="86" t="n">
        <v>68</v>
      </c>
      <c r="T12" s="86" t="n">
        <v>2</v>
      </c>
      <c r="U12" s="86" t="n">
        <v>1</v>
      </c>
      <c r="V12" s="86" t="n">
        <v>50</v>
      </c>
      <c r="W12" s="87" t="n">
        <f aca="false">IF(C12&gt;=5,3,IF(C12&gt;=3,2,IF(C12&gt;=1,1,0)))</f>
        <v>2</v>
      </c>
      <c r="X12" s="88" t="n">
        <f aca="false">IF(D12&gt;40,3,IF(D12&gt;15,2,IF(D12&gt;5,1,0)))</f>
        <v>2</v>
      </c>
      <c r="Y12" s="89" t="n">
        <f aca="false">IF(E12&gt;=3,3,IF(E12&gt;=2,2,IF(E12&gt;=1,1,0)))</f>
        <v>2</v>
      </c>
      <c r="Z12" s="90" t="n">
        <f aca="false">IF(F12&gt;=3,3,IF(F12&gt;=2,2,IF(F12&gt;=1,1,0)))</f>
        <v>2</v>
      </c>
      <c r="AA12" s="91" t="n">
        <f aca="false">IF(G12&gt;=3,3,IF(G12&gt;=2,2,IF(G12&gt;=1,1,0)))</f>
        <v>2</v>
      </c>
      <c r="AB12" s="92" t="n">
        <f aca="false">IF(H12&gt;=3,3,IF(H12&gt;=2,2,IF(H12&gt;=1,1,0)))</f>
        <v>1</v>
      </c>
      <c r="AC12" s="93" t="n">
        <f aca="false">IF(I12&gt;=3,3,IF(I12&gt;=2,2,IF(I12&gt;=1,1,0)))</f>
        <v>2</v>
      </c>
      <c r="AD12" s="94" t="n">
        <f aca="false">IF(J12&gt;=3,3,IF(J12&gt;=2,2,IF(J12&gt;=1,1,0)))</f>
        <v>1</v>
      </c>
      <c r="AE12" s="95" t="n">
        <f aca="false">IF(K12&gt;=3,3,IF(K12&gt;=2,2,IF(K12&gt;=1,1,0)))</f>
        <v>1</v>
      </c>
      <c r="AF12" s="90" t="n">
        <f aca="false">IF(L12&gt;=3,3,IF(L12&gt;=2,2,IF(L12&gt;=1,1,0)))</f>
        <v>1</v>
      </c>
      <c r="AG12" s="96" t="n">
        <f aca="false">IF(M12&gt;=3,3,IF(M12&gt;=2,2,IF(M12&gt;=1,1,0)))</f>
        <v>1</v>
      </c>
      <c r="AH12" s="88" t="n">
        <f aca="false">IF(N12&gt;=3,3,IF(N12&gt;=2,2,IF(N12&gt;=1,1,0)))</f>
        <v>1</v>
      </c>
      <c r="AI12" s="89" t="n">
        <f aca="false">IF(O12&gt;=3,3,IF(O12&gt;=2,2,IF(O12&gt;=1,1,0)))</f>
        <v>1</v>
      </c>
      <c r="AJ12" s="91" t="n">
        <f aca="false">IF(P12&gt;=3,3,IF(P12&gt;=2,2,IF(P12&gt;=1,1,0)))</f>
        <v>2</v>
      </c>
      <c r="AK12" s="91" t="n">
        <f aca="false">IF(Q12&gt;=3,3,IF(Q12&gt;=2,2,IF(Q12&gt;=1,1,0)))</f>
        <v>1</v>
      </c>
      <c r="AL12" s="93" t="n">
        <f aca="false">IF(R12&gt;60,3,IF(R12&gt;40,2,IF(R12&gt;25,1,0)))</f>
        <v>1</v>
      </c>
      <c r="AM12" s="90" t="n">
        <f aca="false">IF(S12&gt;70,3,IF(S12&gt;50,2,IF(S12&gt;40,1,0)))</f>
        <v>2</v>
      </c>
      <c r="AN12" s="94" t="n">
        <f aca="false">IF(T12&gt;=3,3,IF(T12&gt;=2,2,IF(T12&gt;=1,1,0)))</f>
        <v>2</v>
      </c>
      <c r="AO12" s="95" t="n">
        <f aca="false">IF(U12&gt;=3,3,IF(U12&gt;=2,2,IF(U12&gt;=1,1,0)))</f>
        <v>1</v>
      </c>
      <c r="AP12" s="90" t="n">
        <f aca="false">IF(V12&gt;70,3,IF(V12&gt;40,2,IF(V12&gt;0,1,0)))</f>
        <v>2</v>
      </c>
      <c r="AQ12" s="97" t="n">
        <f aca="false">IFERROR(SUMPRODUCT(C7:V7,W12:AP12)/SUM(C7:V7),0)</f>
        <v>1.5</v>
      </c>
      <c r="AR12" s="98" t="n">
        <f aca="false">IF(AQ12&gt;=2.5,3,IF(AQ12&gt;=1.5,2,IF(AQ12&gt;=0.5,1,0)))</f>
        <v>2</v>
      </c>
      <c r="AS12" s="99" t="str">
        <f aca="false">IF(AR12=0,"—",TEXT(AR12,"0"))</f>
        <v>2</v>
      </c>
      <c r="AT12" s="102" t="str">
        <f aca="false">IF(AR12=0,"—",TEXT(AR12,"0"))</f>
        <v>2</v>
      </c>
      <c r="AU12" s="102" t="str">
        <f aca="false">IF(AR12=0,"—",TEXT(AR12,"0"))</f>
        <v>2</v>
      </c>
      <c r="AV12" s="103" t="s">
        <v>9</v>
      </c>
      <c r="AW12" s="103" t="s">
        <v>9</v>
      </c>
      <c r="AX12" s="103" t="s">
        <v>9</v>
      </c>
      <c r="AY12" s="103" t="s">
        <v>9</v>
      </c>
      <c r="AZ12" s="103" t="s">
        <v>9</v>
      </c>
      <c r="BA12" s="103" t="s">
        <v>9</v>
      </c>
      <c r="BB12" s="103" t="s">
        <v>9</v>
      </c>
      <c r="BC12" s="103" t="s">
        <v>9</v>
      </c>
      <c r="BD12" s="103" t="s">
        <v>9</v>
      </c>
      <c r="BE12" s="102" t="str">
        <f aca="false">IF(AR12=0,"—",TEXT(AR12,"0"))</f>
        <v>2</v>
      </c>
      <c r="BF12" s="103" t="s">
        <v>9</v>
      </c>
      <c r="BG12" s="103" t="s">
        <v>9</v>
      </c>
      <c r="BH12" s="103" t="s">
        <v>9</v>
      </c>
    </row>
    <row r="13" customFormat="false" ht="21.75" hidden="false" customHeight="true" outlineLevel="0" collapsed="false">
      <c r="A13" s="85" t="s">
        <v>168</v>
      </c>
      <c r="B13" s="50" t="s">
        <v>217</v>
      </c>
      <c r="C13" s="86" t="n">
        <v>3</v>
      </c>
      <c r="D13" s="86" t="n">
        <v>30</v>
      </c>
      <c r="E13" s="86" t="n">
        <v>2</v>
      </c>
      <c r="F13" s="86" t="n">
        <v>2</v>
      </c>
      <c r="G13" s="86" t="n">
        <v>2</v>
      </c>
      <c r="H13" s="86" t="n">
        <v>1</v>
      </c>
      <c r="I13" s="86" t="n">
        <v>2</v>
      </c>
      <c r="J13" s="86" t="n">
        <v>1</v>
      </c>
      <c r="K13" s="86" t="n">
        <v>1</v>
      </c>
      <c r="L13" s="86" t="n">
        <v>1</v>
      </c>
      <c r="M13" s="86" t="n">
        <v>2</v>
      </c>
      <c r="N13" s="86" t="n">
        <v>1</v>
      </c>
      <c r="O13" s="86" t="n">
        <v>1</v>
      </c>
      <c r="P13" s="86" t="n">
        <v>2</v>
      </c>
      <c r="Q13" s="86" t="n">
        <v>1</v>
      </c>
      <c r="R13" s="86" t="n">
        <v>38</v>
      </c>
      <c r="S13" s="86" t="n">
        <v>68</v>
      </c>
      <c r="T13" s="86" t="n">
        <v>2</v>
      </c>
      <c r="U13" s="86" t="n">
        <v>1</v>
      </c>
      <c r="V13" s="86" t="n">
        <v>50</v>
      </c>
      <c r="W13" s="87" t="n">
        <f aca="false">IF(C13&gt;=5,3,IF(C13&gt;=3,2,IF(C13&gt;=1,1,0)))</f>
        <v>2</v>
      </c>
      <c r="X13" s="88" t="n">
        <f aca="false">IF(D13&gt;40,3,IF(D13&gt;15,2,IF(D13&gt;5,1,0)))</f>
        <v>2</v>
      </c>
      <c r="Y13" s="89" t="n">
        <f aca="false">IF(E13&gt;=3,3,IF(E13&gt;=2,2,IF(E13&gt;=1,1,0)))</f>
        <v>2</v>
      </c>
      <c r="Z13" s="90" t="n">
        <f aca="false">IF(F13&gt;=3,3,IF(F13&gt;=2,2,IF(F13&gt;=1,1,0)))</f>
        <v>2</v>
      </c>
      <c r="AA13" s="91" t="n">
        <f aca="false">IF(G13&gt;=3,3,IF(G13&gt;=2,2,IF(G13&gt;=1,1,0)))</f>
        <v>2</v>
      </c>
      <c r="AB13" s="92" t="n">
        <f aca="false">IF(H13&gt;=3,3,IF(H13&gt;=2,2,IF(H13&gt;=1,1,0)))</f>
        <v>1</v>
      </c>
      <c r="AC13" s="93" t="n">
        <f aca="false">IF(I13&gt;=3,3,IF(I13&gt;=2,2,IF(I13&gt;=1,1,0)))</f>
        <v>2</v>
      </c>
      <c r="AD13" s="94" t="n">
        <f aca="false">IF(J13&gt;=3,3,IF(J13&gt;=2,2,IF(J13&gt;=1,1,0)))</f>
        <v>1</v>
      </c>
      <c r="AE13" s="95" t="n">
        <f aca="false">IF(K13&gt;=3,3,IF(K13&gt;=2,2,IF(K13&gt;=1,1,0)))</f>
        <v>1</v>
      </c>
      <c r="AF13" s="90" t="n">
        <f aca="false">IF(L13&gt;=3,3,IF(L13&gt;=2,2,IF(L13&gt;=1,1,0)))</f>
        <v>1</v>
      </c>
      <c r="AG13" s="96" t="n">
        <f aca="false">IF(M13&gt;=3,3,IF(M13&gt;=2,2,IF(M13&gt;=1,1,0)))</f>
        <v>2</v>
      </c>
      <c r="AH13" s="88" t="n">
        <f aca="false">IF(N13&gt;=3,3,IF(N13&gt;=2,2,IF(N13&gt;=1,1,0)))</f>
        <v>1</v>
      </c>
      <c r="AI13" s="89" t="n">
        <f aca="false">IF(O13&gt;=3,3,IF(O13&gt;=2,2,IF(O13&gt;=1,1,0)))</f>
        <v>1</v>
      </c>
      <c r="AJ13" s="91" t="n">
        <f aca="false">IF(P13&gt;=3,3,IF(P13&gt;=2,2,IF(P13&gt;=1,1,0)))</f>
        <v>2</v>
      </c>
      <c r="AK13" s="91" t="n">
        <f aca="false">IF(Q13&gt;=3,3,IF(Q13&gt;=2,2,IF(Q13&gt;=1,1,0)))</f>
        <v>1</v>
      </c>
      <c r="AL13" s="93" t="n">
        <f aca="false">IF(R13&gt;60,3,IF(R13&gt;40,2,IF(R13&gt;25,1,0)))</f>
        <v>1</v>
      </c>
      <c r="AM13" s="90" t="n">
        <f aca="false">IF(S13&gt;70,3,IF(S13&gt;50,2,IF(S13&gt;40,1,0)))</f>
        <v>2</v>
      </c>
      <c r="AN13" s="94" t="n">
        <f aca="false">IF(T13&gt;=3,3,IF(T13&gt;=2,2,IF(T13&gt;=1,1,0)))</f>
        <v>2</v>
      </c>
      <c r="AO13" s="95" t="n">
        <f aca="false">IF(U13&gt;=3,3,IF(U13&gt;=2,2,IF(U13&gt;=1,1,0)))</f>
        <v>1</v>
      </c>
      <c r="AP13" s="90" t="n">
        <f aca="false">IF(V13&gt;70,3,IF(V13&gt;40,2,IF(V13&gt;0,1,0)))</f>
        <v>2</v>
      </c>
      <c r="AQ13" s="97" t="n">
        <f aca="false">IFERROR(SUMPRODUCT(C7:V7,W13:AP13)/SUM(C7:V7),0)</f>
        <v>1.55</v>
      </c>
      <c r="AR13" s="98" t="n">
        <f aca="false">IF(AQ13&gt;=2.5,3,IF(AQ13&gt;=1.5,2,IF(AQ13&gt;=0.5,1,0)))</f>
        <v>2</v>
      </c>
      <c r="AS13" s="99" t="str">
        <f aca="false">IF(AR13=0,"—",TEXT(AR13,"0"))</f>
        <v>2</v>
      </c>
      <c r="AT13" s="100" t="str">
        <f aca="false">IF(AR13=0,"—",TEXT(AR13,"0"))</f>
        <v>2</v>
      </c>
      <c r="AU13" s="100" t="str">
        <f aca="false">IF(AR13=0,"—",TEXT(AR13,"0"))</f>
        <v>2</v>
      </c>
      <c r="AV13" s="101" t="s">
        <v>9</v>
      </c>
      <c r="AW13" s="100" t="str">
        <f aca="false">IF(AR13=0,"—",TEXT(AR13,"0"))</f>
        <v>2</v>
      </c>
      <c r="AX13" s="100" t="str">
        <f aca="false">IF(AR13=0,"—",TEXT(AR13,"0"))</f>
        <v>2</v>
      </c>
      <c r="AY13" s="101" t="s">
        <v>9</v>
      </c>
      <c r="AZ13" s="101" t="s">
        <v>9</v>
      </c>
      <c r="BA13" s="101" t="s">
        <v>9</v>
      </c>
      <c r="BB13" s="101" t="s">
        <v>9</v>
      </c>
      <c r="BC13" s="101" t="s">
        <v>9</v>
      </c>
      <c r="BD13" s="101" t="s">
        <v>9</v>
      </c>
      <c r="BE13" s="100" t="str">
        <f aca="false">IF(AR13=0,"—",TEXT(AR13,"0"))</f>
        <v>2</v>
      </c>
      <c r="BF13" s="101" t="s">
        <v>9</v>
      </c>
      <c r="BG13" s="101" t="s">
        <v>9</v>
      </c>
      <c r="BH13" s="101" t="s">
        <v>9</v>
      </c>
    </row>
    <row r="15" customFormat="false" ht="21.75" hidden="false" customHeight="true" outlineLevel="0" collapsed="false">
      <c r="A15" s="104" t="s">
        <v>170</v>
      </c>
      <c r="B15" s="104"/>
      <c r="C15" s="105" t="n">
        <f aca="false">AVERAGE(C9:C13)</f>
        <v>3.8</v>
      </c>
      <c r="D15" s="105" t="n">
        <f aca="false">AVERAGE(D9:D13)</f>
        <v>36.6</v>
      </c>
      <c r="E15" s="105" t="n">
        <f aca="false">AVERAGE(E9:E13)</f>
        <v>2.6</v>
      </c>
      <c r="F15" s="105" t="n">
        <f aca="false">AVERAGE(F9:F13)</f>
        <v>2.2</v>
      </c>
      <c r="G15" s="105" t="n">
        <f aca="false">AVERAGE(G9:G13)</f>
        <v>2</v>
      </c>
      <c r="H15" s="105" t="n">
        <f aca="false">AVERAGE(H9:H13)</f>
        <v>1.2</v>
      </c>
      <c r="I15" s="105" t="n">
        <f aca="false">AVERAGE(I9:I13)</f>
        <v>2</v>
      </c>
      <c r="J15" s="105" t="n">
        <f aca="false">AVERAGE(J9:J13)</f>
        <v>1.2</v>
      </c>
      <c r="K15" s="105" t="n">
        <f aca="false">AVERAGE(K9:K13)</f>
        <v>1.2</v>
      </c>
      <c r="L15" s="105" t="n">
        <f aca="false">AVERAGE(L9:L13)</f>
        <v>1.4</v>
      </c>
      <c r="M15" s="105" t="n">
        <f aca="false">AVERAGE(M9:M13)</f>
        <v>2</v>
      </c>
      <c r="N15" s="105" t="n">
        <f aca="false">AVERAGE(N9:N13)</f>
        <v>1.2</v>
      </c>
      <c r="O15" s="105" t="n">
        <f aca="false">AVERAGE(O9:O13)</f>
        <v>1.2</v>
      </c>
      <c r="P15" s="105" t="n">
        <f aca="false">AVERAGE(P9:P13)</f>
        <v>1.8</v>
      </c>
      <c r="Q15" s="105" t="n">
        <f aca="false">AVERAGE(Q9:Q13)</f>
        <v>1.2</v>
      </c>
      <c r="R15" s="105" t="n">
        <f aca="false">AVERAGE(R9:R13)</f>
        <v>42.4</v>
      </c>
      <c r="S15" s="105" t="n">
        <f aca="false">AVERAGE(S9:S13)</f>
        <v>70.4</v>
      </c>
      <c r="T15" s="105" t="n">
        <f aca="false">AVERAGE(T9:T13)</f>
        <v>2.2</v>
      </c>
      <c r="U15" s="105" t="n">
        <f aca="false">AVERAGE(U9:U13)</f>
        <v>1.2</v>
      </c>
      <c r="V15" s="105" t="n">
        <f aca="false">AVERAGE(V9:V13)</f>
        <v>55</v>
      </c>
      <c r="W15" s="105" t="n">
        <f aca="false">AVERAGE(W9:W13)</f>
        <v>2.2</v>
      </c>
      <c r="X15" s="105" t="n">
        <f aca="false">AVERAGE(X9:X13)</f>
        <v>2.2</v>
      </c>
      <c r="Y15" s="105" t="n">
        <f aca="false">AVERAGE(Y9:Y13)</f>
        <v>2.6</v>
      </c>
      <c r="Z15" s="105" t="n">
        <f aca="false">AVERAGE(Z9:Z13)</f>
        <v>2.2</v>
      </c>
      <c r="AA15" s="105" t="n">
        <f aca="false">AVERAGE(AA9:AA13)</f>
        <v>2</v>
      </c>
      <c r="AB15" s="105" t="n">
        <f aca="false">AVERAGE(AB9:AB13)</f>
        <v>1.2</v>
      </c>
      <c r="AC15" s="105" t="n">
        <f aca="false">AVERAGE(AC9:AC13)</f>
        <v>2</v>
      </c>
      <c r="AD15" s="105" t="n">
        <f aca="false">AVERAGE(AD9:AD13)</f>
        <v>1.2</v>
      </c>
      <c r="AE15" s="105" t="n">
        <f aca="false">AVERAGE(AE9:AE13)</f>
        <v>1.2</v>
      </c>
      <c r="AF15" s="105" t="n">
        <f aca="false">AVERAGE(AF9:AF13)</f>
        <v>1.4</v>
      </c>
      <c r="AG15" s="105" t="n">
        <f aca="false">AVERAGE(AG9:AG13)</f>
        <v>2</v>
      </c>
      <c r="AH15" s="105" t="n">
        <f aca="false">AVERAGE(AH9:AH13)</f>
        <v>1.2</v>
      </c>
      <c r="AI15" s="105" t="n">
        <f aca="false">AVERAGE(AI9:AI13)</f>
        <v>1.2</v>
      </c>
      <c r="AJ15" s="105" t="n">
        <f aca="false">AVERAGE(AJ9:AJ13)</f>
        <v>1.8</v>
      </c>
      <c r="AK15" s="105" t="n">
        <f aca="false">AVERAGE(AK9:AK13)</f>
        <v>1.2</v>
      </c>
      <c r="AL15" s="105" t="n">
        <f aca="false">AVERAGE(AL9:AL13)</f>
        <v>1.6</v>
      </c>
      <c r="AM15" s="105" t="n">
        <f aca="false">AVERAGE(AM9:AM13)</f>
        <v>2.2</v>
      </c>
      <c r="AN15" s="105" t="n">
        <f aca="false">AVERAGE(AN9:AN13)</f>
        <v>2.2</v>
      </c>
      <c r="AO15" s="105" t="n">
        <f aca="false">AVERAGE(AO9:AO13)</f>
        <v>1.2</v>
      </c>
      <c r="AP15" s="105" t="n">
        <f aca="false">AVERAGE(AP9:AP13)</f>
        <v>2</v>
      </c>
      <c r="AQ15" s="106" t="n">
        <f aca="false">AVERAGE(AQ9:AQ13)</f>
        <v>1.74</v>
      </c>
      <c r="AR15" s="105" t="n">
        <f aca="false">AVERAGE(AR9:AR13)</f>
        <v>2</v>
      </c>
      <c r="AS15" s="107"/>
      <c r="AT15" s="105" t="str">
        <f aca="false">IFERROR(AVERAGEIF(AT9:AT13,"&lt;&gt;—"),"")</f>
        <v/>
      </c>
      <c r="AU15" s="105" t="str">
        <f aca="false">IFERROR(AVERAGEIF(AU9:AU13,"&lt;&gt;—"),"")</f>
        <v/>
      </c>
      <c r="AV15" s="105" t="str">
        <f aca="false">IFERROR(AVERAGEIF(AV9:AV13,"&lt;&gt;—"),"")</f>
        <v/>
      </c>
      <c r="AW15" s="105" t="str">
        <f aca="false">IFERROR(AVERAGEIF(AW9:AW13,"&lt;&gt;—"),"")</f>
        <v/>
      </c>
      <c r="AX15" s="105" t="str">
        <f aca="false">IFERROR(AVERAGEIF(AX9:AX13,"&lt;&gt;—"),"")</f>
        <v/>
      </c>
      <c r="AY15" s="105" t="str">
        <f aca="false">IFERROR(AVERAGEIF(AY9:AY13,"&lt;&gt;—"),"")</f>
        <v/>
      </c>
      <c r="AZ15" s="105" t="str">
        <f aca="false">IFERROR(AVERAGEIF(AZ9:AZ13,"&lt;&gt;—"),"")</f>
        <v/>
      </c>
      <c r="BA15" s="105" t="str">
        <f aca="false">IFERROR(AVERAGEIF(BA9:BA13,"&lt;&gt;—"),"")</f>
        <v/>
      </c>
      <c r="BB15" s="105" t="str">
        <f aca="false">IFERROR(AVERAGEIF(BB9:BB13,"&lt;&gt;—"),"")</f>
        <v/>
      </c>
      <c r="BC15" s="105" t="str">
        <f aca="false">IFERROR(AVERAGEIF(BC9:BC13,"&lt;&gt;—"),"")</f>
        <v/>
      </c>
      <c r="BD15" s="105" t="str">
        <f aca="false">IFERROR(AVERAGEIF(BD9:BD13,"&lt;&gt;—"),"")</f>
        <v/>
      </c>
      <c r="BE15" s="105" t="str">
        <f aca="false">IFERROR(AVERAGEIF(BE9:BE13,"&lt;&gt;—"),"")</f>
        <v/>
      </c>
      <c r="BF15" s="105" t="str">
        <f aca="false">IFERROR(AVERAGEIF(BF9:BF13,"&lt;&gt;—"),"")</f>
        <v/>
      </c>
      <c r="BG15" s="105" t="str">
        <f aca="false">IFERROR(AVERAGEIF(BG9:BG13,"&lt;&gt;—"),"")</f>
        <v/>
      </c>
      <c r="BH15" s="105" t="str">
        <f aca="false">IFERROR(AVERAGEIF(BH9:BH13,"&lt;&gt;—"),"")</f>
        <v/>
      </c>
    </row>
  </sheetData>
  <mergeCells count="10">
    <mergeCell ref="A1:BH1"/>
    <mergeCell ref="A2:BH2"/>
    <mergeCell ref="A4:B4"/>
    <mergeCell ref="C5:V5"/>
    <mergeCell ref="W5:AP5"/>
    <mergeCell ref="AT5:BE5"/>
    <mergeCell ref="BF5:BH5"/>
    <mergeCell ref="A7:B7"/>
    <mergeCell ref="A8:BH8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8"/>
    <col collapsed="false" customWidth="true" hidden="false" outlineLevel="0" max="22" min="3" style="1" width="8"/>
    <col collapsed="false" customWidth="true" hidden="false" outlineLevel="0" max="42" min="23" style="1" width="7"/>
    <col collapsed="false" customWidth="true" hidden="false" outlineLevel="0" max="43" min="43" style="1" width="10"/>
    <col collapsed="false" customWidth="true" hidden="false" outlineLevel="0" max="45" min="44" style="1" width="9"/>
    <col collapsed="false" customWidth="true" hidden="false" outlineLevel="0" max="60" min="46" style="1" width="8"/>
  </cols>
  <sheetData>
    <row r="1" customFormat="false" ht="36" hidden="false" customHeight="true" outlineLevel="0" collapsed="false">
      <c r="A1" s="58" t="s">
        <v>218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</row>
    <row r="2" customFormat="false" ht="13.5" hidden="false" customHeight="true" outlineLevel="0" collapsed="false">
      <c r="A2" s="59" t="s">
        <v>127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</row>
    <row r="3" customFormat="false" ht="4.5" hidden="false" customHeight="true" outlineLevel="0" collapsed="false"/>
    <row r="4" customFormat="false" ht="15.75" hidden="false" customHeight="true" outlineLevel="0" collapsed="false">
      <c r="A4" s="6" t="s">
        <v>128</v>
      </c>
      <c r="B4" s="6"/>
      <c r="C4" s="60" t="s">
        <v>129</v>
      </c>
      <c r="D4" s="61" t="s">
        <v>130</v>
      </c>
      <c r="E4" s="62" t="s">
        <v>131</v>
      </c>
      <c r="F4" s="63" t="s">
        <v>132</v>
      </c>
    </row>
    <row r="5" customFormat="false" ht="21.75" hidden="false" customHeight="true" outlineLevel="0" collapsed="false">
      <c r="A5" s="5" t="s">
        <v>133</v>
      </c>
      <c r="B5" s="5" t="s">
        <v>134</v>
      </c>
      <c r="C5" s="64" t="s">
        <v>135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5" t="s">
        <v>136</v>
      </c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6" t="s">
        <v>137</v>
      </c>
      <c r="AR5" s="66" t="s">
        <v>138</v>
      </c>
      <c r="AS5" s="67" t="s">
        <v>139</v>
      </c>
      <c r="AT5" s="65" t="s">
        <v>140</v>
      </c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8" t="s">
        <v>141</v>
      </c>
      <c r="BG5" s="68"/>
      <c r="BH5" s="68"/>
    </row>
    <row r="6" customFormat="false" ht="27.75" hidden="false" customHeight="true" outlineLevel="0" collapsed="false">
      <c r="A6" s="24"/>
      <c r="B6" s="69" t="s">
        <v>142</v>
      </c>
      <c r="C6" s="70" t="s">
        <v>35</v>
      </c>
      <c r="D6" s="71" t="s">
        <v>40</v>
      </c>
      <c r="E6" s="72" t="s">
        <v>45</v>
      </c>
      <c r="F6" s="73" t="s">
        <v>50</v>
      </c>
      <c r="G6" s="74" t="s">
        <v>53</v>
      </c>
      <c r="H6" s="75" t="s">
        <v>56</v>
      </c>
      <c r="I6" s="76" t="s">
        <v>59</v>
      </c>
      <c r="J6" s="77" t="s">
        <v>62</v>
      </c>
      <c r="K6" s="78" t="s">
        <v>65</v>
      </c>
      <c r="L6" s="79" t="s">
        <v>68</v>
      </c>
      <c r="M6" s="70" t="s">
        <v>71</v>
      </c>
      <c r="N6" s="71" t="s">
        <v>74</v>
      </c>
      <c r="O6" s="72" t="s">
        <v>77</v>
      </c>
      <c r="P6" s="74" t="s">
        <v>80</v>
      </c>
      <c r="Q6" s="75" t="s">
        <v>83</v>
      </c>
      <c r="R6" s="76" t="s">
        <v>86</v>
      </c>
      <c r="S6" s="73" t="s">
        <v>89</v>
      </c>
      <c r="T6" s="77" t="s">
        <v>93</v>
      </c>
      <c r="U6" s="78" t="s">
        <v>96</v>
      </c>
      <c r="V6" s="79" t="s">
        <v>99</v>
      </c>
      <c r="W6" s="70" t="s">
        <v>35</v>
      </c>
      <c r="X6" s="71" t="s">
        <v>40</v>
      </c>
      <c r="Y6" s="72" t="s">
        <v>45</v>
      </c>
      <c r="Z6" s="73" t="s">
        <v>50</v>
      </c>
      <c r="AA6" s="74" t="s">
        <v>53</v>
      </c>
      <c r="AB6" s="75" t="s">
        <v>56</v>
      </c>
      <c r="AC6" s="76" t="s">
        <v>59</v>
      </c>
      <c r="AD6" s="77" t="s">
        <v>62</v>
      </c>
      <c r="AE6" s="78" t="s">
        <v>65</v>
      </c>
      <c r="AF6" s="79" t="s">
        <v>68</v>
      </c>
      <c r="AG6" s="70" t="s">
        <v>71</v>
      </c>
      <c r="AH6" s="71" t="s">
        <v>74</v>
      </c>
      <c r="AI6" s="72" t="s">
        <v>77</v>
      </c>
      <c r="AJ6" s="74" t="s">
        <v>80</v>
      </c>
      <c r="AK6" s="75" t="s">
        <v>83</v>
      </c>
      <c r="AL6" s="76" t="s">
        <v>86</v>
      </c>
      <c r="AM6" s="73" t="s">
        <v>89</v>
      </c>
      <c r="AN6" s="77" t="s">
        <v>93</v>
      </c>
      <c r="AO6" s="78" t="s">
        <v>96</v>
      </c>
      <c r="AP6" s="79" t="s">
        <v>99</v>
      </c>
      <c r="AQ6" s="80" t="s">
        <v>143</v>
      </c>
      <c r="AR6" s="80" t="s">
        <v>144</v>
      </c>
      <c r="AS6" s="81" t="s">
        <v>145</v>
      </c>
      <c r="AT6" s="25" t="s">
        <v>146</v>
      </c>
      <c r="AU6" s="25" t="s">
        <v>147</v>
      </c>
      <c r="AV6" s="25" t="s">
        <v>148</v>
      </c>
      <c r="AW6" s="25" t="s">
        <v>149</v>
      </c>
      <c r="AX6" s="25" t="s">
        <v>82</v>
      </c>
      <c r="AY6" s="25" t="s">
        <v>150</v>
      </c>
      <c r="AZ6" s="25" t="s">
        <v>151</v>
      </c>
      <c r="BA6" s="25" t="s">
        <v>152</v>
      </c>
      <c r="BB6" s="25" t="s">
        <v>76</v>
      </c>
      <c r="BC6" s="25" t="s">
        <v>79</v>
      </c>
      <c r="BD6" s="25" t="s">
        <v>153</v>
      </c>
      <c r="BE6" s="25" t="s">
        <v>154</v>
      </c>
      <c r="BF6" s="33" t="s">
        <v>155</v>
      </c>
      <c r="BG6" s="33" t="s">
        <v>156</v>
      </c>
      <c r="BH6" s="33" t="s">
        <v>157</v>
      </c>
    </row>
    <row r="7" customFormat="false" ht="15.75" hidden="false" customHeight="true" outlineLevel="0" collapsed="false">
      <c r="A7" s="82" t="s">
        <v>158</v>
      </c>
      <c r="B7" s="82"/>
      <c r="C7" s="83" t="n">
        <v>0.05</v>
      </c>
      <c r="D7" s="83" t="n">
        <v>0.05</v>
      </c>
      <c r="E7" s="83" t="n">
        <v>0.05</v>
      </c>
      <c r="F7" s="83" t="n">
        <v>0.05</v>
      </c>
      <c r="G7" s="83" t="n">
        <v>0.05</v>
      </c>
      <c r="H7" s="83" t="n">
        <v>0.05</v>
      </c>
      <c r="I7" s="83" t="n">
        <v>0.05</v>
      </c>
      <c r="J7" s="83" t="n">
        <v>0.05</v>
      </c>
      <c r="K7" s="83" t="n">
        <v>0.05</v>
      </c>
      <c r="L7" s="83" t="n">
        <v>0.05</v>
      </c>
      <c r="M7" s="83" t="n">
        <v>0.05</v>
      </c>
      <c r="N7" s="83" t="n">
        <v>0.05</v>
      </c>
      <c r="O7" s="83" t="n">
        <v>0.05</v>
      </c>
      <c r="P7" s="83" t="n">
        <v>0.05</v>
      </c>
      <c r="Q7" s="83" t="n">
        <v>0.05</v>
      </c>
      <c r="R7" s="83" t="n">
        <v>0.05</v>
      </c>
      <c r="S7" s="83" t="n">
        <v>0.05</v>
      </c>
      <c r="T7" s="83" t="n">
        <v>0.05</v>
      </c>
      <c r="U7" s="83" t="n">
        <v>0.05</v>
      </c>
      <c r="V7" s="83" t="n">
        <v>0.05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83" t="n">
        <f aca="false">SUM(C7:V7)</f>
        <v>1</v>
      </c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</row>
    <row r="8" customFormat="false" ht="12.75" hidden="false" customHeight="true" outlineLevel="0" collapsed="false">
      <c r="A8" s="84" t="s">
        <v>159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</row>
    <row r="9" customFormat="false" ht="21.75" hidden="false" customHeight="true" outlineLevel="0" collapsed="false">
      <c r="A9" s="85" t="s">
        <v>160</v>
      </c>
      <c r="B9" s="50" t="s">
        <v>219</v>
      </c>
      <c r="C9" s="86" t="n">
        <v>3</v>
      </c>
      <c r="D9" s="86" t="n">
        <v>38</v>
      </c>
      <c r="E9" s="86" t="n">
        <v>2</v>
      </c>
      <c r="F9" s="86" t="n">
        <v>3</v>
      </c>
      <c r="G9" s="86" t="n">
        <v>3</v>
      </c>
      <c r="H9" s="86" t="n">
        <v>2</v>
      </c>
      <c r="I9" s="86" t="n">
        <v>3</v>
      </c>
      <c r="J9" s="86" t="n">
        <v>2</v>
      </c>
      <c r="K9" s="86" t="n">
        <v>2</v>
      </c>
      <c r="L9" s="86" t="n">
        <v>2</v>
      </c>
      <c r="M9" s="86" t="n">
        <v>2</v>
      </c>
      <c r="N9" s="86" t="n">
        <v>2</v>
      </c>
      <c r="O9" s="86" t="n">
        <v>2</v>
      </c>
      <c r="P9" s="86" t="n">
        <v>3</v>
      </c>
      <c r="Q9" s="86" t="n">
        <v>2</v>
      </c>
      <c r="R9" s="86" t="n">
        <v>48</v>
      </c>
      <c r="S9" s="86" t="n">
        <v>74</v>
      </c>
      <c r="T9" s="86" t="n">
        <v>2</v>
      </c>
      <c r="U9" s="86" t="n">
        <v>2</v>
      </c>
      <c r="V9" s="86" t="n">
        <v>65</v>
      </c>
      <c r="W9" s="87" t="n">
        <f aca="false">IF(C9&gt;=5,3,IF(C9&gt;=3,2,IF(C9&gt;=1,1,0)))</f>
        <v>2</v>
      </c>
      <c r="X9" s="88" t="n">
        <f aca="false">IF(D9&gt;40,3,IF(D9&gt;15,2,IF(D9&gt;5,1,0)))</f>
        <v>2</v>
      </c>
      <c r="Y9" s="89" t="n">
        <f aca="false">IF(E9&gt;=3,3,IF(E9&gt;=2,2,IF(E9&gt;=1,1,0)))</f>
        <v>2</v>
      </c>
      <c r="Z9" s="90" t="n">
        <f aca="false">IF(F9&gt;=3,3,IF(F9&gt;=2,2,IF(F9&gt;=1,1,0)))</f>
        <v>3</v>
      </c>
      <c r="AA9" s="91" t="n">
        <f aca="false">IF(G9&gt;=3,3,IF(G9&gt;=2,2,IF(G9&gt;=1,1,0)))</f>
        <v>3</v>
      </c>
      <c r="AB9" s="92" t="n">
        <f aca="false">IF(H9&gt;=3,3,IF(H9&gt;=2,2,IF(H9&gt;=1,1,0)))</f>
        <v>2</v>
      </c>
      <c r="AC9" s="93" t="n">
        <f aca="false">IF(I9&gt;=3,3,IF(I9&gt;=2,2,IF(I9&gt;=1,1,0)))</f>
        <v>3</v>
      </c>
      <c r="AD9" s="94" t="n">
        <f aca="false">IF(J9&gt;=3,3,IF(J9&gt;=2,2,IF(J9&gt;=1,1,0)))</f>
        <v>2</v>
      </c>
      <c r="AE9" s="95" t="n">
        <f aca="false">IF(K9&gt;=3,3,IF(K9&gt;=2,2,IF(K9&gt;=1,1,0)))</f>
        <v>2</v>
      </c>
      <c r="AF9" s="90" t="n">
        <f aca="false">IF(L9&gt;=3,3,IF(L9&gt;=2,2,IF(L9&gt;=1,1,0)))</f>
        <v>2</v>
      </c>
      <c r="AG9" s="96" t="n">
        <f aca="false">IF(M9&gt;=3,3,IF(M9&gt;=2,2,IF(M9&gt;=1,1,0)))</f>
        <v>2</v>
      </c>
      <c r="AH9" s="88" t="n">
        <f aca="false">IF(N9&gt;=3,3,IF(N9&gt;=2,2,IF(N9&gt;=1,1,0)))</f>
        <v>2</v>
      </c>
      <c r="AI9" s="89" t="n">
        <f aca="false">IF(O9&gt;=3,3,IF(O9&gt;=2,2,IF(O9&gt;=1,1,0)))</f>
        <v>2</v>
      </c>
      <c r="AJ9" s="91" t="n">
        <f aca="false">IF(P9&gt;=3,3,IF(P9&gt;=2,2,IF(P9&gt;=1,1,0)))</f>
        <v>3</v>
      </c>
      <c r="AK9" s="91" t="n">
        <f aca="false">IF(Q9&gt;=3,3,IF(Q9&gt;=2,2,IF(Q9&gt;=1,1,0)))</f>
        <v>2</v>
      </c>
      <c r="AL9" s="93" t="n">
        <f aca="false">IF(R9&gt;60,3,IF(R9&gt;40,2,IF(R9&gt;25,1,0)))</f>
        <v>2</v>
      </c>
      <c r="AM9" s="90" t="n">
        <f aca="false">IF(S9&gt;70,3,IF(S9&gt;50,2,IF(S9&gt;40,1,0)))</f>
        <v>3</v>
      </c>
      <c r="AN9" s="94" t="n">
        <f aca="false">IF(T9&gt;=3,3,IF(T9&gt;=2,2,IF(T9&gt;=1,1,0)))</f>
        <v>2</v>
      </c>
      <c r="AO9" s="95" t="n">
        <f aca="false">IF(U9&gt;=3,3,IF(U9&gt;=2,2,IF(U9&gt;=1,1,0)))</f>
        <v>2</v>
      </c>
      <c r="AP9" s="90" t="n">
        <f aca="false">IF(V9&gt;70,3,IF(V9&gt;40,2,IF(V9&gt;0,1,0)))</f>
        <v>2</v>
      </c>
      <c r="AQ9" s="97" t="n">
        <f aca="false">IFERROR(SUMPRODUCT(C7:V7,W9:AP9)/SUM(C7:V7),0)</f>
        <v>2.25</v>
      </c>
      <c r="AR9" s="98" t="n">
        <f aca="false">IF(AQ9&gt;=2.5,3,IF(AQ9&gt;=1.5,2,IF(AQ9&gt;=0.5,1,0)))</f>
        <v>2</v>
      </c>
      <c r="AS9" s="99" t="str">
        <f aca="false">IF(AR9=0,"—",TEXT(AR9,"0"))</f>
        <v>2</v>
      </c>
      <c r="AT9" s="100" t="str">
        <f aca="false">IF(AR9=0,"—",TEXT(AR9,"0"))</f>
        <v>2</v>
      </c>
      <c r="AU9" s="100" t="str">
        <f aca="false">IF(AR9=0,"—",TEXT(AR9,"0"))</f>
        <v>2</v>
      </c>
      <c r="AV9" s="101" t="s">
        <v>9</v>
      </c>
      <c r="AW9" s="101" t="s">
        <v>9</v>
      </c>
      <c r="AX9" s="100" t="str">
        <f aca="false">IF(AR9=0,"—",TEXT(AR9,"0"))</f>
        <v>2</v>
      </c>
      <c r="AY9" s="101" t="s">
        <v>9</v>
      </c>
      <c r="AZ9" s="101" t="s">
        <v>9</v>
      </c>
      <c r="BA9" s="101" t="s">
        <v>9</v>
      </c>
      <c r="BB9" s="101" t="s">
        <v>9</v>
      </c>
      <c r="BC9" s="101" t="s">
        <v>9</v>
      </c>
      <c r="BD9" s="101" t="s">
        <v>9</v>
      </c>
      <c r="BE9" s="100" t="str">
        <f aca="false">IF(AR9=0,"—",TEXT(AR9,"0"))</f>
        <v>2</v>
      </c>
      <c r="BF9" s="101" t="s">
        <v>9</v>
      </c>
      <c r="BG9" s="101" t="s">
        <v>9</v>
      </c>
      <c r="BH9" s="101" t="s">
        <v>9</v>
      </c>
    </row>
    <row r="10" customFormat="false" ht="21.75" hidden="false" customHeight="true" outlineLevel="0" collapsed="false">
      <c r="A10" s="85" t="s">
        <v>162</v>
      </c>
      <c r="B10" s="53" t="s">
        <v>220</v>
      </c>
      <c r="C10" s="86" t="n">
        <v>4</v>
      </c>
      <c r="D10" s="86" t="n">
        <v>42</v>
      </c>
      <c r="E10" s="86" t="n">
        <v>3</v>
      </c>
      <c r="F10" s="86" t="n">
        <v>3</v>
      </c>
      <c r="G10" s="86" t="n">
        <v>3</v>
      </c>
      <c r="H10" s="86" t="n">
        <v>2</v>
      </c>
      <c r="I10" s="86" t="n">
        <v>3</v>
      </c>
      <c r="J10" s="86" t="n">
        <v>2</v>
      </c>
      <c r="K10" s="86" t="n">
        <v>2</v>
      </c>
      <c r="L10" s="86" t="n">
        <v>2</v>
      </c>
      <c r="M10" s="86" t="n">
        <v>3</v>
      </c>
      <c r="N10" s="86" t="n">
        <v>2</v>
      </c>
      <c r="O10" s="86" t="n">
        <v>2</v>
      </c>
      <c r="P10" s="86" t="n">
        <v>3</v>
      </c>
      <c r="Q10" s="86" t="n">
        <v>2</v>
      </c>
      <c r="R10" s="86" t="n">
        <v>52</v>
      </c>
      <c r="S10" s="86" t="n">
        <v>76</v>
      </c>
      <c r="T10" s="86" t="n">
        <v>3</v>
      </c>
      <c r="U10" s="86" t="n">
        <v>2</v>
      </c>
      <c r="V10" s="86" t="n">
        <v>70</v>
      </c>
      <c r="W10" s="87" t="n">
        <f aca="false">IF(C10&gt;=5,3,IF(C10&gt;=3,2,IF(C10&gt;=1,1,0)))</f>
        <v>2</v>
      </c>
      <c r="X10" s="88" t="n">
        <f aca="false">IF(D10&gt;40,3,IF(D10&gt;15,2,IF(D10&gt;5,1,0)))</f>
        <v>3</v>
      </c>
      <c r="Y10" s="89" t="n">
        <f aca="false">IF(E10&gt;=3,3,IF(E10&gt;=2,2,IF(E10&gt;=1,1,0)))</f>
        <v>3</v>
      </c>
      <c r="Z10" s="90" t="n">
        <f aca="false">IF(F10&gt;=3,3,IF(F10&gt;=2,2,IF(F10&gt;=1,1,0)))</f>
        <v>3</v>
      </c>
      <c r="AA10" s="91" t="n">
        <f aca="false">IF(G10&gt;=3,3,IF(G10&gt;=2,2,IF(G10&gt;=1,1,0)))</f>
        <v>3</v>
      </c>
      <c r="AB10" s="92" t="n">
        <f aca="false">IF(H10&gt;=3,3,IF(H10&gt;=2,2,IF(H10&gt;=1,1,0)))</f>
        <v>2</v>
      </c>
      <c r="AC10" s="93" t="n">
        <f aca="false">IF(I10&gt;=3,3,IF(I10&gt;=2,2,IF(I10&gt;=1,1,0)))</f>
        <v>3</v>
      </c>
      <c r="AD10" s="94" t="n">
        <f aca="false">IF(J10&gt;=3,3,IF(J10&gt;=2,2,IF(J10&gt;=1,1,0)))</f>
        <v>2</v>
      </c>
      <c r="AE10" s="95" t="n">
        <f aca="false">IF(K10&gt;=3,3,IF(K10&gt;=2,2,IF(K10&gt;=1,1,0)))</f>
        <v>2</v>
      </c>
      <c r="AF10" s="90" t="n">
        <f aca="false">IF(L10&gt;=3,3,IF(L10&gt;=2,2,IF(L10&gt;=1,1,0)))</f>
        <v>2</v>
      </c>
      <c r="AG10" s="96" t="n">
        <f aca="false">IF(M10&gt;=3,3,IF(M10&gt;=2,2,IF(M10&gt;=1,1,0)))</f>
        <v>3</v>
      </c>
      <c r="AH10" s="88" t="n">
        <f aca="false">IF(N10&gt;=3,3,IF(N10&gt;=2,2,IF(N10&gt;=1,1,0)))</f>
        <v>2</v>
      </c>
      <c r="AI10" s="89" t="n">
        <f aca="false">IF(O10&gt;=3,3,IF(O10&gt;=2,2,IF(O10&gt;=1,1,0)))</f>
        <v>2</v>
      </c>
      <c r="AJ10" s="91" t="n">
        <f aca="false">IF(P10&gt;=3,3,IF(P10&gt;=2,2,IF(P10&gt;=1,1,0)))</f>
        <v>3</v>
      </c>
      <c r="AK10" s="91" t="n">
        <f aca="false">IF(Q10&gt;=3,3,IF(Q10&gt;=2,2,IF(Q10&gt;=1,1,0)))</f>
        <v>2</v>
      </c>
      <c r="AL10" s="93" t="n">
        <f aca="false">IF(R10&gt;60,3,IF(R10&gt;40,2,IF(R10&gt;25,1,0)))</f>
        <v>2</v>
      </c>
      <c r="AM10" s="90" t="n">
        <f aca="false">IF(S10&gt;70,3,IF(S10&gt;50,2,IF(S10&gt;40,1,0)))</f>
        <v>3</v>
      </c>
      <c r="AN10" s="94" t="n">
        <f aca="false">IF(T10&gt;=3,3,IF(T10&gt;=2,2,IF(T10&gt;=1,1,0)))</f>
        <v>3</v>
      </c>
      <c r="AO10" s="95" t="n">
        <f aca="false">IF(U10&gt;=3,3,IF(U10&gt;=2,2,IF(U10&gt;=1,1,0)))</f>
        <v>2</v>
      </c>
      <c r="AP10" s="90" t="n">
        <f aca="false">IF(V10&gt;70,3,IF(V10&gt;40,2,IF(V10&gt;0,1,0)))</f>
        <v>2</v>
      </c>
      <c r="AQ10" s="97" t="n">
        <f aca="false">IFERROR(SUMPRODUCT(C7:V7,W10:AP10)/SUM(C7:V7),0)</f>
        <v>2.45</v>
      </c>
      <c r="AR10" s="98" t="n">
        <f aca="false">IF(AQ10&gt;=2.5,3,IF(AQ10&gt;=1.5,2,IF(AQ10&gt;=0.5,1,0)))</f>
        <v>2</v>
      </c>
      <c r="AS10" s="99" t="str">
        <f aca="false">IF(AR10=0,"—",TEXT(AR10,"0"))</f>
        <v>2</v>
      </c>
      <c r="AT10" s="102" t="str">
        <f aca="false">IF(AR10=0,"—",TEXT(AR10,"0"))</f>
        <v>2</v>
      </c>
      <c r="AU10" s="102" t="str">
        <f aca="false">IF(AR10=0,"—",TEXT(AR10,"0"))</f>
        <v>2</v>
      </c>
      <c r="AV10" s="102" t="str">
        <f aca="false">IF(AR10=0,"—",TEXT(AR10,"0"))</f>
        <v>2</v>
      </c>
      <c r="AW10" s="103" t="s">
        <v>9</v>
      </c>
      <c r="AX10" s="102" t="str">
        <f aca="false">IF(AR10=0,"—",TEXT(AR10,"0"))</f>
        <v>2</v>
      </c>
      <c r="AY10" s="103" t="s">
        <v>9</v>
      </c>
      <c r="AZ10" s="103" t="s">
        <v>9</v>
      </c>
      <c r="BA10" s="103" t="s">
        <v>9</v>
      </c>
      <c r="BB10" s="103" t="s">
        <v>9</v>
      </c>
      <c r="BC10" s="103" t="s">
        <v>9</v>
      </c>
      <c r="BD10" s="103" t="s">
        <v>9</v>
      </c>
      <c r="BE10" s="102" t="str">
        <f aca="false">IF(AR10=0,"—",TEXT(AR10,"0"))</f>
        <v>2</v>
      </c>
      <c r="BF10" s="103" t="s">
        <v>9</v>
      </c>
      <c r="BG10" s="103" t="s">
        <v>9</v>
      </c>
      <c r="BH10" s="103" t="s">
        <v>9</v>
      </c>
    </row>
    <row r="11" customFormat="false" ht="21.75" hidden="false" customHeight="true" outlineLevel="0" collapsed="false">
      <c r="A11" s="85" t="s">
        <v>164</v>
      </c>
      <c r="B11" s="50" t="s">
        <v>221</v>
      </c>
      <c r="C11" s="86" t="n">
        <v>6</v>
      </c>
      <c r="D11" s="86" t="n">
        <v>50</v>
      </c>
      <c r="E11" s="86" t="n">
        <v>3</v>
      </c>
      <c r="F11" s="86" t="n">
        <v>3</v>
      </c>
      <c r="G11" s="86" t="n">
        <v>3</v>
      </c>
      <c r="H11" s="86" t="n">
        <v>3</v>
      </c>
      <c r="I11" s="86" t="n">
        <v>3</v>
      </c>
      <c r="J11" s="86" t="n">
        <v>2</v>
      </c>
      <c r="K11" s="86" t="n">
        <v>3</v>
      </c>
      <c r="L11" s="86" t="n">
        <v>3</v>
      </c>
      <c r="M11" s="86" t="n">
        <v>3</v>
      </c>
      <c r="N11" s="86" t="n">
        <v>3</v>
      </c>
      <c r="O11" s="86" t="n">
        <v>3</v>
      </c>
      <c r="P11" s="86" t="n">
        <v>3</v>
      </c>
      <c r="Q11" s="86" t="n">
        <v>3</v>
      </c>
      <c r="R11" s="86" t="n">
        <v>65</v>
      </c>
      <c r="S11" s="86" t="n">
        <v>85</v>
      </c>
      <c r="T11" s="86" t="n">
        <v>3</v>
      </c>
      <c r="U11" s="86" t="n">
        <v>3</v>
      </c>
      <c r="V11" s="86" t="n">
        <v>80</v>
      </c>
      <c r="W11" s="87" t="n">
        <f aca="false">IF(C11&gt;=5,3,IF(C11&gt;=3,2,IF(C11&gt;=1,1,0)))</f>
        <v>3</v>
      </c>
      <c r="X11" s="88" t="n">
        <f aca="false">IF(D11&gt;40,3,IF(D11&gt;15,2,IF(D11&gt;5,1,0)))</f>
        <v>3</v>
      </c>
      <c r="Y11" s="89" t="n">
        <f aca="false">IF(E11&gt;=3,3,IF(E11&gt;=2,2,IF(E11&gt;=1,1,0)))</f>
        <v>3</v>
      </c>
      <c r="Z11" s="90" t="n">
        <f aca="false">IF(F11&gt;=3,3,IF(F11&gt;=2,2,IF(F11&gt;=1,1,0)))</f>
        <v>3</v>
      </c>
      <c r="AA11" s="91" t="n">
        <f aca="false">IF(G11&gt;=3,3,IF(G11&gt;=2,2,IF(G11&gt;=1,1,0)))</f>
        <v>3</v>
      </c>
      <c r="AB11" s="92" t="n">
        <f aca="false">IF(H11&gt;=3,3,IF(H11&gt;=2,2,IF(H11&gt;=1,1,0)))</f>
        <v>3</v>
      </c>
      <c r="AC11" s="93" t="n">
        <f aca="false">IF(I11&gt;=3,3,IF(I11&gt;=2,2,IF(I11&gt;=1,1,0)))</f>
        <v>3</v>
      </c>
      <c r="AD11" s="94" t="n">
        <f aca="false">IF(J11&gt;=3,3,IF(J11&gt;=2,2,IF(J11&gt;=1,1,0)))</f>
        <v>2</v>
      </c>
      <c r="AE11" s="95" t="n">
        <f aca="false">IF(K11&gt;=3,3,IF(K11&gt;=2,2,IF(K11&gt;=1,1,0)))</f>
        <v>3</v>
      </c>
      <c r="AF11" s="90" t="n">
        <f aca="false">IF(L11&gt;=3,3,IF(L11&gt;=2,2,IF(L11&gt;=1,1,0)))</f>
        <v>3</v>
      </c>
      <c r="AG11" s="96" t="n">
        <f aca="false">IF(M11&gt;=3,3,IF(M11&gt;=2,2,IF(M11&gt;=1,1,0)))</f>
        <v>3</v>
      </c>
      <c r="AH11" s="88" t="n">
        <f aca="false">IF(N11&gt;=3,3,IF(N11&gt;=2,2,IF(N11&gt;=1,1,0)))</f>
        <v>3</v>
      </c>
      <c r="AI11" s="89" t="n">
        <f aca="false">IF(O11&gt;=3,3,IF(O11&gt;=2,2,IF(O11&gt;=1,1,0)))</f>
        <v>3</v>
      </c>
      <c r="AJ11" s="91" t="n">
        <f aca="false">IF(P11&gt;=3,3,IF(P11&gt;=2,2,IF(P11&gt;=1,1,0)))</f>
        <v>3</v>
      </c>
      <c r="AK11" s="91" t="n">
        <f aca="false">IF(Q11&gt;=3,3,IF(Q11&gt;=2,2,IF(Q11&gt;=1,1,0)))</f>
        <v>3</v>
      </c>
      <c r="AL11" s="93" t="n">
        <f aca="false">IF(R11&gt;60,3,IF(R11&gt;40,2,IF(R11&gt;25,1,0)))</f>
        <v>3</v>
      </c>
      <c r="AM11" s="90" t="n">
        <f aca="false">IF(S11&gt;70,3,IF(S11&gt;50,2,IF(S11&gt;40,1,0)))</f>
        <v>3</v>
      </c>
      <c r="AN11" s="94" t="n">
        <f aca="false">IF(T11&gt;=3,3,IF(T11&gt;=2,2,IF(T11&gt;=1,1,0)))</f>
        <v>3</v>
      </c>
      <c r="AO11" s="95" t="n">
        <f aca="false">IF(U11&gt;=3,3,IF(U11&gt;=2,2,IF(U11&gt;=1,1,0)))</f>
        <v>3</v>
      </c>
      <c r="AP11" s="90" t="n">
        <f aca="false">IF(V11&gt;70,3,IF(V11&gt;40,2,IF(V11&gt;0,1,0)))</f>
        <v>3</v>
      </c>
      <c r="AQ11" s="97" t="n">
        <f aca="false">IFERROR(SUMPRODUCT(C7:V7,W11:AP11)/SUM(C7:V7),0)</f>
        <v>2.95</v>
      </c>
      <c r="AR11" s="98" t="n">
        <f aca="false">IF(AQ11&gt;=2.5,3,IF(AQ11&gt;=1.5,2,IF(AQ11&gt;=0.5,1,0)))</f>
        <v>3</v>
      </c>
      <c r="AS11" s="99" t="str">
        <f aca="false">IF(AR11=0,"—",TEXT(AR11,"0"))</f>
        <v>3</v>
      </c>
      <c r="AT11" s="100" t="str">
        <f aca="false">IF(AR11=0,"—",TEXT(AR11,"0"))</f>
        <v>3</v>
      </c>
      <c r="AU11" s="100" t="str">
        <f aca="false">IF(AR11=0,"—",TEXT(AR11,"0"))</f>
        <v>3</v>
      </c>
      <c r="AV11" s="100" t="str">
        <f aca="false">IF(AR11=0,"—",TEXT(AR11,"0"))</f>
        <v>3</v>
      </c>
      <c r="AW11" s="101" t="s">
        <v>9</v>
      </c>
      <c r="AX11" s="100" t="str">
        <f aca="false">IF(AR11=0,"—",TEXT(AR11,"0"))</f>
        <v>3</v>
      </c>
      <c r="AY11" s="101" t="s">
        <v>9</v>
      </c>
      <c r="AZ11" s="101" t="s">
        <v>9</v>
      </c>
      <c r="BA11" s="101" t="s">
        <v>9</v>
      </c>
      <c r="BB11" s="101" t="s">
        <v>9</v>
      </c>
      <c r="BC11" s="101" t="s">
        <v>9</v>
      </c>
      <c r="BD11" s="101" t="s">
        <v>9</v>
      </c>
      <c r="BE11" s="100" t="str">
        <f aca="false">IF(AR11=0,"—",TEXT(AR11,"0"))</f>
        <v>3</v>
      </c>
      <c r="BF11" s="101" t="s">
        <v>9</v>
      </c>
      <c r="BG11" s="101" t="s">
        <v>9</v>
      </c>
      <c r="BH11" s="101" t="s">
        <v>9</v>
      </c>
    </row>
    <row r="12" customFormat="false" ht="21.75" hidden="false" customHeight="true" outlineLevel="0" collapsed="false">
      <c r="A12" s="85" t="s">
        <v>166</v>
      </c>
      <c r="B12" s="53" t="s">
        <v>222</v>
      </c>
      <c r="C12" s="86" t="n">
        <v>4</v>
      </c>
      <c r="D12" s="86" t="n">
        <v>40</v>
      </c>
      <c r="E12" s="86" t="n">
        <v>3</v>
      </c>
      <c r="F12" s="86" t="n">
        <v>3</v>
      </c>
      <c r="G12" s="86" t="n">
        <v>3</v>
      </c>
      <c r="H12" s="86" t="n">
        <v>2</v>
      </c>
      <c r="I12" s="86" t="n">
        <v>3</v>
      </c>
      <c r="J12" s="86" t="n">
        <v>2</v>
      </c>
      <c r="K12" s="86" t="n">
        <v>2</v>
      </c>
      <c r="L12" s="86" t="n">
        <v>2</v>
      </c>
      <c r="M12" s="86" t="n">
        <v>3</v>
      </c>
      <c r="N12" s="86" t="n">
        <v>2</v>
      </c>
      <c r="O12" s="86" t="n">
        <v>2</v>
      </c>
      <c r="P12" s="86" t="n">
        <v>3</v>
      </c>
      <c r="Q12" s="86" t="n">
        <v>2</v>
      </c>
      <c r="R12" s="86" t="n">
        <v>50</v>
      </c>
      <c r="S12" s="86" t="n">
        <v>74</v>
      </c>
      <c r="T12" s="86" t="n">
        <v>2</v>
      </c>
      <c r="U12" s="86" t="n">
        <v>2</v>
      </c>
      <c r="V12" s="86" t="n">
        <v>65</v>
      </c>
      <c r="W12" s="87" t="n">
        <f aca="false">IF(C12&gt;=5,3,IF(C12&gt;=3,2,IF(C12&gt;=1,1,0)))</f>
        <v>2</v>
      </c>
      <c r="X12" s="88" t="n">
        <f aca="false">IF(D12&gt;40,3,IF(D12&gt;15,2,IF(D12&gt;5,1,0)))</f>
        <v>2</v>
      </c>
      <c r="Y12" s="89" t="n">
        <f aca="false">IF(E12&gt;=3,3,IF(E12&gt;=2,2,IF(E12&gt;=1,1,0)))</f>
        <v>3</v>
      </c>
      <c r="Z12" s="90" t="n">
        <f aca="false">IF(F12&gt;=3,3,IF(F12&gt;=2,2,IF(F12&gt;=1,1,0)))</f>
        <v>3</v>
      </c>
      <c r="AA12" s="91" t="n">
        <f aca="false">IF(G12&gt;=3,3,IF(G12&gt;=2,2,IF(G12&gt;=1,1,0)))</f>
        <v>3</v>
      </c>
      <c r="AB12" s="92" t="n">
        <f aca="false">IF(H12&gt;=3,3,IF(H12&gt;=2,2,IF(H12&gt;=1,1,0)))</f>
        <v>2</v>
      </c>
      <c r="AC12" s="93" t="n">
        <f aca="false">IF(I12&gt;=3,3,IF(I12&gt;=2,2,IF(I12&gt;=1,1,0)))</f>
        <v>3</v>
      </c>
      <c r="AD12" s="94" t="n">
        <f aca="false">IF(J12&gt;=3,3,IF(J12&gt;=2,2,IF(J12&gt;=1,1,0)))</f>
        <v>2</v>
      </c>
      <c r="AE12" s="95" t="n">
        <f aca="false">IF(K12&gt;=3,3,IF(K12&gt;=2,2,IF(K12&gt;=1,1,0)))</f>
        <v>2</v>
      </c>
      <c r="AF12" s="90" t="n">
        <f aca="false">IF(L12&gt;=3,3,IF(L12&gt;=2,2,IF(L12&gt;=1,1,0)))</f>
        <v>2</v>
      </c>
      <c r="AG12" s="96" t="n">
        <f aca="false">IF(M12&gt;=3,3,IF(M12&gt;=2,2,IF(M12&gt;=1,1,0)))</f>
        <v>3</v>
      </c>
      <c r="AH12" s="88" t="n">
        <f aca="false">IF(N12&gt;=3,3,IF(N12&gt;=2,2,IF(N12&gt;=1,1,0)))</f>
        <v>2</v>
      </c>
      <c r="AI12" s="89" t="n">
        <f aca="false">IF(O12&gt;=3,3,IF(O12&gt;=2,2,IF(O12&gt;=1,1,0)))</f>
        <v>2</v>
      </c>
      <c r="AJ12" s="91" t="n">
        <f aca="false">IF(P12&gt;=3,3,IF(P12&gt;=2,2,IF(P12&gt;=1,1,0)))</f>
        <v>3</v>
      </c>
      <c r="AK12" s="91" t="n">
        <f aca="false">IF(Q12&gt;=3,3,IF(Q12&gt;=2,2,IF(Q12&gt;=1,1,0)))</f>
        <v>2</v>
      </c>
      <c r="AL12" s="93" t="n">
        <f aca="false">IF(R12&gt;60,3,IF(R12&gt;40,2,IF(R12&gt;25,1,0)))</f>
        <v>2</v>
      </c>
      <c r="AM12" s="90" t="n">
        <f aca="false">IF(S12&gt;70,3,IF(S12&gt;50,2,IF(S12&gt;40,1,0)))</f>
        <v>3</v>
      </c>
      <c r="AN12" s="94" t="n">
        <f aca="false">IF(T12&gt;=3,3,IF(T12&gt;=2,2,IF(T12&gt;=1,1,0)))</f>
        <v>2</v>
      </c>
      <c r="AO12" s="95" t="n">
        <f aca="false">IF(U12&gt;=3,3,IF(U12&gt;=2,2,IF(U12&gt;=1,1,0)))</f>
        <v>2</v>
      </c>
      <c r="AP12" s="90" t="n">
        <f aca="false">IF(V12&gt;70,3,IF(V12&gt;40,2,IF(V12&gt;0,1,0)))</f>
        <v>2</v>
      </c>
      <c r="AQ12" s="97" t="n">
        <f aca="false">IFERROR(SUMPRODUCT(C7:V7,W12:AP12)/SUM(C7:V7),0)</f>
        <v>2.35</v>
      </c>
      <c r="AR12" s="98" t="n">
        <f aca="false">IF(AQ12&gt;=2.5,3,IF(AQ12&gt;=1.5,2,IF(AQ12&gt;=0.5,1,0)))</f>
        <v>2</v>
      </c>
      <c r="AS12" s="99" t="str">
        <f aca="false">IF(AR12=0,"—",TEXT(AR12,"0"))</f>
        <v>2</v>
      </c>
      <c r="AT12" s="102" t="str">
        <f aca="false">IF(AR12=0,"—",TEXT(AR12,"0"))</f>
        <v>2</v>
      </c>
      <c r="AU12" s="102" t="str">
        <f aca="false">IF(AR12=0,"—",TEXT(AR12,"0"))</f>
        <v>2</v>
      </c>
      <c r="AV12" s="103" t="s">
        <v>9</v>
      </c>
      <c r="AW12" s="102" t="str">
        <f aca="false">IF(AR12=0,"—",TEXT(AR12,"0"))</f>
        <v>2</v>
      </c>
      <c r="AX12" s="102" t="str">
        <f aca="false">IF(AR12=0,"—",TEXT(AR12,"0"))</f>
        <v>2</v>
      </c>
      <c r="AY12" s="103" t="s">
        <v>9</v>
      </c>
      <c r="AZ12" s="103" t="s">
        <v>9</v>
      </c>
      <c r="BA12" s="103" t="s">
        <v>9</v>
      </c>
      <c r="BB12" s="103" t="s">
        <v>9</v>
      </c>
      <c r="BC12" s="103" t="s">
        <v>9</v>
      </c>
      <c r="BD12" s="103" t="s">
        <v>9</v>
      </c>
      <c r="BE12" s="102" t="str">
        <f aca="false">IF(AR12=0,"—",TEXT(AR12,"0"))</f>
        <v>2</v>
      </c>
      <c r="BF12" s="103" t="s">
        <v>9</v>
      </c>
      <c r="BG12" s="103" t="s">
        <v>9</v>
      </c>
      <c r="BH12" s="103" t="s">
        <v>9</v>
      </c>
    </row>
    <row r="13" customFormat="false" ht="21.75" hidden="false" customHeight="true" outlineLevel="0" collapsed="false">
      <c r="A13" s="85" t="s">
        <v>168</v>
      </c>
      <c r="B13" s="50" t="s">
        <v>223</v>
      </c>
      <c r="C13" s="86" t="n">
        <v>5</v>
      </c>
      <c r="D13" s="86" t="n">
        <v>45</v>
      </c>
      <c r="E13" s="86" t="n">
        <v>3</v>
      </c>
      <c r="F13" s="86" t="n">
        <v>3</v>
      </c>
      <c r="G13" s="86" t="n">
        <v>3</v>
      </c>
      <c r="H13" s="86" t="n">
        <v>2</v>
      </c>
      <c r="I13" s="86" t="n">
        <v>3</v>
      </c>
      <c r="J13" s="86" t="n">
        <v>2</v>
      </c>
      <c r="K13" s="86" t="n">
        <v>2</v>
      </c>
      <c r="L13" s="86" t="n">
        <v>2</v>
      </c>
      <c r="M13" s="86" t="n">
        <v>3</v>
      </c>
      <c r="N13" s="86" t="n">
        <v>2</v>
      </c>
      <c r="O13" s="86" t="n">
        <v>2</v>
      </c>
      <c r="P13" s="86" t="n">
        <v>3</v>
      </c>
      <c r="Q13" s="86" t="n">
        <v>2</v>
      </c>
      <c r="R13" s="86" t="n">
        <v>55</v>
      </c>
      <c r="S13" s="86" t="n">
        <v>78</v>
      </c>
      <c r="T13" s="86" t="n">
        <v>3</v>
      </c>
      <c r="U13" s="86" t="n">
        <v>2</v>
      </c>
      <c r="V13" s="86" t="n">
        <v>72</v>
      </c>
      <c r="W13" s="87" t="n">
        <f aca="false">IF(C13&gt;=5,3,IF(C13&gt;=3,2,IF(C13&gt;=1,1,0)))</f>
        <v>3</v>
      </c>
      <c r="X13" s="88" t="n">
        <f aca="false">IF(D13&gt;40,3,IF(D13&gt;15,2,IF(D13&gt;5,1,0)))</f>
        <v>3</v>
      </c>
      <c r="Y13" s="89" t="n">
        <f aca="false">IF(E13&gt;=3,3,IF(E13&gt;=2,2,IF(E13&gt;=1,1,0)))</f>
        <v>3</v>
      </c>
      <c r="Z13" s="90" t="n">
        <f aca="false">IF(F13&gt;=3,3,IF(F13&gt;=2,2,IF(F13&gt;=1,1,0)))</f>
        <v>3</v>
      </c>
      <c r="AA13" s="91" t="n">
        <f aca="false">IF(G13&gt;=3,3,IF(G13&gt;=2,2,IF(G13&gt;=1,1,0)))</f>
        <v>3</v>
      </c>
      <c r="AB13" s="92" t="n">
        <f aca="false">IF(H13&gt;=3,3,IF(H13&gt;=2,2,IF(H13&gt;=1,1,0)))</f>
        <v>2</v>
      </c>
      <c r="AC13" s="93" t="n">
        <f aca="false">IF(I13&gt;=3,3,IF(I13&gt;=2,2,IF(I13&gt;=1,1,0)))</f>
        <v>3</v>
      </c>
      <c r="AD13" s="94" t="n">
        <f aca="false">IF(J13&gt;=3,3,IF(J13&gt;=2,2,IF(J13&gt;=1,1,0)))</f>
        <v>2</v>
      </c>
      <c r="AE13" s="95" t="n">
        <f aca="false">IF(K13&gt;=3,3,IF(K13&gt;=2,2,IF(K13&gt;=1,1,0)))</f>
        <v>2</v>
      </c>
      <c r="AF13" s="90" t="n">
        <f aca="false">IF(L13&gt;=3,3,IF(L13&gt;=2,2,IF(L13&gt;=1,1,0)))</f>
        <v>2</v>
      </c>
      <c r="AG13" s="96" t="n">
        <f aca="false">IF(M13&gt;=3,3,IF(M13&gt;=2,2,IF(M13&gt;=1,1,0)))</f>
        <v>3</v>
      </c>
      <c r="AH13" s="88" t="n">
        <f aca="false">IF(N13&gt;=3,3,IF(N13&gt;=2,2,IF(N13&gt;=1,1,0)))</f>
        <v>2</v>
      </c>
      <c r="AI13" s="89" t="n">
        <f aca="false">IF(O13&gt;=3,3,IF(O13&gt;=2,2,IF(O13&gt;=1,1,0)))</f>
        <v>2</v>
      </c>
      <c r="AJ13" s="91" t="n">
        <f aca="false">IF(P13&gt;=3,3,IF(P13&gt;=2,2,IF(P13&gt;=1,1,0)))</f>
        <v>3</v>
      </c>
      <c r="AK13" s="91" t="n">
        <f aca="false">IF(Q13&gt;=3,3,IF(Q13&gt;=2,2,IF(Q13&gt;=1,1,0)))</f>
        <v>2</v>
      </c>
      <c r="AL13" s="93" t="n">
        <f aca="false">IF(R13&gt;60,3,IF(R13&gt;40,2,IF(R13&gt;25,1,0)))</f>
        <v>2</v>
      </c>
      <c r="AM13" s="90" t="n">
        <f aca="false">IF(S13&gt;70,3,IF(S13&gt;50,2,IF(S13&gt;40,1,0)))</f>
        <v>3</v>
      </c>
      <c r="AN13" s="94" t="n">
        <f aca="false">IF(T13&gt;=3,3,IF(T13&gt;=2,2,IF(T13&gt;=1,1,0)))</f>
        <v>3</v>
      </c>
      <c r="AO13" s="95" t="n">
        <f aca="false">IF(U13&gt;=3,3,IF(U13&gt;=2,2,IF(U13&gt;=1,1,0)))</f>
        <v>2</v>
      </c>
      <c r="AP13" s="90" t="n">
        <f aca="false">IF(V13&gt;70,3,IF(V13&gt;40,2,IF(V13&gt;0,1,0)))</f>
        <v>3</v>
      </c>
      <c r="AQ13" s="97" t="n">
        <f aca="false">IFERROR(SUMPRODUCT(C7:V7,W13:AP13)/SUM(C7:V7),0)</f>
        <v>2.55</v>
      </c>
      <c r="AR13" s="98" t="n">
        <f aca="false">IF(AQ13&gt;=2.5,3,IF(AQ13&gt;=1.5,2,IF(AQ13&gt;=0.5,1,0)))</f>
        <v>3</v>
      </c>
      <c r="AS13" s="99" t="str">
        <f aca="false">IF(AR13=0,"—",TEXT(AR13,"0"))</f>
        <v>3</v>
      </c>
      <c r="AT13" s="100" t="str">
        <f aca="false">IF(AR13=0,"—",TEXT(AR13,"0"))</f>
        <v>3</v>
      </c>
      <c r="AU13" s="100" t="str">
        <f aca="false">IF(AR13=0,"—",TEXT(AR13,"0"))</f>
        <v>3</v>
      </c>
      <c r="AV13" s="100" t="str">
        <f aca="false">IF(AR13=0,"—",TEXT(AR13,"0"))</f>
        <v>3</v>
      </c>
      <c r="AW13" s="100" t="str">
        <f aca="false">IF(AR13=0,"—",TEXT(AR13,"0"))</f>
        <v>3</v>
      </c>
      <c r="AX13" s="100" t="str">
        <f aca="false">IF(AR13=0,"—",TEXT(AR13,"0"))</f>
        <v>3</v>
      </c>
      <c r="AY13" s="101" t="s">
        <v>9</v>
      </c>
      <c r="AZ13" s="101" t="s">
        <v>9</v>
      </c>
      <c r="BA13" s="101" t="s">
        <v>9</v>
      </c>
      <c r="BB13" s="101" t="s">
        <v>9</v>
      </c>
      <c r="BC13" s="101" t="s">
        <v>9</v>
      </c>
      <c r="BD13" s="101" t="s">
        <v>9</v>
      </c>
      <c r="BE13" s="100" t="str">
        <f aca="false">IF(AR13=0,"—",TEXT(AR13,"0"))</f>
        <v>3</v>
      </c>
      <c r="BF13" s="101" t="s">
        <v>9</v>
      </c>
      <c r="BG13" s="101" t="s">
        <v>9</v>
      </c>
      <c r="BH13" s="101" t="s">
        <v>9</v>
      </c>
    </row>
    <row r="14" customFormat="false" ht="21.75" hidden="false" customHeight="true" outlineLevel="0" collapsed="false">
      <c r="A14" s="85" t="s">
        <v>198</v>
      </c>
      <c r="B14" s="53" t="s">
        <v>224</v>
      </c>
      <c r="C14" s="86" t="n">
        <v>6</v>
      </c>
      <c r="D14" s="86" t="n">
        <v>55</v>
      </c>
      <c r="E14" s="86" t="n">
        <v>3</v>
      </c>
      <c r="F14" s="86" t="n">
        <v>3</v>
      </c>
      <c r="G14" s="86" t="n">
        <v>3</v>
      </c>
      <c r="H14" s="86" t="n">
        <v>3</v>
      </c>
      <c r="I14" s="86" t="n">
        <v>3</v>
      </c>
      <c r="J14" s="86" t="n">
        <v>3</v>
      </c>
      <c r="K14" s="86" t="n">
        <v>3</v>
      </c>
      <c r="L14" s="86" t="n">
        <v>3</v>
      </c>
      <c r="M14" s="86" t="n">
        <v>3</v>
      </c>
      <c r="N14" s="86" t="n">
        <v>3</v>
      </c>
      <c r="O14" s="86" t="n">
        <v>3</v>
      </c>
      <c r="P14" s="86" t="n">
        <v>3</v>
      </c>
      <c r="Q14" s="86" t="n">
        <v>3</v>
      </c>
      <c r="R14" s="86" t="n">
        <v>68</v>
      </c>
      <c r="S14" s="86" t="n">
        <v>88</v>
      </c>
      <c r="T14" s="86" t="n">
        <v>3</v>
      </c>
      <c r="U14" s="86" t="n">
        <v>3</v>
      </c>
      <c r="V14" s="86" t="n">
        <v>82</v>
      </c>
      <c r="W14" s="87" t="n">
        <f aca="false">IF(C14&gt;=5,3,IF(C14&gt;=3,2,IF(C14&gt;=1,1,0)))</f>
        <v>3</v>
      </c>
      <c r="X14" s="88" t="n">
        <f aca="false">IF(D14&gt;40,3,IF(D14&gt;15,2,IF(D14&gt;5,1,0)))</f>
        <v>3</v>
      </c>
      <c r="Y14" s="89" t="n">
        <f aca="false">IF(E14&gt;=3,3,IF(E14&gt;=2,2,IF(E14&gt;=1,1,0)))</f>
        <v>3</v>
      </c>
      <c r="Z14" s="90" t="n">
        <f aca="false">IF(F14&gt;=3,3,IF(F14&gt;=2,2,IF(F14&gt;=1,1,0)))</f>
        <v>3</v>
      </c>
      <c r="AA14" s="91" t="n">
        <f aca="false">IF(G14&gt;=3,3,IF(G14&gt;=2,2,IF(G14&gt;=1,1,0)))</f>
        <v>3</v>
      </c>
      <c r="AB14" s="92" t="n">
        <f aca="false">IF(H14&gt;=3,3,IF(H14&gt;=2,2,IF(H14&gt;=1,1,0)))</f>
        <v>3</v>
      </c>
      <c r="AC14" s="93" t="n">
        <f aca="false">IF(I14&gt;=3,3,IF(I14&gt;=2,2,IF(I14&gt;=1,1,0)))</f>
        <v>3</v>
      </c>
      <c r="AD14" s="94" t="n">
        <f aca="false">IF(J14&gt;=3,3,IF(J14&gt;=2,2,IF(J14&gt;=1,1,0)))</f>
        <v>3</v>
      </c>
      <c r="AE14" s="95" t="n">
        <f aca="false">IF(K14&gt;=3,3,IF(K14&gt;=2,2,IF(K14&gt;=1,1,0)))</f>
        <v>3</v>
      </c>
      <c r="AF14" s="90" t="n">
        <f aca="false">IF(L14&gt;=3,3,IF(L14&gt;=2,2,IF(L14&gt;=1,1,0)))</f>
        <v>3</v>
      </c>
      <c r="AG14" s="96" t="n">
        <f aca="false">IF(M14&gt;=3,3,IF(M14&gt;=2,2,IF(M14&gt;=1,1,0)))</f>
        <v>3</v>
      </c>
      <c r="AH14" s="88" t="n">
        <f aca="false">IF(N14&gt;=3,3,IF(N14&gt;=2,2,IF(N14&gt;=1,1,0)))</f>
        <v>3</v>
      </c>
      <c r="AI14" s="89" t="n">
        <f aca="false">IF(O14&gt;=3,3,IF(O14&gt;=2,2,IF(O14&gt;=1,1,0)))</f>
        <v>3</v>
      </c>
      <c r="AJ14" s="91" t="n">
        <f aca="false">IF(P14&gt;=3,3,IF(P14&gt;=2,2,IF(P14&gt;=1,1,0)))</f>
        <v>3</v>
      </c>
      <c r="AK14" s="91" t="n">
        <f aca="false">IF(Q14&gt;=3,3,IF(Q14&gt;=2,2,IF(Q14&gt;=1,1,0)))</f>
        <v>3</v>
      </c>
      <c r="AL14" s="93" t="n">
        <f aca="false">IF(R14&gt;60,3,IF(R14&gt;40,2,IF(R14&gt;25,1,0)))</f>
        <v>3</v>
      </c>
      <c r="AM14" s="90" t="n">
        <f aca="false">IF(S14&gt;70,3,IF(S14&gt;50,2,IF(S14&gt;40,1,0)))</f>
        <v>3</v>
      </c>
      <c r="AN14" s="94" t="n">
        <f aca="false">IF(T14&gt;=3,3,IF(T14&gt;=2,2,IF(T14&gt;=1,1,0)))</f>
        <v>3</v>
      </c>
      <c r="AO14" s="95" t="n">
        <f aca="false">IF(U14&gt;=3,3,IF(U14&gt;=2,2,IF(U14&gt;=1,1,0)))</f>
        <v>3</v>
      </c>
      <c r="AP14" s="90" t="n">
        <f aca="false">IF(V14&gt;70,3,IF(V14&gt;40,2,IF(V14&gt;0,1,0)))</f>
        <v>3</v>
      </c>
      <c r="AQ14" s="97" t="n">
        <f aca="false">IFERROR(SUMPRODUCT(C7:V7,W14:AP14)/SUM(C7:V7),0)</f>
        <v>3</v>
      </c>
      <c r="AR14" s="98" t="n">
        <f aca="false">IF(AQ14&gt;=2.5,3,IF(AQ14&gt;=1.5,2,IF(AQ14&gt;=0.5,1,0)))</f>
        <v>3</v>
      </c>
      <c r="AS14" s="99" t="str">
        <f aca="false">IF(AR14=0,"—",TEXT(AR14,"0"))</f>
        <v>3</v>
      </c>
      <c r="AT14" s="102" t="str">
        <f aca="false">IF(AR14=0,"—",TEXT(AR14,"0"))</f>
        <v>3</v>
      </c>
      <c r="AU14" s="102" t="str">
        <f aca="false">IF(AR14=0,"—",TEXT(AR14,"0"))</f>
        <v>3</v>
      </c>
      <c r="AV14" s="102" t="str">
        <f aca="false">IF(AR14=0,"—",TEXT(AR14,"0"))</f>
        <v>3</v>
      </c>
      <c r="AW14" s="102" t="str">
        <f aca="false">IF(AR14=0,"—",TEXT(AR14,"0"))</f>
        <v>3</v>
      </c>
      <c r="AX14" s="102" t="str">
        <f aca="false">IF(AR14=0,"—",TEXT(AR14,"0"))</f>
        <v>3</v>
      </c>
      <c r="AY14" s="103" t="s">
        <v>9</v>
      </c>
      <c r="AZ14" s="103" t="s">
        <v>9</v>
      </c>
      <c r="BA14" s="102" t="str">
        <f aca="false">IF(AR14=0,"—",TEXT(AR14,"0"))</f>
        <v>3</v>
      </c>
      <c r="BB14" s="102" t="str">
        <f aca="false">IF(AR14=0,"—",TEXT(AR14,"0"))</f>
        <v>3</v>
      </c>
      <c r="BC14" s="102" t="str">
        <f aca="false">IF(AR14=0,"—",TEXT(AR14,"0"))</f>
        <v>3</v>
      </c>
      <c r="BD14" s="102" t="str">
        <f aca="false">IF(AR14=0,"—",TEXT(AR14,"0"))</f>
        <v>3</v>
      </c>
      <c r="BE14" s="102" t="str">
        <f aca="false">IF(AR14=0,"—",TEXT(AR14,"0"))</f>
        <v>3</v>
      </c>
      <c r="BF14" s="103" t="s">
        <v>9</v>
      </c>
      <c r="BG14" s="103" t="s">
        <v>9</v>
      </c>
      <c r="BH14" s="103" t="s">
        <v>9</v>
      </c>
    </row>
    <row r="16" customFormat="false" ht="21.75" hidden="false" customHeight="true" outlineLevel="0" collapsed="false">
      <c r="A16" s="104" t="s">
        <v>170</v>
      </c>
      <c r="B16" s="104"/>
      <c r="C16" s="105" t="n">
        <f aca="false">AVERAGE(C9:C14)</f>
        <v>4.66666666666667</v>
      </c>
      <c r="D16" s="105" t="n">
        <f aca="false">AVERAGE(D9:D14)</f>
        <v>45</v>
      </c>
      <c r="E16" s="105" t="n">
        <f aca="false">AVERAGE(E9:E14)</f>
        <v>2.83333333333333</v>
      </c>
      <c r="F16" s="105" t="n">
        <f aca="false">AVERAGE(F9:F14)</f>
        <v>3</v>
      </c>
      <c r="G16" s="105" t="n">
        <f aca="false">AVERAGE(G9:G14)</f>
        <v>3</v>
      </c>
      <c r="H16" s="105" t="n">
        <f aca="false">AVERAGE(H9:H14)</f>
        <v>2.33333333333333</v>
      </c>
      <c r="I16" s="105" t="n">
        <f aca="false">AVERAGE(I9:I14)</f>
        <v>3</v>
      </c>
      <c r="J16" s="105" t="n">
        <f aca="false">AVERAGE(J9:J14)</f>
        <v>2.16666666666667</v>
      </c>
      <c r="K16" s="105" t="n">
        <f aca="false">AVERAGE(K9:K14)</f>
        <v>2.33333333333333</v>
      </c>
      <c r="L16" s="105" t="n">
        <f aca="false">AVERAGE(L9:L14)</f>
        <v>2.33333333333333</v>
      </c>
      <c r="M16" s="105" t="n">
        <f aca="false">AVERAGE(M9:M14)</f>
        <v>2.83333333333333</v>
      </c>
      <c r="N16" s="105" t="n">
        <f aca="false">AVERAGE(N9:N14)</f>
        <v>2.33333333333333</v>
      </c>
      <c r="O16" s="105" t="n">
        <f aca="false">AVERAGE(O9:O14)</f>
        <v>2.33333333333333</v>
      </c>
      <c r="P16" s="105" t="n">
        <f aca="false">AVERAGE(P9:P14)</f>
        <v>3</v>
      </c>
      <c r="Q16" s="105" t="n">
        <f aca="false">AVERAGE(Q9:Q14)</f>
        <v>2.33333333333333</v>
      </c>
      <c r="R16" s="105" t="n">
        <f aca="false">AVERAGE(R9:R14)</f>
        <v>56.3333333333333</v>
      </c>
      <c r="S16" s="105" t="n">
        <f aca="false">AVERAGE(S9:S14)</f>
        <v>79.1666666666667</v>
      </c>
      <c r="T16" s="105" t="n">
        <f aca="false">AVERAGE(T9:T14)</f>
        <v>2.66666666666667</v>
      </c>
      <c r="U16" s="105" t="n">
        <f aca="false">AVERAGE(U9:U14)</f>
        <v>2.33333333333333</v>
      </c>
      <c r="V16" s="105" t="n">
        <f aca="false">AVERAGE(V9:V14)</f>
        <v>72.3333333333333</v>
      </c>
      <c r="W16" s="105" t="n">
        <f aca="false">AVERAGE(W9:W14)</f>
        <v>2.5</v>
      </c>
      <c r="X16" s="105" t="n">
        <f aca="false">AVERAGE(X9:X14)</f>
        <v>2.66666666666667</v>
      </c>
      <c r="Y16" s="105" t="n">
        <f aca="false">AVERAGE(Y9:Y14)</f>
        <v>2.83333333333333</v>
      </c>
      <c r="Z16" s="105" t="n">
        <f aca="false">AVERAGE(Z9:Z14)</f>
        <v>3</v>
      </c>
      <c r="AA16" s="105" t="n">
        <f aca="false">AVERAGE(AA9:AA14)</f>
        <v>3</v>
      </c>
      <c r="AB16" s="105" t="n">
        <f aca="false">AVERAGE(AB9:AB14)</f>
        <v>2.33333333333333</v>
      </c>
      <c r="AC16" s="105" t="n">
        <f aca="false">AVERAGE(AC9:AC14)</f>
        <v>3</v>
      </c>
      <c r="AD16" s="105" t="n">
        <f aca="false">AVERAGE(AD9:AD14)</f>
        <v>2.16666666666667</v>
      </c>
      <c r="AE16" s="105" t="n">
        <f aca="false">AVERAGE(AE9:AE14)</f>
        <v>2.33333333333333</v>
      </c>
      <c r="AF16" s="105" t="n">
        <f aca="false">AVERAGE(AF9:AF14)</f>
        <v>2.33333333333333</v>
      </c>
      <c r="AG16" s="105" t="n">
        <f aca="false">AVERAGE(AG9:AG14)</f>
        <v>2.83333333333333</v>
      </c>
      <c r="AH16" s="105" t="n">
        <f aca="false">AVERAGE(AH9:AH14)</f>
        <v>2.33333333333333</v>
      </c>
      <c r="AI16" s="105" t="n">
        <f aca="false">AVERAGE(AI9:AI14)</f>
        <v>2.33333333333333</v>
      </c>
      <c r="AJ16" s="105" t="n">
        <f aca="false">AVERAGE(AJ9:AJ14)</f>
        <v>3</v>
      </c>
      <c r="AK16" s="105" t="n">
        <f aca="false">AVERAGE(AK9:AK14)</f>
        <v>2.33333333333333</v>
      </c>
      <c r="AL16" s="105" t="n">
        <f aca="false">AVERAGE(AL9:AL14)</f>
        <v>2.33333333333333</v>
      </c>
      <c r="AM16" s="105" t="n">
        <f aca="false">AVERAGE(AM9:AM14)</f>
        <v>3</v>
      </c>
      <c r="AN16" s="105" t="n">
        <f aca="false">AVERAGE(AN9:AN14)</f>
        <v>2.66666666666667</v>
      </c>
      <c r="AO16" s="105" t="n">
        <f aca="false">AVERAGE(AO9:AO14)</f>
        <v>2.33333333333333</v>
      </c>
      <c r="AP16" s="105" t="n">
        <f aca="false">AVERAGE(AP9:AP14)</f>
        <v>2.5</v>
      </c>
      <c r="AQ16" s="106" t="n">
        <f aca="false">AVERAGE(AQ9:AQ14)</f>
        <v>2.59166666666667</v>
      </c>
      <c r="AR16" s="105" t="n">
        <f aca="false">AVERAGE(AR9:AR14)</f>
        <v>2.5</v>
      </c>
      <c r="AS16" s="107"/>
      <c r="AT16" s="105" t="str">
        <f aca="false">IFERROR(AVERAGEIF(AT9:AT14,"&lt;&gt;—"),"")</f>
        <v/>
      </c>
      <c r="AU16" s="105" t="str">
        <f aca="false">IFERROR(AVERAGEIF(AU9:AU14,"&lt;&gt;—"),"")</f>
        <v/>
      </c>
      <c r="AV16" s="105" t="str">
        <f aca="false">IFERROR(AVERAGEIF(AV9:AV14,"&lt;&gt;—"),"")</f>
        <v/>
      </c>
      <c r="AW16" s="105" t="str">
        <f aca="false">IFERROR(AVERAGEIF(AW9:AW14,"&lt;&gt;—"),"")</f>
        <v/>
      </c>
      <c r="AX16" s="105" t="str">
        <f aca="false">IFERROR(AVERAGEIF(AX9:AX14,"&lt;&gt;—"),"")</f>
        <v/>
      </c>
      <c r="AY16" s="105" t="str">
        <f aca="false">IFERROR(AVERAGEIF(AY9:AY14,"&lt;&gt;—"),"")</f>
        <v/>
      </c>
      <c r="AZ16" s="105" t="str">
        <f aca="false">IFERROR(AVERAGEIF(AZ9:AZ14,"&lt;&gt;—"),"")</f>
        <v/>
      </c>
      <c r="BA16" s="105" t="str">
        <f aca="false">IFERROR(AVERAGEIF(BA9:BA14,"&lt;&gt;—"),"")</f>
        <v/>
      </c>
      <c r="BB16" s="105" t="str">
        <f aca="false">IFERROR(AVERAGEIF(BB9:BB14,"&lt;&gt;—"),"")</f>
        <v/>
      </c>
      <c r="BC16" s="105" t="str">
        <f aca="false">IFERROR(AVERAGEIF(BC9:BC14,"&lt;&gt;—"),"")</f>
        <v/>
      </c>
      <c r="BD16" s="105" t="str">
        <f aca="false">IFERROR(AVERAGEIF(BD9:BD14,"&lt;&gt;—"),"")</f>
        <v/>
      </c>
      <c r="BE16" s="105" t="str">
        <f aca="false">IFERROR(AVERAGEIF(BE9:BE14,"&lt;&gt;—"),"")</f>
        <v/>
      </c>
      <c r="BF16" s="105" t="str">
        <f aca="false">IFERROR(AVERAGEIF(BF9:BF14,"&lt;&gt;—"),"")</f>
        <v/>
      </c>
      <c r="BG16" s="105" t="str">
        <f aca="false">IFERROR(AVERAGEIF(BG9:BG14,"&lt;&gt;—"),"")</f>
        <v/>
      </c>
      <c r="BH16" s="105" t="str">
        <f aca="false">IFERROR(AVERAGEIF(BH9:BH14,"&lt;&gt;—"),"")</f>
        <v/>
      </c>
    </row>
  </sheetData>
  <mergeCells count="10">
    <mergeCell ref="A1:BH1"/>
    <mergeCell ref="A2:BH2"/>
    <mergeCell ref="A4:B4"/>
    <mergeCell ref="C5:V5"/>
    <mergeCell ref="W5:AP5"/>
    <mergeCell ref="AT5:BE5"/>
    <mergeCell ref="BF5:BH5"/>
    <mergeCell ref="A7:B7"/>
    <mergeCell ref="A8:BH8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2026-05-12T06:04:12Z</dcterms:created>
  <dc:creator>openpyxl</dc:creator>
  <dc:description/>
  <dc:language>en-US</dc:language>
  <cp:lastModifiedBy/>
  <dcterms:modified xsi:type="dcterms:W3CDTF">2026-05-12T06:04:26Z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