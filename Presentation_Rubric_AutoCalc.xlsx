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bric Framework" sheetId="1" state="visible" r:id="rId3"/>
    <sheet name="Score Entry" sheetId="2" state="visible" r:id="rId4"/>
    <sheet name="Student Dashboard" sheetId="3" state="visible" r:id="rId5"/>
    <sheet name="Criterion Analysis" sheetId="4" state="visible" r:id="rId6"/>
    <sheet name="PO Attainment" sheetId="5" state="visible" r:id="rId7"/>
    <sheet name="Feedback Car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<sst xmlns="http://schemas.openxmlformats.org/spreadsheetml/2006/main" count="429" uniqueCount="282">
  <si>
    <t xml:space="preserve">PRESENTATION RUBRIC  —  EVALUATION FRAMEWORK</t>
  </si>
  <si>
    <t xml:space="preserve">Department of Computer Science &amp; Engineering  |  Academic Year 2024-25  |  Based on: Rubrics Guidelines Document — Section 2: Presentation Rubric</t>
  </si>
  <si>
    <t xml:space="preserve">SCORING SCALE</t>
  </si>
  <si>
    <t xml:space="preserve">4  —  Excellent</t>
  </si>
  <si>
    <t xml:space="preserve">3  —  Good</t>
  </si>
  <si>
    <t xml:space="preserve">2  —  Fair</t>
  </si>
  <si>
    <t xml:space="preserve">1  —  Poor</t>
  </si>
  <si>
    <t xml:space="preserve">Total Marks = Σ(Score × Criterion Weight × 25)  |  Maximum = 100  |  CO Attainment = Total / 100</t>
  </si>
  <si>
    <t xml:space="preserve">#</t>
  </si>
  <si>
    <t xml:space="preserve">Criteria</t>
  </si>
  <si>
    <t xml:space="preserve">Weight</t>
  </si>
  <si>
    <t xml:space="preserve">Max
Marks</t>
  </si>
  <si>
    <t xml:space="preserve">Excellent (4)</t>
  </si>
  <si>
    <t xml:space="preserve">Good (3)</t>
  </si>
  <si>
    <t xml:space="preserve">Fair (2)</t>
  </si>
  <si>
    <t xml:space="preserve">Poor (1)</t>
  </si>
  <si>
    <t xml:space="preserve">Skill
Assessed</t>
  </si>
  <si>
    <t xml:space="preserve">PO Link</t>
  </si>
  <si>
    <t xml:space="preserve">Subject Knowledge</t>
  </si>
  <si>
    <t xml:space="preserve">Excellent mastery of topic; answers all questions confidently with depth and accuracy</t>
  </si>
  <si>
    <t xml:space="preserve">Good understanding of the topic; minor gaps in advanced concepts</t>
  </si>
  <si>
    <t xml:space="preserve">Moderate understanding; struggles with in-depth questions</t>
  </si>
  <si>
    <t xml:space="preserve">Weak understanding; unable to answer basic questions</t>
  </si>
  <si>
    <t xml:space="preserve">Cognitive / Technical</t>
  </si>
  <si>
    <t xml:space="preserve">PO1, PO2</t>
  </si>
  <si>
    <t xml:space="preserve">Communication Skills</t>
  </si>
  <si>
    <t xml:space="preserve">Clear, confident, fluent delivery; excellent vocabulary and pace</t>
  </si>
  <si>
    <t xml:space="preserve">Mostly clear delivery with minor hesitations; good vocabulary</t>
  </si>
  <si>
    <t xml:space="preserve">Moderate clarity; noticeable hesitation and limited vocabulary</t>
  </si>
  <si>
    <t xml:space="preserve">Poor communication; unclear delivery and very limited expression</t>
  </si>
  <si>
    <t xml:space="preserve">Verbal Communication</t>
  </si>
  <si>
    <t xml:space="preserve">PO10</t>
  </si>
  <si>
    <t xml:space="preserve">Presentation Organization</t>
  </si>
  <si>
    <t xml:space="preserve">Highly organized; clear introduction, logical flow, strong conclusion</t>
  </si>
  <si>
    <t xml:space="preserve">Well organized with minor structural issues</t>
  </si>
  <si>
    <t xml:space="preserve">Partially organized; some sections lack logical flow</t>
  </si>
  <si>
    <t xml:space="preserve">Disorganized; no clear structure; ideas presented randomly</t>
  </si>
  <si>
    <t xml:space="preserve">Planning / Structure</t>
  </si>
  <si>
    <t xml:space="preserve">PO10, PO11</t>
  </si>
  <si>
    <t xml:space="preserve">Visual Aids</t>
  </si>
  <si>
    <t xml:space="preserve">Effective, professional slides; appropriate use of visuals, diagrams and data</t>
  </si>
  <si>
    <t xml:space="preserve">Good visual support; minor design issues</t>
  </si>
  <si>
    <t xml:space="preserve">Limited effectiveness; cluttered or poorly designed slides</t>
  </si>
  <si>
    <t xml:space="preserve">Poor or no visual aids; slides are unreadable or absent</t>
  </si>
  <si>
    <t xml:space="preserve">Technical Design</t>
  </si>
  <si>
    <t xml:space="preserve">PO5, PO10</t>
  </si>
  <si>
    <t xml:space="preserve">Audience Interaction</t>
  </si>
  <si>
    <t xml:space="preserve">Excellent audience engagement; encourages questions and discussion</t>
  </si>
  <si>
    <t xml:space="preserve">Good interaction; responds well to audience questions</t>
  </si>
  <si>
    <t xml:space="preserve">Limited interaction; mostly one-way presentation</t>
  </si>
  <si>
    <t xml:space="preserve">No interaction with audience; ignores questions</t>
  </si>
  <si>
    <t xml:space="preserve">Teamwork / Leadership</t>
  </si>
  <si>
    <t xml:space="preserve">PO9</t>
  </si>
  <si>
    <t xml:space="preserve">Time Management</t>
  </si>
  <si>
    <t xml:space="preserve">Excellent time management; completes within allotted time perfectly</t>
  </si>
  <si>
    <t xml:space="preserve">Minor deviation from allotted time; well-managed</t>
  </si>
  <si>
    <t xml:space="preserve">Moderate deviation; either too short or too long</t>
  </si>
  <si>
    <t xml:space="preserve">Poor time management; significantly over/under time</t>
  </si>
  <si>
    <t xml:space="preserve">Project Management</t>
  </si>
  <si>
    <t xml:space="preserve">PO11</t>
  </si>
  <si>
    <t xml:space="preserve">Confidence &amp; Professionalism</t>
  </si>
  <si>
    <t xml:space="preserve">Highly confident, professional demeanor, strong eye contact</t>
  </si>
  <si>
    <t xml:space="preserve">Good professionalism; mostly confident with minor lapses</t>
  </si>
  <si>
    <t xml:space="preserve">Moderate confidence; nervous behavior visible</t>
  </si>
  <si>
    <t xml:space="preserve">Weak professionalism; very nervous or unprofessional</t>
  </si>
  <si>
    <t xml:space="preserve">Professional Behavior</t>
  </si>
  <si>
    <t xml:space="preserve">PO9, PO12</t>
  </si>
  <si>
    <t xml:space="preserve">TOTAL</t>
  </si>
  <si>
    <t xml:space="preserve">100%</t>
  </si>
  <si>
    <t xml:space="preserve">100</t>
  </si>
  <si>
    <t xml:space="preserve">OBJECTIVES OF PRESENTATION RUBRIC</t>
  </si>
  <si>
    <t xml:space="preserve">  ✔  Assess verbal communication, clarity and language proficiency</t>
  </si>
  <si>
    <t xml:space="preserve">  ✔  Evaluate subject knowledge, technical accuracy and depth</t>
  </si>
  <si>
    <t xml:space="preserve">  ✔  Measure presentation structure, logic and organization</t>
  </si>
  <si>
    <t xml:space="preserve">  ✔  Assess professional behavior, confidence and audience engagement</t>
  </si>
  <si>
    <t xml:space="preserve">  ✔  Support CO/PO attainment through structured rubric scoring</t>
  </si>
  <si>
    <t xml:space="preserve">SKILLS ASSESSED  &amp;  RELATED PROGRAMME OUTCOMES</t>
  </si>
  <si>
    <t xml:space="preserve">Communication</t>
  </si>
  <si>
    <t xml:space="preserve">Verbal clarity, language proficiency, presentation delivery</t>
  </si>
  <si>
    <t xml:space="preserve">Leadership</t>
  </si>
  <si>
    <t xml:space="preserve">Audience engagement, confidence, assertiveness</t>
  </si>
  <si>
    <t xml:space="preserve">Confidence</t>
  </si>
  <si>
    <t xml:space="preserve">Eye contact, posture, composure under pressure</t>
  </si>
  <si>
    <t xml:space="preserve">Public Speaking</t>
  </si>
  <si>
    <t xml:space="preserve">Organized delivery, effective pacing, audience awareness</t>
  </si>
  <si>
    <t xml:space="preserve">Professional appearance, etiquette, responsiveness</t>
  </si>
  <si>
    <t xml:space="preserve">PRESENTATION RUBRIC  —  FACULTY SCORE ENTRY SHEET</t>
  </si>
  <si>
    <t xml:space="preserve">Enter Score (1=Poor / 2=Fair / 3=Good / 4=Excellent) in YELLOW cells per criterion per student  |  All weighted marks, total, grade, CO attainment auto-calculate</t>
  </si>
  <si>
    <t xml:space="preserve">Course Name:</t>
  </si>
  <si>
    <t xml:space="preserve">Course Code:</t>
  </si>
  <si>
    <t xml:space="preserve">Presentation Type:</t>
  </si>
  <si>
    <t xml:space="preserve">Seminar / Project / Technical Talk</t>
  </si>
  <si>
    <t xml:space="preserve">Topic / Title:</t>
  </si>
  <si>
    <t xml:space="preserve">Max Marks:</t>
  </si>
  <si>
    <t xml:space="preserve">Presentation Date:</t>
  </si>
  <si>
    <t xml:space="preserve">Evaluator:</t>
  </si>
  <si>
    <t xml:space="preserve">Semester / Year:</t>
  </si>
  <si>
    <t xml:space="preserve">Score Guide →</t>
  </si>
  <si>
    <t xml:space="preserve">4 = Excellent</t>
  </si>
  <si>
    <t xml:space="preserve">3 = Good</t>
  </si>
  <si>
    <t xml:space="preserve">2 = Fair</t>
  </si>
  <si>
    <t xml:space="preserve">1 = Poor</t>
  </si>
  <si>
    <t xml:space="preserve">Weighted Marks = Score / 4 × Criterion Max Marks  |  Total = Σ Weighted Marks  |  Grade: O≥90 A+≥75 A≥60 B+≥50 B≥40 F&lt;40</t>
  </si>
  <si>
    <t xml:space="preserve">STUDENT INFORMATION</t>
  </si>
  <si>
    <t xml:space="preserve">C1: Subject Knowledge
Weight: 30%  Max: 30M</t>
  </si>
  <si>
    <t xml:space="preserve">C2: Communication Skills
Weight: 20%  Max: 20M</t>
  </si>
  <si>
    <t xml:space="preserve">C3: Presentation Organization
Weight: 15%  Max: 15M</t>
  </si>
  <si>
    <t xml:space="preserve">C4: Visual Aids
Weight: 10%  Max: 10M</t>
  </si>
  <si>
    <t xml:space="preserve">C5: Audience Interaction
Weight: 10%  Max: 10M</t>
  </si>
  <si>
    <t xml:space="preserve">C6: Time Management
Weight: 10%  Max: 10M</t>
  </si>
  <si>
    <t xml:space="preserve">C7: Confidence &amp; Professionalism
Weight: 5%  Max: 5M</t>
  </si>
  <si>
    <t xml:space="preserve">Total
/100</t>
  </si>
  <si>
    <t xml:space="preserve">Percentage
%</t>
  </si>
  <si>
    <t xml:space="preserve">Grade</t>
  </si>
  <si>
    <t xml:space="preserve">CO
Att%</t>
  </si>
  <si>
    <t xml:space="preserve">Result</t>
  </si>
  <si>
    <t xml:space="preserve">S.No  |  Reg No  |  Student Name</t>
  </si>
  <si>
    <t xml:space="preserve">Score
(1–4)</t>
  </si>
  <si>
    <t xml:space="preserve">Wtd
Marks</t>
  </si>
  <si>
    <t xml:space="preserve">← Weightages →</t>
  </si>
  <si>
    <t xml:space="preserve">30%</t>
  </si>
  <si>
    <t xml:space="preserve">Max 30M</t>
  </si>
  <si>
    <t xml:space="preserve">20%</t>
  </si>
  <si>
    <t xml:space="preserve">Max 20M</t>
  </si>
  <si>
    <t xml:space="preserve">15%</t>
  </si>
  <si>
    <t xml:space="preserve">Max 15M</t>
  </si>
  <si>
    <t xml:space="preserve">10%</t>
  </si>
  <si>
    <t xml:space="preserve">Max 10M</t>
  </si>
  <si>
    <t xml:space="preserve">5%</t>
  </si>
  <si>
    <t xml:space="preserve">Max 5M</t>
  </si>
  <si>
    <t xml:space="preserve">R001</t>
  </si>
  <si>
    <t xml:space="preserve">Aarav Sharma</t>
  </si>
  <si>
    <t xml:space="preserve">R002</t>
  </si>
  <si>
    <t xml:space="preserve">Priya Patel</t>
  </si>
  <si>
    <t xml:space="preserve">R003</t>
  </si>
  <si>
    <t xml:space="preserve">Rohan Mehta</t>
  </si>
  <si>
    <t xml:space="preserve">R004</t>
  </si>
  <si>
    <t xml:space="preserve">Sneha Reddy</t>
  </si>
  <si>
    <t xml:space="preserve">R005</t>
  </si>
  <si>
    <t xml:space="preserve">Vikram Singh</t>
  </si>
  <si>
    <t xml:space="preserve">R006</t>
  </si>
  <si>
    <t xml:space="preserve">Anjali Nair</t>
  </si>
  <si>
    <t xml:space="preserve">R007</t>
  </si>
  <si>
    <t xml:space="preserve">Kiran Kumar</t>
  </si>
  <si>
    <t xml:space="preserve">R008</t>
  </si>
  <si>
    <t xml:space="preserve">Divya Rao</t>
  </si>
  <si>
    <t xml:space="preserve">R009</t>
  </si>
  <si>
    <t xml:space="preserve">Arjun Gupta</t>
  </si>
  <si>
    <t xml:space="preserve">R010</t>
  </si>
  <si>
    <t xml:space="preserve">Pooja Iyer</t>
  </si>
  <si>
    <t xml:space="preserve">R011</t>
  </si>
  <si>
    <t xml:space="preserve">Rahul Verma</t>
  </si>
  <si>
    <t xml:space="preserve">R012</t>
  </si>
  <si>
    <t xml:space="preserve">Meera Joshi</t>
  </si>
  <si>
    <t xml:space="preserve">R013</t>
  </si>
  <si>
    <t xml:space="preserve">Suresh Pillai</t>
  </si>
  <si>
    <t xml:space="preserve">R014</t>
  </si>
  <si>
    <t xml:space="preserve">Kavya Menon</t>
  </si>
  <si>
    <t xml:space="preserve">R015</t>
  </si>
  <si>
    <t xml:space="preserve">Aditya Bhat</t>
  </si>
  <si>
    <t xml:space="preserve">R016</t>
  </si>
  <si>
    <t xml:space="preserve">Lakshmi Das</t>
  </si>
  <si>
    <t xml:space="preserve">R017</t>
  </si>
  <si>
    <t xml:space="preserve">Nikhil Tiwari</t>
  </si>
  <si>
    <t xml:space="preserve">R018</t>
  </si>
  <si>
    <t xml:space="preserve">Riya Shah</t>
  </si>
  <si>
    <t xml:space="preserve">R019</t>
  </si>
  <si>
    <t xml:space="preserve">Manish Yadav</t>
  </si>
  <si>
    <t xml:space="preserve">R020</t>
  </si>
  <si>
    <t xml:space="preserve">Deepa Nambiar</t>
  </si>
  <si>
    <t xml:space="preserve">R021</t>
  </si>
  <si>
    <t xml:space="preserve">Siddharth Roy</t>
  </si>
  <si>
    <t xml:space="preserve">R022</t>
  </si>
  <si>
    <t xml:space="preserve">Revathi Kumar</t>
  </si>
  <si>
    <t xml:space="preserve">R023</t>
  </si>
  <si>
    <t xml:space="preserve">Aakash Jain</t>
  </si>
  <si>
    <t xml:space="preserve">R024</t>
  </si>
  <si>
    <t xml:space="preserve">Bhavana Singh</t>
  </si>
  <si>
    <t xml:space="preserve">R025</t>
  </si>
  <si>
    <t xml:space="preserve">Chetan Rao</t>
  </si>
  <si>
    <t xml:space="preserve">R026</t>
  </si>
  <si>
    <t xml:space="preserve">Divya Nair</t>
  </si>
  <si>
    <t xml:space="preserve">R027</t>
  </si>
  <si>
    <t xml:space="preserve">Eshan Mehta</t>
  </si>
  <si>
    <t xml:space="preserve">R028</t>
  </si>
  <si>
    <t xml:space="preserve">Farah Khan</t>
  </si>
  <si>
    <t xml:space="preserve">R029</t>
  </si>
  <si>
    <t xml:space="preserve">Ganesh Rao</t>
  </si>
  <si>
    <t xml:space="preserve">R030</t>
  </si>
  <si>
    <t xml:space="preserve">Hema Pillai</t>
  </si>
  <si>
    <t xml:space="preserve">CLASS AVERAGE</t>
  </si>
  <si>
    <t xml:space="preserve">HIGHEST MARKS</t>
  </si>
  <si>
    <t xml:space="preserve">LOWEST MARKS</t>
  </si>
  <si>
    <t xml:space="preserve">PASS COUNT</t>
  </si>
  <si>
    <t xml:space="preserve">FAIL COUNT</t>
  </si>
  <si>
    <t xml:space="preserve">CO ATTAINMENT</t>
  </si>
  <si>
    <t xml:space="preserve">GRADE DISTRIBUTION</t>
  </si>
  <si>
    <t xml:space="preserve">O (≥90)</t>
  </si>
  <si>
    <t xml:space="preserve">A+ (≥75)</t>
  </si>
  <si>
    <t xml:space="preserve">A (≥60)</t>
  </si>
  <si>
    <t xml:space="preserve">B+ (≥50)</t>
  </si>
  <si>
    <t xml:space="preserve">B (≥40)</t>
  </si>
  <si>
    <t xml:space="preserve">F (&lt;40)</t>
  </si>
  <si>
    <t xml:space="preserve">PRESENTATION RUBRIC  —  STUDENT PERFORMANCE DASHBOARD</t>
  </si>
  <si>
    <t xml:space="preserve">All values auto-linked from Score Entry. Criterion scores, totals, grades and CO attainment at a glance.</t>
  </si>
  <si>
    <t xml:space="preserve">GRADE SCALE →</t>
  </si>
  <si>
    <t xml:space="preserve">O
≥90</t>
  </si>
  <si>
    <t xml:space="preserve">A+
≥75</t>
  </si>
  <si>
    <t xml:space="preserve">A
≥60</t>
  </si>
  <si>
    <t xml:space="preserve">B+
≥50</t>
  </si>
  <si>
    <t xml:space="preserve">B
≥40</t>
  </si>
  <si>
    <t xml:space="preserve">F
&lt;40</t>
  </si>
  <si>
    <t xml:space="preserve">CO Attainment: ≥60% = High (Level 3)  |  40–59% = Medium (Level 2)  |  &lt;40% = Low (Level 1)</t>
  </si>
  <si>
    <t xml:space="preserve">Reg No</t>
  </si>
  <si>
    <t xml:space="preserve">Student Name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</si>
  <si>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</si>
  <si>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</si>
  <si>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</si>
  <si>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</si>
  <si>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</si>
  <si>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</si>
  <si>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</si>
  <si>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Total</t>
  </si>
  <si>
    <t xml:space="preserve">CO Att%</t>
  </si>
  <si>
    <t xml:space="preserve">Att Level</t>
  </si>
  <si>
    <t xml:space="preserve">PRESENTATION RUBRIC  —  CRITERION-WISE SCORE ANALYSIS</t>
  </si>
  <si>
    <t xml:space="preserve">Auto-linked from Score Entry sheet. Statistical breakdown per criterion across all students.</t>
  </si>
  <si>
    <t xml:space="preserve">Metric</t>
  </si>
  <si>
    <t xml:space="preserve">C1
Subject Knowledge
(30%)</t>
  </si>
  <si>
    <t xml:space="preserve">C2
Communication Skills
(20%)</t>
  </si>
  <si>
    <t xml:space="preserve">C3
Presentation Organization
(15%)</t>
  </si>
  <si>
    <t xml:space="preserve">C4
Visual Aids
(10%)</t>
  </si>
  <si>
    <t xml:space="preserve">C5
Audience Interaction
(10%)</t>
  </si>
  <si>
    <t xml:space="preserve">C6
Time Management
(10%)</t>
  </si>
  <si>
    <t xml:space="preserve">C7
Confidence &amp; Professionalism
(5%)</t>
  </si>
  <si>
    <t xml:space="preserve">Overall
Avg</t>
  </si>
  <si>
    <t xml:space="preserve">Average Score</t>
  </si>
  <si>
    <t xml:space="preserve">Average Wtd Marks</t>
  </si>
  <si>
    <t xml:space="preserve">Max Score</t>
  </si>
  <si>
    <t xml:space="preserve">Min Score</t>
  </si>
  <si>
    <t xml:space="preserve">Attainment %</t>
  </si>
  <si>
    <t xml:space="preserve">CO ATTAINMENT LEVEL PER CRITERION</t>
  </si>
  <si>
    <t xml:space="preserve">Level (3/2/1)</t>
  </si>
  <si>
    <t xml:space="preserve">PRESENTATION RUBRIC  —  PROGRAMME OUTCOME (PO) ATTAINMENT</t>
  </si>
  <si>
    <t xml:space="preserve">PO Attainment % = Average of relevant criterion attainments mapped to each PO  |  Target ≥ 60%  |  Level 3=High(≥60%)  2=Medium(40–59%)  1=Low(&lt;40%)</t>
  </si>
  <si>
    <t xml:space="preserve">PO</t>
  </si>
  <si>
    <t xml:space="preserve">Description</t>
  </si>
  <si>
    <t xml:space="preserve">Relevant
Criteria</t>
  </si>
  <si>
    <t xml:space="preserve">CRITERION ATTAINMENT % (Auto-linked from Criterion Analysis)</t>
  </si>
  <si>
    <t xml:space="preserve">PO Att%</t>
  </si>
  <si>
    <t xml:space="preserve">Level</t>
  </si>
  <si>
    <t xml:space="preserve">Target</t>
  </si>
  <si>
    <t xml:space="preserve">Gap</t>
  </si>
  <si>
    <t xml:space="preserve">Status</t>
  </si>
  <si>
    <t xml:space="preserve">PO1</t>
  </si>
  <si>
    <t xml:space="preserve">Engineering Knowledge</t>
  </si>
  <si>
    <t xml:space="preserve">—</t>
  </si>
  <si>
    <t xml:space="preserve">60</t>
  </si>
  <si>
    <t xml:space="preserve">PO2</t>
  </si>
  <si>
    <t xml:space="preserve">Problem Analysis</t>
  </si>
  <si>
    <t xml:space="preserve">PO3</t>
  </si>
  <si>
    <t xml:space="preserve">Design/Development of Solutions</t>
  </si>
  <si>
    <t xml:space="preserve">PO4</t>
  </si>
  <si>
    <t xml:space="preserve">Conduct Investigations</t>
  </si>
  <si>
    <t xml:space="preserve">PO5</t>
  </si>
  <si>
    <t xml:space="preserve">Modern Tool Usage</t>
  </si>
  <si>
    <t xml:space="preserve">PO6</t>
  </si>
  <si>
    <t xml:space="preserve">The Engineer and Society</t>
  </si>
  <si>
    <t xml:space="preserve">PO7</t>
  </si>
  <si>
    <t xml:space="preserve">Environment and Sustainability</t>
  </si>
  <si>
    <t xml:space="preserve">PO8</t>
  </si>
  <si>
    <t xml:space="preserve">Ethics</t>
  </si>
  <si>
    <t xml:space="preserve">Individual and Team Work</t>
  </si>
  <si>
    <t xml:space="preserve">C5, C7</t>
  </si>
  <si>
    <t xml:space="preserve">C2, C3, C4</t>
  </si>
  <si>
    <t xml:space="preserve">Project Management and Finance</t>
  </si>
  <si>
    <t xml:space="preserve">C3, C6</t>
  </si>
  <si>
    <t xml:space="preserve">PO12</t>
  </si>
  <si>
    <t xml:space="preserve">Life-long Learning</t>
  </si>
  <si>
    <t xml:space="preserve">PRESENTATION RUBRIC  —  INDIVIDUAL FEEDBACK CARDS</t>
  </si>
  <si>
    <t xml:space="preserve">Auto-linked from Score Entry. Each student's per-criterion score label and feedback text auto-generated.</t>
  </si>
  <si>
    <t xml:space="preserve">Feedback Summary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</si>
</sst>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%"/>
    <numFmt numFmtId="166" formatCode="0"/>
    <numFmt numFmtId="167" formatCode="0.00"/>
    <numFmt numFmtId="168" formatCode="0.0"/>
    <numFmt numFmtId="169" formatCode="0.0%"/>
    <numFmt numFmtId="170" formatCode="@"/>
    <numFmt numFmtId="171" formatCode="\+0.0;\-0.0;0.0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b val="true"/>
      <sz val="11"/>
      <color rgb="FFBF8F00"/>
      <name val="Arial"/>
      <family val="0"/>
      <charset val="1"/>
    </font>
    <font>
      <b val="true"/>
      <sz val="11"/>
      <color rgb="FF8B0000"/>
      <name val="Arial"/>
      <family val="0"/>
      <charset val="1"/>
    </font>
    <font>
      <i val="true"/>
      <sz val="9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375623"/>
      <name val="Arial"/>
      <family val="0"/>
      <charset val="1"/>
    </font>
    <font>
      <sz val="9"/>
      <color rgb="FF2E75B6"/>
      <name val="Arial"/>
      <family val="0"/>
      <charset val="1"/>
    </font>
    <font>
      <sz val="9"/>
      <color rgb="FFBF8F00"/>
      <name val="Arial"/>
      <family val="0"/>
      <charset val="1"/>
    </font>
    <font>
      <sz val="9"/>
      <color rgb="FF8B0000"/>
      <name val="Arial"/>
      <family val="0"/>
      <charset val="1"/>
    </font>
    <font>
      <sz val="9"/>
      <color rgb="FFFFFFFF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404040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2E75B6"/>
      <name val="Arial"/>
      <family val="0"/>
      <charset val="1"/>
    </font>
    <font>
      <b val="true"/>
      <sz val="9"/>
      <color rgb="FFBF8F00"/>
      <name val="Arial"/>
      <family val="0"/>
      <charset val="1"/>
    </font>
    <font>
      <b val="true"/>
      <sz val="9"/>
      <color rgb="FF8B0000"/>
      <name val="Arial"/>
      <family val="0"/>
      <charset val="1"/>
    </font>
    <font>
      <i val="true"/>
      <sz val="8"/>
      <color rgb="FF404040"/>
      <name val="Arial"/>
      <family val="0"/>
      <charset val="1"/>
    </font>
    <font>
      <b val="true"/>
      <sz val="10"/>
      <color rgb="FF404040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1"/>
      <color rgb="FF40404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color rgb="FFCCCCCC"/>
      <name val="Arial"/>
      <family val="0"/>
      <charset val="1"/>
    </font>
  </fonts>
  <fills count="24">
    <fill>
      <patternFill patternType="none"/>
    </fill>
    <fill>
      <patternFill patternType="gray125"/>
    </fill>
    <fill>
      <patternFill patternType="solid">
        <fgColor rgb="FF1F3864"/>
        <bgColor rgb="FF283593"/>
      </patternFill>
    </fill>
    <fill>
      <patternFill patternType="solid">
        <fgColor rgb="FF2E75B6"/>
        <bgColor rgb="FF0066CC"/>
      </patternFill>
    </fill>
    <fill>
      <patternFill patternType="solid">
        <fgColor rgb="FF404040"/>
        <bgColor rgb="FF375623"/>
      </patternFill>
    </fill>
    <fill>
      <patternFill patternType="solid">
        <fgColor rgb="FFE2EFDA"/>
        <bgColor rgb="FFE0F2F1"/>
      </patternFill>
    </fill>
    <fill>
      <patternFill patternType="solid">
        <fgColor rgb="FFEBF3FB"/>
        <bgColor rgb="FFF2F2F2"/>
      </patternFill>
    </fill>
    <fill>
      <patternFill patternType="solid">
        <fgColor rgb="FFFFF2CC"/>
        <bgColor rgb="FFFFF8DC"/>
      </patternFill>
    </fill>
    <fill>
      <patternFill patternType="solid">
        <fgColor rgb="FFFCE4D6"/>
        <bgColor rgb="FFFFF2CC"/>
      </patternFill>
    </fill>
    <fill>
      <patternFill patternType="solid">
        <fgColor rgb="FFBDD7EE"/>
        <bgColor rgb="FFCCCCCC"/>
      </patternFill>
    </fill>
    <fill>
      <patternFill patternType="solid">
        <fgColor rgb="FF7030A0"/>
        <bgColor rgb="FF993366"/>
      </patternFill>
    </fill>
    <fill>
      <patternFill patternType="solid">
        <fgColor rgb="FF375623"/>
        <bgColor rgb="FF404040"/>
      </patternFill>
    </fill>
    <fill>
      <patternFill patternType="solid">
        <fgColor rgb="FFBF8F00"/>
        <bgColor rgb="FF808000"/>
      </patternFill>
    </fill>
    <fill>
      <patternFill patternType="solid">
        <fgColor rgb="FF8B0000"/>
        <bgColor rgb="FF800000"/>
      </patternFill>
    </fill>
    <fill>
      <patternFill patternType="solid">
        <fgColor rgb="FF00695C"/>
        <bgColor rgb="FF008080"/>
      </patternFill>
    </fill>
    <fill>
      <patternFill patternType="solid">
        <fgColor rgb="FFF2F2F2"/>
        <bgColor rgb="FFEBF3FB"/>
      </patternFill>
    </fill>
    <fill>
      <patternFill patternType="solid">
        <fgColor rgb="FFFFFFFF"/>
        <bgColor rgb="FFFFF8DC"/>
      </patternFill>
    </fill>
    <fill>
      <patternFill patternType="solid">
        <fgColor rgb="FFC55A11"/>
        <bgColor rgb="FF993300"/>
      </patternFill>
    </fill>
    <fill>
      <patternFill patternType="solid">
        <fgColor rgb="FFDEEAF1"/>
        <bgColor rgb="FFE0F2F1"/>
      </patternFill>
    </fill>
    <fill>
      <patternFill patternType="solid">
        <fgColor rgb="FF283593"/>
        <bgColor rgb="FF1F3864"/>
      </patternFill>
    </fill>
    <fill>
      <patternFill patternType="solid">
        <fgColor rgb="FFFFF8DC"/>
        <bgColor rgb="FFFFF2CC"/>
      </patternFill>
    </fill>
    <fill>
      <patternFill patternType="solid">
        <fgColor rgb="FFE2D9F3"/>
        <bgColor rgb="FFDEEAF1"/>
      </patternFill>
    </fill>
    <fill>
      <patternFill patternType="solid">
        <fgColor rgb="FFE0F2F1"/>
        <bgColor rgb="FFDEEAF1"/>
      </patternFill>
    </fill>
    <fill>
      <patternFill patternType="solid">
        <fgColor rgb="FF70AD47"/>
        <bgColor rgb="FF339966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thin">
        <color rgb="FF595959"/>
      </top>
      <bottom style="medium"/>
      <diagonal/>
    </border>
    <border diagonalUp="false" diagonalDown="false">
      <left style="medium"/>
      <right/>
      <top style="thin">
        <color rgb="FF595959"/>
      </top>
      <bottom style="medium"/>
      <diagonal/>
    </border>
    <border diagonalUp="false" diagonalDown="false">
      <left style="medium"/>
      <right style="medium"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8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2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0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2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2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695C"/>
      <rgbColor rgb="FFCCCCCC"/>
      <rgbColor rgb="FF808080"/>
      <rgbColor rgb="FF9999FF"/>
      <rgbColor rgb="FF7030A0"/>
      <rgbColor rgb="FFFFF8DC"/>
      <rgbColor rgb="FFE0F2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FF2CC"/>
      <rgbColor rgb="FFE2D9F3"/>
      <rgbColor rgb="FFF2F2F2"/>
      <rgbColor rgb="FFDEEAF1"/>
      <rgbColor rgb="FFFCE4D6"/>
      <rgbColor rgb="FF2E75B6"/>
      <rgbColor rgb="FF33CCCC"/>
      <rgbColor rgb="FF99CC00"/>
      <rgbColor rgb="FFFFCC00"/>
      <rgbColor rgb="FFBF8F00"/>
      <rgbColor rgb="FFC55A11"/>
      <rgbColor rgb="FF595959"/>
      <rgbColor rgb="FF70AD47"/>
      <rgbColor rgb="FF1F3864"/>
      <rgbColor rgb="FF339966"/>
      <rgbColor rgb="FF003300"/>
      <rgbColor rgb="FF375623"/>
      <rgbColor rgb="FF993300"/>
      <rgbColor rgb="FF993366"/>
      <rgbColor rgb="FF283593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4" min="3" style="0" width="8"/>
    <col collapsed="false" customWidth="true" hidden="false" outlineLevel="0" max="8" min="5" style="0" width="26"/>
    <col collapsed="false" customWidth="true" hidden="false" outlineLevel="0" max="10" min="9" style="0" width="18"/>
    <col collapsed="false" customWidth="true" hidden="false" outlineLevel="0" max="13" min="11" style="0" width="1"/>
  </cols>
  <sheetData>
    <row r="1" customFormat="false" ht="43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24" hidden="false" customHeight="true" outlineLevel="0" collapsed="false">
      <c r="A3" s="3" t="s">
        <v>2</v>
      </c>
      <c r="B3" s="3"/>
      <c r="C3" s="4" t="s">
        <v>3</v>
      </c>
      <c r="D3" s="5" t="s">
        <v>4</v>
      </c>
      <c r="E3" s="6" t="s">
        <v>5</v>
      </c>
      <c r="F3" s="7" t="s">
        <v>6</v>
      </c>
      <c r="G3" s="8" t="s">
        <v>7</v>
      </c>
      <c r="H3" s="8"/>
      <c r="I3" s="8"/>
      <c r="J3" s="8"/>
      <c r="K3" s="8"/>
      <c r="L3" s="8"/>
      <c r="M3" s="8"/>
    </row>
    <row r="5" customFormat="false" ht="27.75" hidden="false" customHeight="true" outlineLevel="0" collapsed="false">
      <c r="A5" s="9" t="s">
        <v>8</v>
      </c>
      <c r="B5" s="9" t="s">
        <v>9</v>
      </c>
      <c r="C5" s="10" t="s">
        <v>10</v>
      </c>
      <c r="D5" s="10" t="s">
        <v>11</v>
      </c>
      <c r="E5" s="11" t="s">
        <v>12</v>
      </c>
      <c r="F5" s="12" t="s">
        <v>13</v>
      </c>
      <c r="G5" s="13" t="s">
        <v>14</v>
      </c>
      <c r="H5" s="14" t="s">
        <v>15</v>
      </c>
      <c r="I5" s="15" t="s">
        <v>16</v>
      </c>
      <c r="J5" s="16" t="s">
        <v>17</v>
      </c>
    </row>
    <row r="6" customFormat="false" ht="51.75" hidden="false" customHeight="true" outlineLevel="0" collapsed="false">
      <c r="A6" s="17" t="n">
        <v>1</v>
      </c>
      <c r="B6" s="18" t="s">
        <v>18</v>
      </c>
      <c r="C6" s="19" t="n">
        <v>0.3</v>
      </c>
      <c r="D6" s="20" t="n">
        <v>30</v>
      </c>
      <c r="E6" s="21" t="s">
        <v>19</v>
      </c>
      <c r="F6" s="22" t="s">
        <v>20</v>
      </c>
      <c r="G6" s="23" t="s">
        <v>21</v>
      </c>
      <c r="H6" s="24" t="s">
        <v>22</v>
      </c>
      <c r="I6" s="25" t="s">
        <v>23</v>
      </c>
      <c r="J6" s="26" t="s">
        <v>24</v>
      </c>
      <c r="K6" s="27"/>
      <c r="L6" s="27"/>
      <c r="M6" s="27"/>
    </row>
    <row r="7" customFormat="false" ht="51.75" hidden="false" customHeight="true" outlineLevel="0" collapsed="false">
      <c r="A7" s="17" t="n">
        <v>2</v>
      </c>
      <c r="B7" s="28" t="s">
        <v>25</v>
      </c>
      <c r="C7" s="19" t="n">
        <v>0.2</v>
      </c>
      <c r="D7" s="20" t="n">
        <v>20</v>
      </c>
      <c r="E7" s="21" t="s">
        <v>26</v>
      </c>
      <c r="F7" s="22" t="s">
        <v>27</v>
      </c>
      <c r="G7" s="23" t="s">
        <v>28</v>
      </c>
      <c r="H7" s="24" t="s">
        <v>29</v>
      </c>
      <c r="I7" s="25" t="s">
        <v>30</v>
      </c>
      <c r="J7" s="26" t="s">
        <v>31</v>
      </c>
      <c r="K7" s="29"/>
      <c r="L7" s="29"/>
      <c r="M7" s="29"/>
    </row>
    <row r="8" customFormat="false" ht="51.75" hidden="false" customHeight="true" outlineLevel="0" collapsed="false">
      <c r="A8" s="17" t="n">
        <v>3</v>
      </c>
      <c r="B8" s="18" t="s">
        <v>32</v>
      </c>
      <c r="C8" s="19" t="n">
        <v>0.15</v>
      </c>
      <c r="D8" s="20" t="n">
        <v>15</v>
      </c>
      <c r="E8" s="21" t="s">
        <v>33</v>
      </c>
      <c r="F8" s="22" t="s">
        <v>34</v>
      </c>
      <c r="G8" s="23" t="s">
        <v>35</v>
      </c>
      <c r="H8" s="24" t="s">
        <v>36</v>
      </c>
      <c r="I8" s="25" t="s">
        <v>37</v>
      </c>
      <c r="J8" s="26" t="s">
        <v>38</v>
      </c>
      <c r="K8" s="27"/>
      <c r="L8" s="27"/>
      <c r="M8" s="27"/>
    </row>
    <row r="9" customFormat="false" ht="51.75" hidden="false" customHeight="true" outlineLevel="0" collapsed="false">
      <c r="A9" s="17" t="n">
        <v>4</v>
      </c>
      <c r="B9" s="28" t="s">
        <v>39</v>
      </c>
      <c r="C9" s="19" t="n">
        <v>0.1</v>
      </c>
      <c r="D9" s="20" t="n">
        <v>10</v>
      </c>
      <c r="E9" s="21" t="s">
        <v>40</v>
      </c>
      <c r="F9" s="22" t="s">
        <v>41</v>
      </c>
      <c r="G9" s="23" t="s">
        <v>42</v>
      </c>
      <c r="H9" s="24" t="s">
        <v>43</v>
      </c>
      <c r="I9" s="25" t="s">
        <v>44</v>
      </c>
      <c r="J9" s="26" t="s">
        <v>45</v>
      </c>
      <c r="K9" s="29"/>
      <c r="L9" s="29"/>
      <c r="M9" s="29"/>
    </row>
    <row r="10" customFormat="false" ht="51.75" hidden="false" customHeight="true" outlineLevel="0" collapsed="false">
      <c r="A10" s="17" t="n">
        <v>5</v>
      </c>
      <c r="B10" s="18" t="s">
        <v>46</v>
      </c>
      <c r="C10" s="19" t="n">
        <v>0.1</v>
      </c>
      <c r="D10" s="20" t="n">
        <v>10</v>
      </c>
      <c r="E10" s="21" t="s">
        <v>47</v>
      </c>
      <c r="F10" s="22" t="s">
        <v>48</v>
      </c>
      <c r="G10" s="23" t="s">
        <v>49</v>
      </c>
      <c r="H10" s="24" t="s">
        <v>50</v>
      </c>
      <c r="I10" s="25" t="s">
        <v>51</v>
      </c>
      <c r="J10" s="26" t="s">
        <v>52</v>
      </c>
      <c r="K10" s="27"/>
      <c r="L10" s="27"/>
      <c r="M10" s="27"/>
    </row>
    <row r="11" customFormat="false" ht="51.75" hidden="false" customHeight="true" outlineLevel="0" collapsed="false">
      <c r="A11" s="17" t="n">
        <v>6</v>
      </c>
      <c r="B11" s="28" t="s">
        <v>53</v>
      </c>
      <c r="C11" s="19" t="n">
        <v>0.1</v>
      </c>
      <c r="D11" s="20" t="n">
        <v>10</v>
      </c>
      <c r="E11" s="21" t="s">
        <v>54</v>
      </c>
      <c r="F11" s="22" t="s">
        <v>55</v>
      </c>
      <c r="G11" s="23" t="s">
        <v>56</v>
      </c>
      <c r="H11" s="24" t="s">
        <v>57</v>
      </c>
      <c r="I11" s="25" t="s">
        <v>58</v>
      </c>
      <c r="J11" s="26" t="s">
        <v>59</v>
      </c>
      <c r="K11" s="29"/>
      <c r="L11" s="29"/>
      <c r="M11" s="29"/>
    </row>
    <row r="12" customFormat="false" ht="51.75" hidden="false" customHeight="true" outlineLevel="0" collapsed="false">
      <c r="A12" s="17" t="n">
        <v>7</v>
      </c>
      <c r="B12" s="18" t="s">
        <v>60</v>
      </c>
      <c r="C12" s="19" t="n">
        <v>0.05</v>
      </c>
      <c r="D12" s="20" t="n">
        <v>5</v>
      </c>
      <c r="E12" s="21" t="s">
        <v>61</v>
      </c>
      <c r="F12" s="22" t="s">
        <v>62</v>
      </c>
      <c r="G12" s="23" t="s">
        <v>63</v>
      </c>
      <c r="H12" s="24" t="s">
        <v>64</v>
      </c>
      <c r="I12" s="25" t="s">
        <v>65</v>
      </c>
      <c r="J12" s="26" t="s">
        <v>66</v>
      </c>
      <c r="K12" s="27"/>
      <c r="L12" s="27"/>
      <c r="M12" s="27"/>
    </row>
    <row r="14" customFormat="false" ht="19.5" hidden="false" customHeight="true" outlineLevel="0" collapsed="false">
      <c r="A14" s="30" t="s">
        <v>67</v>
      </c>
      <c r="B14" s="30"/>
      <c r="C14" s="31" t="s">
        <v>68</v>
      </c>
      <c r="D14" s="32" t="s">
        <v>69</v>
      </c>
      <c r="E14" s="33"/>
      <c r="F14" s="33"/>
      <c r="G14" s="33"/>
      <c r="H14" s="33"/>
      <c r="I14" s="33"/>
      <c r="J14" s="33"/>
      <c r="K14" s="33"/>
      <c r="L14" s="33"/>
      <c r="M14" s="33"/>
    </row>
    <row r="16" customFormat="false" ht="21.75" hidden="false" customHeight="true" outlineLevel="0" collapsed="false">
      <c r="A16" s="34" t="s">
        <v>70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</row>
    <row r="17" customFormat="false" ht="18" hidden="false" customHeight="true" outlineLevel="0" collapsed="false">
      <c r="A17" s="35" t="s">
        <v>71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</row>
    <row r="18" customFormat="false" ht="18" hidden="false" customHeight="true" outlineLevel="0" collapsed="false">
      <c r="A18" s="36" t="s">
        <v>72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</row>
    <row r="19" customFormat="false" ht="18" hidden="false" customHeight="true" outlineLevel="0" collapsed="false">
      <c r="A19" s="35" t="s">
        <v>73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</row>
    <row r="20" customFormat="false" ht="18" hidden="false" customHeight="true" outlineLevel="0" collapsed="false">
      <c r="A20" s="36" t="s">
        <v>74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</row>
    <row r="21" customFormat="false" ht="18" hidden="false" customHeight="true" outlineLevel="0" collapsed="false">
      <c r="A21" s="35" t="s">
        <v>75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</row>
    <row r="23" customFormat="false" ht="21.75" hidden="false" customHeight="true" outlineLevel="0" collapsed="false">
      <c r="A23" s="37" t="s">
        <v>76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</row>
    <row r="24" customFormat="false" ht="19.5" hidden="false" customHeight="true" outlineLevel="0" collapsed="false">
      <c r="A24" s="38" t="s">
        <v>77</v>
      </c>
      <c r="B24" s="39" t="s">
        <v>78</v>
      </c>
      <c r="C24" s="39"/>
      <c r="D24" s="39"/>
      <c r="E24" s="39"/>
      <c r="F24" s="39"/>
      <c r="G24" s="39"/>
      <c r="H24" s="39"/>
      <c r="I24" s="39"/>
      <c r="J24" s="40" t="s">
        <v>31</v>
      </c>
      <c r="K24" s="40"/>
      <c r="L24" s="40"/>
      <c r="M24" s="40"/>
    </row>
    <row r="25" customFormat="false" ht="19.5" hidden="false" customHeight="true" outlineLevel="0" collapsed="false">
      <c r="A25" s="41" t="s">
        <v>79</v>
      </c>
      <c r="B25" s="42" t="s">
        <v>80</v>
      </c>
      <c r="C25" s="42"/>
      <c r="D25" s="42"/>
      <c r="E25" s="42"/>
      <c r="F25" s="42"/>
      <c r="G25" s="42"/>
      <c r="H25" s="42"/>
      <c r="I25" s="42"/>
      <c r="J25" s="40" t="s">
        <v>52</v>
      </c>
      <c r="K25" s="40"/>
      <c r="L25" s="40"/>
      <c r="M25" s="40"/>
    </row>
    <row r="26" customFormat="false" ht="19.5" hidden="false" customHeight="true" outlineLevel="0" collapsed="false">
      <c r="A26" s="43" t="s">
        <v>81</v>
      </c>
      <c r="B26" s="39" t="s">
        <v>82</v>
      </c>
      <c r="C26" s="39"/>
      <c r="D26" s="39"/>
      <c r="E26" s="39"/>
      <c r="F26" s="39"/>
      <c r="G26" s="39"/>
      <c r="H26" s="39"/>
      <c r="I26" s="39"/>
      <c r="J26" s="40" t="s">
        <v>66</v>
      </c>
      <c r="K26" s="40"/>
      <c r="L26" s="40"/>
      <c r="M26" s="40"/>
    </row>
    <row r="27" customFormat="false" ht="19.5" hidden="false" customHeight="true" outlineLevel="0" collapsed="false">
      <c r="A27" s="44" t="s">
        <v>83</v>
      </c>
      <c r="B27" s="42" t="s">
        <v>84</v>
      </c>
      <c r="C27" s="42"/>
      <c r="D27" s="42"/>
      <c r="E27" s="42"/>
      <c r="F27" s="42"/>
      <c r="G27" s="42"/>
      <c r="H27" s="42"/>
      <c r="I27" s="42"/>
      <c r="J27" s="40" t="s">
        <v>31</v>
      </c>
      <c r="K27" s="40"/>
      <c r="L27" s="40"/>
      <c r="M27" s="40"/>
    </row>
    <row r="28" customFormat="false" ht="19.5" hidden="false" customHeight="true" outlineLevel="0" collapsed="false">
      <c r="A28" s="45" t="s">
        <v>65</v>
      </c>
      <c r="B28" s="39" t="s">
        <v>85</v>
      </c>
      <c r="C28" s="39"/>
      <c r="D28" s="39"/>
      <c r="E28" s="39"/>
      <c r="F28" s="39"/>
      <c r="G28" s="39"/>
      <c r="H28" s="39"/>
      <c r="I28" s="39"/>
      <c r="J28" s="40" t="s">
        <v>66</v>
      </c>
      <c r="K28" s="40"/>
      <c r="L28" s="40"/>
      <c r="M28" s="40"/>
    </row>
  </sheetData>
  <mergeCells count="22">
    <mergeCell ref="A1:M1"/>
    <mergeCell ref="A2:M2"/>
    <mergeCell ref="A3:B3"/>
    <mergeCell ref="G3:M3"/>
    <mergeCell ref="A14:B14"/>
    <mergeCell ref="A16:M16"/>
    <mergeCell ref="A17:M17"/>
    <mergeCell ref="A18:M18"/>
    <mergeCell ref="A19:M19"/>
    <mergeCell ref="A20:M20"/>
    <mergeCell ref="A21:M21"/>
    <mergeCell ref="A23:M23"/>
    <mergeCell ref="B24:I24"/>
    <mergeCell ref="J24:M24"/>
    <mergeCell ref="B25:I25"/>
    <mergeCell ref="J25:M25"/>
    <mergeCell ref="B26:I26"/>
    <mergeCell ref="J26:M26"/>
    <mergeCell ref="B27:I27"/>
    <mergeCell ref="J27:M27"/>
    <mergeCell ref="B28:I28"/>
    <mergeCell ref="J28:M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1" topLeftCell="D12" activePane="bottomRight" state="frozen"/>
      <selection pane="topLeft" activeCell="A1" activeCellId="0" sqref="A1"/>
      <selection pane="topRight" activeCell="D1" activeCellId="0" sqref="D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5" min="15" style="0" width="10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12"/>
    <col collapsed="false" customWidth="true" hidden="false" outlineLevel="0" max="19" min="19" style="0" width="10"/>
    <col collapsed="false" customWidth="true" hidden="false" outlineLevel="0" max="20" min="20" style="0" width="8"/>
    <col collapsed="false" customWidth="true" hidden="false" outlineLevel="0" max="21" min="21" style="0" width="12"/>
    <col collapsed="false" customWidth="true" hidden="false" outlineLevel="0" max="22" min="22" style="0" width="9"/>
  </cols>
  <sheetData>
    <row r="1" customFormat="false" ht="43.5" hidden="false" customHeight="true" outlineLevel="0" collapsed="false">
      <c r="A1" s="46" t="s">
        <v>86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</row>
    <row r="2" customFormat="false" ht="18" hidden="false" customHeight="true" outlineLevel="0" collapsed="false">
      <c r="A2" s="2" t="s">
        <v>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7.5" hidden="false" customHeight="true" outlineLevel="0" collapsed="false"/>
    <row r="4" customFormat="false" ht="21.75" hidden="false" customHeight="true" outlineLevel="0" collapsed="false">
      <c r="A4" s="47" t="s">
        <v>88</v>
      </c>
      <c r="B4" s="48"/>
      <c r="C4" s="47" t="s">
        <v>89</v>
      </c>
      <c r="D4" s="48"/>
      <c r="E4" s="47" t="s">
        <v>90</v>
      </c>
      <c r="F4" s="48" t="s">
        <v>91</v>
      </c>
      <c r="G4" s="47" t="s">
        <v>92</v>
      </c>
      <c r="H4" s="48"/>
    </row>
    <row r="5" customFormat="false" ht="19.5" hidden="false" customHeight="true" outlineLevel="0" collapsed="false">
      <c r="A5" s="47" t="s">
        <v>93</v>
      </c>
      <c r="B5" s="48" t="s">
        <v>69</v>
      </c>
      <c r="C5" s="47" t="s">
        <v>94</v>
      </c>
      <c r="D5" s="48"/>
      <c r="E5" s="47" t="s">
        <v>95</v>
      </c>
      <c r="F5" s="48"/>
      <c r="G5" s="47" t="s">
        <v>96</v>
      </c>
      <c r="H5" s="48"/>
    </row>
    <row r="6" customFormat="false" ht="7.5" hidden="false" customHeight="true" outlineLevel="0" collapsed="false"/>
    <row r="7" customFormat="false" ht="19.5" hidden="false" customHeight="true" outlineLevel="0" collapsed="false">
      <c r="A7" s="49" t="s">
        <v>97</v>
      </c>
      <c r="B7" s="49"/>
      <c r="C7" s="50" t="s">
        <v>98</v>
      </c>
      <c r="D7" s="51" t="s">
        <v>99</v>
      </c>
      <c r="E7" s="52" t="s">
        <v>100</v>
      </c>
      <c r="F7" s="53" t="s">
        <v>101</v>
      </c>
      <c r="G7" s="54" t="s">
        <v>102</v>
      </c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</row>
    <row r="9" customFormat="false" ht="27.75" hidden="false" customHeight="true" outlineLevel="0" collapsed="false">
      <c r="A9" s="49" t="s">
        <v>103</v>
      </c>
      <c r="B9" s="49"/>
      <c r="C9" s="49"/>
      <c r="D9" s="55" t="s">
        <v>104</v>
      </c>
      <c r="E9" s="55"/>
      <c r="F9" s="55" t="s">
        <v>105</v>
      </c>
      <c r="G9" s="55"/>
      <c r="H9" s="55" t="s">
        <v>106</v>
      </c>
      <c r="I9" s="55"/>
      <c r="J9" s="55" t="s">
        <v>107</v>
      </c>
      <c r="K9" s="55"/>
      <c r="L9" s="55" t="s">
        <v>108</v>
      </c>
      <c r="M9" s="55"/>
      <c r="N9" s="55" t="s">
        <v>109</v>
      </c>
      <c r="O9" s="55"/>
      <c r="P9" s="55" t="s">
        <v>110</v>
      </c>
      <c r="Q9" s="55"/>
      <c r="R9" s="56" t="s">
        <v>111</v>
      </c>
      <c r="S9" s="56" t="s">
        <v>112</v>
      </c>
      <c r="T9" s="56" t="s">
        <v>113</v>
      </c>
      <c r="U9" s="57" t="s">
        <v>114</v>
      </c>
      <c r="V9" s="58" t="s">
        <v>115</v>
      </c>
    </row>
    <row r="10" customFormat="false" ht="21.75" hidden="false" customHeight="true" outlineLevel="0" collapsed="false">
      <c r="A10" s="49" t="s">
        <v>116</v>
      </c>
      <c r="B10" s="49"/>
      <c r="C10" s="49"/>
      <c r="D10" s="59" t="s">
        <v>117</v>
      </c>
      <c r="E10" s="11" t="s">
        <v>118</v>
      </c>
      <c r="F10" s="59" t="s">
        <v>117</v>
      </c>
      <c r="G10" s="11" t="s">
        <v>118</v>
      </c>
      <c r="H10" s="59" t="s">
        <v>117</v>
      </c>
      <c r="I10" s="11" t="s">
        <v>118</v>
      </c>
      <c r="J10" s="59" t="s">
        <v>117</v>
      </c>
      <c r="K10" s="11" t="s">
        <v>118</v>
      </c>
      <c r="L10" s="59" t="s">
        <v>117</v>
      </c>
      <c r="M10" s="11" t="s">
        <v>118</v>
      </c>
      <c r="N10" s="59" t="s">
        <v>117</v>
      </c>
      <c r="O10" s="11" t="s">
        <v>118</v>
      </c>
      <c r="P10" s="59" t="s">
        <v>117</v>
      </c>
      <c r="Q10" s="11" t="s">
        <v>118</v>
      </c>
      <c r="R10" s="56"/>
      <c r="S10" s="56"/>
      <c r="T10" s="56"/>
      <c r="U10" s="56"/>
      <c r="V10" s="56"/>
    </row>
    <row r="11" customFormat="false" ht="15.75" hidden="false" customHeight="true" outlineLevel="0" collapsed="false">
      <c r="A11" s="60" t="s">
        <v>119</v>
      </c>
      <c r="B11" s="60"/>
      <c r="C11" s="60"/>
      <c r="D11" s="61" t="s">
        <v>120</v>
      </c>
      <c r="E11" s="61" t="s">
        <v>121</v>
      </c>
      <c r="F11" s="61" t="s">
        <v>122</v>
      </c>
      <c r="G11" s="61" t="s">
        <v>123</v>
      </c>
      <c r="H11" s="61" t="s">
        <v>124</v>
      </c>
      <c r="I11" s="61" t="s">
        <v>125</v>
      </c>
      <c r="J11" s="61" t="s">
        <v>126</v>
      </c>
      <c r="K11" s="61" t="s">
        <v>127</v>
      </c>
      <c r="L11" s="61" t="s">
        <v>126</v>
      </c>
      <c r="M11" s="61" t="s">
        <v>127</v>
      </c>
      <c r="N11" s="61" t="s">
        <v>126</v>
      </c>
      <c r="O11" s="61" t="s">
        <v>127</v>
      </c>
      <c r="P11" s="61" t="s">
        <v>128</v>
      </c>
      <c r="Q11" s="61" t="s">
        <v>129</v>
      </c>
      <c r="R11" s="62"/>
      <c r="S11" s="62"/>
      <c r="T11" s="62"/>
      <c r="U11" s="62"/>
      <c r="V11" s="62"/>
    </row>
    <row r="12" customFormat="false" ht="19.5" hidden="false" customHeight="true" outlineLevel="0" collapsed="false">
      <c r="A12" s="27" t="n">
        <v>1</v>
      </c>
      <c r="B12" s="27" t="s">
        <v>130</v>
      </c>
      <c r="C12" s="63" t="s">
        <v>131</v>
      </c>
      <c r="D12" s="64" t="n">
        <v>1</v>
      </c>
      <c r="E12" s="65" t="n">
        <f aca="false">IFERROR(D12/4*30,0)</f>
        <v>7.5</v>
      </c>
      <c r="F12" s="66" t="n">
        <v>2</v>
      </c>
      <c r="G12" s="65" t="n">
        <f aca="false">IFERROR(F12/4*20,0)</f>
        <v>10</v>
      </c>
      <c r="H12" s="66" t="n">
        <v>2</v>
      </c>
      <c r="I12" s="65" t="n">
        <f aca="false">IFERROR(H12/4*15,0)</f>
        <v>7.5</v>
      </c>
      <c r="J12" s="67" t="n">
        <v>3</v>
      </c>
      <c r="K12" s="65" t="n">
        <f aca="false">IFERROR(J12/4*10,0)</f>
        <v>7.5</v>
      </c>
      <c r="L12" s="64" t="n">
        <v>1</v>
      </c>
      <c r="M12" s="65" t="n">
        <f aca="false">IFERROR(L12/4*10,0)</f>
        <v>2.5</v>
      </c>
      <c r="N12" s="66" t="n">
        <v>2</v>
      </c>
      <c r="O12" s="65" t="n">
        <f aca="false">IFERROR(N12/4*10,0)</f>
        <v>5</v>
      </c>
      <c r="P12" s="67" t="n">
        <v>3</v>
      </c>
      <c r="Q12" s="65" t="n">
        <f aca="false">IFERROR(P12/4*5,0)</f>
        <v>3.75</v>
      </c>
      <c r="R12" s="68" t="n">
        <f aca="false">SUM(E12,G12,I12,K12,M12,O12,Q12)</f>
        <v>43.75</v>
      </c>
      <c r="S12" s="69" t="n">
        <f aca="false">R12</f>
        <v>43.75</v>
      </c>
      <c r="T12" s="70" t="str">
        <f aca="false">IF(R12&gt;=90,"O",IF(R12&gt;=75,"A+",IF(R12&gt;=60,"A",IF(R12&gt;=50,"B+",IF(R12&gt;=40,"B","F")))))</f>
        <v>B</v>
      </c>
      <c r="U12" s="71" t="n">
        <f aca="false">R12/100</f>
        <v>0.4375</v>
      </c>
      <c r="V12" s="72" t="str">
        <f aca="false">IF(R12&gt;=40,"Pass","Fail")</f>
        <v>Pass</v>
      </c>
    </row>
    <row r="13" customFormat="false" ht="19.5" hidden="false" customHeight="true" outlineLevel="0" collapsed="false">
      <c r="A13" s="29" t="n">
        <v>2</v>
      </c>
      <c r="B13" s="29" t="s">
        <v>132</v>
      </c>
      <c r="C13" s="73" t="s">
        <v>133</v>
      </c>
      <c r="D13" s="64" t="n">
        <v>1</v>
      </c>
      <c r="E13" s="65" t="n">
        <f aca="false">IFERROR(D13/4*30,0)</f>
        <v>7.5</v>
      </c>
      <c r="F13" s="67" t="n">
        <v>3</v>
      </c>
      <c r="G13" s="65" t="n">
        <f aca="false">IFERROR(F13/4*20,0)</f>
        <v>15</v>
      </c>
      <c r="H13" s="74" t="n">
        <v>4</v>
      </c>
      <c r="I13" s="65" t="n">
        <f aca="false">IFERROR(H13/4*15,0)</f>
        <v>15</v>
      </c>
      <c r="J13" s="74" t="n">
        <v>4</v>
      </c>
      <c r="K13" s="65" t="n">
        <f aca="false">IFERROR(J13/4*10,0)</f>
        <v>10</v>
      </c>
      <c r="L13" s="74" t="n">
        <v>4</v>
      </c>
      <c r="M13" s="65" t="n">
        <f aca="false">IFERROR(L13/4*10,0)</f>
        <v>10</v>
      </c>
      <c r="N13" s="74" t="n">
        <v>4</v>
      </c>
      <c r="O13" s="65" t="n">
        <f aca="false">IFERROR(N13/4*10,0)</f>
        <v>10</v>
      </c>
      <c r="P13" s="67" t="n">
        <v>3</v>
      </c>
      <c r="Q13" s="65" t="n">
        <f aca="false">IFERROR(P13/4*5,0)</f>
        <v>3.75</v>
      </c>
      <c r="R13" s="68" t="n">
        <f aca="false">SUM(E13,G13,I13,K13,M13,O13,Q13)</f>
        <v>71.25</v>
      </c>
      <c r="S13" s="69" t="n">
        <f aca="false">R13</f>
        <v>71.25</v>
      </c>
      <c r="T13" s="70" t="str">
        <f aca="false">IF(R13&gt;=90,"O",IF(R13&gt;=75,"A+",IF(R13&gt;=60,"A",IF(R13&gt;=50,"B+",IF(R13&gt;=40,"B","F")))))</f>
        <v>A</v>
      </c>
      <c r="U13" s="71" t="n">
        <f aca="false">R13/100</f>
        <v>0.7125</v>
      </c>
      <c r="V13" s="72" t="str">
        <f aca="false">IF(R13&gt;=40,"Pass","Fail")</f>
        <v>Pass</v>
      </c>
    </row>
    <row r="14" customFormat="false" ht="19.5" hidden="false" customHeight="true" outlineLevel="0" collapsed="false">
      <c r="A14" s="27" t="n">
        <v>3</v>
      </c>
      <c r="B14" s="27" t="s">
        <v>134</v>
      </c>
      <c r="C14" s="63" t="s">
        <v>135</v>
      </c>
      <c r="D14" s="74" t="n">
        <v>4</v>
      </c>
      <c r="E14" s="65" t="n">
        <f aca="false">IFERROR(D14/4*30,0)</f>
        <v>30</v>
      </c>
      <c r="F14" s="64" t="n">
        <v>1</v>
      </c>
      <c r="G14" s="65" t="n">
        <f aca="false">IFERROR(F14/4*20,0)</f>
        <v>5</v>
      </c>
      <c r="H14" s="67" t="n">
        <v>3</v>
      </c>
      <c r="I14" s="65" t="n">
        <f aca="false">IFERROR(H14/4*15,0)</f>
        <v>11.25</v>
      </c>
      <c r="J14" s="64" t="n">
        <v>1</v>
      </c>
      <c r="K14" s="65" t="n">
        <f aca="false">IFERROR(J14/4*10,0)</f>
        <v>2.5</v>
      </c>
      <c r="L14" s="66" t="n">
        <v>2</v>
      </c>
      <c r="M14" s="65" t="n">
        <f aca="false">IFERROR(L14/4*10,0)</f>
        <v>5</v>
      </c>
      <c r="N14" s="64" t="n">
        <v>1</v>
      </c>
      <c r="O14" s="65" t="n">
        <f aca="false">IFERROR(N14/4*10,0)</f>
        <v>2.5</v>
      </c>
      <c r="P14" s="74" t="n">
        <v>4</v>
      </c>
      <c r="Q14" s="65" t="n">
        <f aca="false">IFERROR(P14/4*5,0)</f>
        <v>5</v>
      </c>
      <c r="R14" s="68" t="n">
        <f aca="false">SUM(E14,G14,I14,K14,M14,O14,Q14)</f>
        <v>61.25</v>
      </c>
      <c r="S14" s="69" t="n">
        <f aca="false">R14</f>
        <v>61.25</v>
      </c>
      <c r="T14" s="70" t="str">
        <f aca="false">IF(R14&gt;=90,"O",IF(R14&gt;=75,"A+",IF(R14&gt;=60,"A",IF(R14&gt;=50,"B+",IF(R14&gt;=40,"B","F")))))</f>
        <v>A</v>
      </c>
      <c r="U14" s="71" t="n">
        <f aca="false">R14/100</f>
        <v>0.6125</v>
      </c>
      <c r="V14" s="72" t="str">
        <f aca="false">IF(R14&gt;=40,"Pass","Fail")</f>
        <v>Pass</v>
      </c>
    </row>
    <row r="15" customFormat="false" ht="19.5" hidden="false" customHeight="true" outlineLevel="0" collapsed="false">
      <c r="A15" s="29" t="n">
        <v>4</v>
      </c>
      <c r="B15" s="29" t="s">
        <v>136</v>
      </c>
      <c r="C15" s="73" t="s">
        <v>137</v>
      </c>
      <c r="D15" s="66" t="n">
        <v>2</v>
      </c>
      <c r="E15" s="65" t="n">
        <f aca="false">IFERROR(D15/4*30,0)</f>
        <v>15</v>
      </c>
      <c r="F15" s="64" t="n">
        <v>1</v>
      </c>
      <c r="G15" s="65" t="n">
        <f aca="false">IFERROR(F15/4*20,0)</f>
        <v>5</v>
      </c>
      <c r="H15" s="74" t="n">
        <v>4</v>
      </c>
      <c r="I15" s="65" t="n">
        <f aca="false">IFERROR(H15/4*15,0)</f>
        <v>15</v>
      </c>
      <c r="J15" s="66" t="n">
        <v>2</v>
      </c>
      <c r="K15" s="65" t="n">
        <f aca="false">IFERROR(J15/4*10,0)</f>
        <v>5</v>
      </c>
      <c r="L15" s="64" t="n">
        <v>1</v>
      </c>
      <c r="M15" s="65" t="n">
        <f aca="false">IFERROR(L15/4*10,0)</f>
        <v>2.5</v>
      </c>
      <c r="N15" s="74" t="n">
        <v>4</v>
      </c>
      <c r="O15" s="65" t="n">
        <f aca="false">IFERROR(N15/4*10,0)</f>
        <v>10</v>
      </c>
      <c r="P15" s="66" t="n">
        <v>2</v>
      </c>
      <c r="Q15" s="65" t="n">
        <f aca="false">IFERROR(P15/4*5,0)</f>
        <v>2.5</v>
      </c>
      <c r="R15" s="68" t="n">
        <f aca="false">SUM(E15,G15,I15,K15,M15,O15,Q15)</f>
        <v>55</v>
      </c>
      <c r="S15" s="69" t="n">
        <f aca="false">R15</f>
        <v>55</v>
      </c>
      <c r="T15" s="70" t="str">
        <f aca="false">IF(R15&gt;=90,"O",IF(R15&gt;=75,"A+",IF(R15&gt;=60,"A",IF(R15&gt;=50,"B+",IF(R15&gt;=40,"B","F")))))</f>
        <v>B+</v>
      </c>
      <c r="U15" s="71" t="n">
        <f aca="false">R15/100</f>
        <v>0.55</v>
      </c>
      <c r="V15" s="72" t="str">
        <f aca="false">IF(R15&gt;=40,"Pass","Fail")</f>
        <v>Pass</v>
      </c>
    </row>
    <row r="16" customFormat="false" ht="19.5" hidden="false" customHeight="true" outlineLevel="0" collapsed="false">
      <c r="A16" s="27" t="n">
        <v>5</v>
      </c>
      <c r="B16" s="27" t="s">
        <v>138</v>
      </c>
      <c r="C16" s="63" t="s">
        <v>139</v>
      </c>
      <c r="D16" s="66" t="n">
        <v>2</v>
      </c>
      <c r="E16" s="65" t="n">
        <f aca="false">IFERROR(D16/4*30,0)</f>
        <v>15</v>
      </c>
      <c r="F16" s="66" t="n">
        <v>2</v>
      </c>
      <c r="G16" s="65" t="n">
        <f aca="false">IFERROR(F16/4*20,0)</f>
        <v>10</v>
      </c>
      <c r="H16" s="74" t="n">
        <v>4</v>
      </c>
      <c r="I16" s="65" t="n">
        <f aca="false">IFERROR(H16/4*15,0)</f>
        <v>15</v>
      </c>
      <c r="J16" s="66" t="n">
        <v>2</v>
      </c>
      <c r="K16" s="65" t="n">
        <f aca="false">IFERROR(J16/4*10,0)</f>
        <v>5</v>
      </c>
      <c r="L16" s="67" t="n">
        <v>3</v>
      </c>
      <c r="M16" s="65" t="n">
        <f aca="false">IFERROR(L16/4*10,0)</f>
        <v>7.5</v>
      </c>
      <c r="N16" s="67" t="n">
        <v>3</v>
      </c>
      <c r="O16" s="65" t="n">
        <f aca="false">IFERROR(N16/4*10,0)</f>
        <v>7.5</v>
      </c>
      <c r="P16" s="64" t="n">
        <v>1</v>
      </c>
      <c r="Q16" s="65" t="n">
        <f aca="false">IFERROR(P16/4*5,0)</f>
        <v>1.25</v>
      </c>
      <c r="R16" s="68" t="n">
        <f aca="false">SUM(E16,G16,I16,K16,M16,O16,Q16)</f>
        <v>61.25</v>
      </c>
      <c r="S16" s="69" t="n">
        <f aca="false">R16</f>
        <v>61.25</v>
      </c>
      <c r="T16" s="70" t="str">
        <f aca="false">IF(R16&gt;=90,"O",IF(R16&gt;=75,"A+",IF(R16&gt;=60,"A",IF(R16&gt;=50,"B+",IF(R16&gt;=40,"B","F")))))</f>
        <v>A</v>
      </c>
      <c r="U16" s="71" t="n">
        <f aca="false">R16/100</f>
        <v>0.6125</v>
      </c>
      <c r="V16" s="72" t="str">
        <f aca="false">IF(R16&gt;=40,"Pass","Fail")</f>
        <v>Pass</v>
      </c>
    </row>
    <row r="17" customFormat="false" ht="19.5" hidden="false" customHeight="true" outlineLevel="0" collapsed="false">
      <c r="A17" s="29" t="n">
        <v>6</v>
      </c>
      <c r="B17" s="29" t="s">
        <v>140</v>
      </c>
      <c r="C17" s="73" t="s">
        <v>141</v>
      </c>
      <c r="D17" s="64" t="n">
        <v>1</v>
      </c>
      <c r="E17" s="65" t="n">
        <f aca="false">IFERROR(D17/4*30,0)</f>
        <v>7.5</v>
      </c>
      <c r="F17" s="74" t="n">
        <v>4</v>
      </c>
      <c r="G17" s="65" t="n">
        <f aca="false">IFERROR(F17/4*20,0)</f>
        <v>20</v>
      </c>
      <c r="H17" s="67" t="n">
        <v>3</v>
      </c>
      <c r="I17" s="65" t="n">
        <f aca="false">IFERROR(H17/4*15,0)</f>
        <v>11.25</v>
      </c>
      <c r="J17" s="67" t="n">
        <v>3</v>
      </c>
      <c r="K17" s="65" t="n">
        <f aca="false">IFERROR(J17/4*10,0)</f>
        <v>7.5</v>
      </c>
      <c r="L17" s="67" t="n">
        <v>3</v>
      </c>
      <c r="M17" s="65" t="n">
        <f aca="false">IFERROR(L17/4*10,0)</f>
        <v>7.5</v>
      </c>
      <c r="N17" s="66" t="n">
        <v>2</v>
      </c>
      <c r="O17" s="65" t="n">
        <f aca="false">IFERROR(N17/4*10,0)</f>
        <v>5</v>
      </c>
      <c r="P17" s="66" t="n">
        <v>2</v>
      </c>
      <c r="Q17" s="65" t="n">
        <f aca="false">IFERROR(P17/4*5,0)</f>
        <v>2.5</v>
      </c>
      <c r="R17" s="68" t="n">
        <f aca="false">SUM(E17,G17,I17,K17,M17,O17,Q17)</f>
        <v>61.25</v>
      </c>
      <c r="S17" s="69" t="n">
        <f aca="false">R17</f>
        <v>61.25</v>
      </c>
      <c r="T17" s="70" t="str">
        <f aca="false">IF(R17&gt;=90,"O",IF(R17&gt;=75,"A+",IF(R17&gt;=60,"A",IF(R17&gt;=50,"B+",IF(R17&gt;=40,"B","F")))))</f>
        <v>A</v>
      </c>
      <c r="U17" s="71" t="n">
        <f aca="false">R17/100</f>
        <v>0.6125</v>
      </c>
      <c r="V17" s="72" t="str">
        <f aca="false">IF(R17&gt;=40,"Pass","Fail")</f>
        <v>Pass</v>
      </c>
    </row>
    <row r="18" customFormat="false" ht="19.5" hidden="false" customHeight="true" outlineLevel="0" collapsed="false">
      <c r="A18" s="27" t="n">
        <v>7</v>
      </c>
      <c r="B18" s="27" t="s">
        <v>142</v>
      </c>
      <c r="C18" s="63" t="s">
        <v>143</v>
      </c>
      <c r="D18" s="74" t="n">
        <v>4</v>
      </c>
      <c r="E18" s="65" t="n">
        <f aca="false">IFERROR(D18/4*30,0)</f>
        <v>30</v>
      </c>
      <c r="F18" s="66" t="n">
        <v>2</v>
      </c>
      <c r="G18" s="65" t="n">
        <f aca="false">IFERROR(F18/4*20,0)</f>
        <v>10</v>
      </c>
      <c r="H18" s="66" t="n">
        <v>2</v>
      </c>
      <c r="I18" s="65" t="n">
        <f aca="false">IFERROR(H18/4*15,0)</f>
        <v>7.5</v>
      </c>
      <c r="J18" s="66" t="n">
        <v>2</v>
      </c>
      <c r="K18" s="65" t="n">
        <f aca="false">IFERROR(J18/4*10,0)</f>
        <v>5</v>
      </c>
      <c r="L18" s="67" t="n">
        <v>3</v>
      </c>
      <c r="M18" s="65" t="n">
        <f aca="false">IFERROR(L18/4*10,0)</f>
        <v>7.5</v>
      </c>
      <c r="N18" s="66" t="n">
        <v>2</v>
      </c>
      <c r="O18" s="65" t="n">
        <f aca="false">IFERROR(N18/4*10,0)</f>
        <v>5</v>
      </c>
      <c r="P18" s="74" t="n">
        <v>4</v>
      </c>
      <c r="Q18" s="65" t="n">
        <f aca="false">IFERROR(P18/4*5,0)</f>
        <v>5</v>
      </c>
      <c r="R18" s="68" t="n">
        <f aca="false">SUM(E18,G18,I18,K18,M18,O18,Q18)</f>
        <v>70</v>
      </c>
      <c r="S18" s="69" t="n">
        <f aca="false">R18</f>
        <v>70</v>
      </c>
      <c r="T18" s="70" t="str">
        <f aca="false">IF(R18&gt;=90,"O",IF(R18&gt;=75,"A+",IF(R18&gt;=60,"A",IF(R18&gt;=50,"B+",IF(R18&gt;=40,"B","F")))))</f>
        <v>A</v>
      </c>
      <c r="U18" s="71" t="n">
        <f aca="false">R18/100</f>
        <v>0.7</v>
      </c>
      <c r="V18" s="72" t="str">
        <f aca="false">IF(R18&gt;=40,"Pass","Fail")</f>
        <v>Pass</v>
      </c>
    </row>
    <row r="19" customFormat="false" ht="19.5" hidden="false" customHeight="true" outlineLevel="0" collapsed="false">
      <c r="A19" s="29" t="n">
        <v>8</v>
      </c>
      <c r="B19" s="29" t="s">
        <v>144</v>
      </c>
      <c r="C19" s="73" t="s">
        <v>145</v>
      </c>
      <c r="D19" s="66" t="n">
        <v>2</v>
      </c>
      <c r="E19" s="65" t="n">
        <f aca="false">IFERROR(D19/4*30,0)</f>
        <v>15</v>
      </c>
      <c r="F19" s="67" t="n">
        <v>3</v>
      </c>
      <c r="G19" s="65" t="n">
        <f aca="false">IFERROR(F19/4*20,0)</f>
        <v>15</v>
      </c>
      <c r="H19" s="66" t="n">
        <v>2</v>
      </c>
      <c r="I19" s="65" t="n">
        <f aca="false">IFERROR(H19/4*15,0)</f>
        <v>7.5</v>
      </c>
      <c r="J19" s="74" t="n">
        <v>4</v>
      </c>
      <c r="K19" s="65" t="n">
        <f aca="false">IFERROR(J19/4*10,0)</f>
        <v>10</v>
      </c>
      <c r="L19" s="74" t="n">
        <v>4</v>
      </c>
      <c r="M19" s="65" t="n">
        <f aca="false">IFERROR(L19/4*10,0)</f>
        <v>10</v>
      </c>
      <c r="N19" s="64" t="n">
        <v>1</v>
      </c>
      <c r="O19" s="65" t="n">
        <f aca="false">IFERROR(N19/4*10,0)</f>
        <v>2.5</v>
      </c>
      <c r="P19" s="74" t="n">
        <v>4</v>
      </c>
      <c r="Q19" s="65" t="n">
        <f aca="false">IFERROR(P19/4*5,0)</f>
        <v>5</v>
      </c>
      <c r="R19" s="68" t="n">
        <f aca="false">SUM(E19,G19,I19,K19,M19,O19,Q19)</f>
        <v>65</v>
      </c>
      <c r="S19" s="69" t="n">
        <f aca="false">R19</f>
        <v>65</v>
      </c>
      <c r="T19" s="70" t="str">
        <f aca="false">IF(R19&gt;=90,"O",IF(R19&gt;=75,"A+",IF(R19&gt;=60,"A",IF(R19&gt;=50,"B+",IF(R19&gt;=40,"B","F")))))</f>
        <v>A</v>
      </c>
      <c r="U19" s="71" t="n">
        <f aca="false">R19/100</f>
        <v>0.65</v>
      </c>
      <c r="V19" s="72" t="str">
        <f aca="false">IF(R19&gt;=40,"Pass","Fail")</f>
        <v>Pass</v>
      </c>
    </row>
    <row r="20" customFormat="false" ht="19.5" hidden="false" customHeight="true" outlineLevel="0" collapsed="false">
      <c r="A20" s="27" t="n">
        <v>9</v>
      </c>
      <c r="B20" s="27" t="s">
        <v>146</v>
      </c>
      <c r="C20" s="63" t="s">
        <v>147</v>
      </c>
      <c r="D20" s="64" t="n">
        <v>1</v>
      </c>
      <c r="E20" s="65" t="n">
        <f aca="false">IFERROR(D20/4*30,0)</f>
        <v>7.5</v>
      </c>
      <c r="F20" s="67" t="n">
        <v>3</v>
      </c>
      <c r="G20" s="65" t="n">
        <f aca="false">IFERROR(F20/4*20,0)</f>
        <v>15</v>
      </c>
      <c r="H20" s="64" t="n">
        <v>1</v>
      </c>
      <c r="I20" s="65" t="n">
        <f aca="false">IFERROR(H20/4*15,0)</f>
        <v>3.75</v>
      </c>
      <c r="J20" s="67" t="n">
        <v>3</v>
      </c>
      <c r="K20" s="65" t="n">
        <f aca="false">IFERROR(J20/4*10,0)</f>
        <v>7.5</v>
      </c>
      <c r="L20" s="67" t="n">
        <v>3</v>
      </c>
      <c r="M20" s="65" t="n">
        <f aca="false">IFERROR(L20/4*10,0)</f>
        <v>7.5</v>
      </c>
      <c r="N20" s="67" t="n">
        <v>3</v>
      </c>
      <c r="O20" s="65" t="n">
        <f aca="false">IFERROR(N20/4*10,0)</f>
        <v>7.5</v>
      </c>
      <c r="P20" s="67" t="n">
        <v>3</v>
      </c>
      <c r="Q20" s="65" t="n">
        <f aca="false">IFERROR(P20/4*5,0)</f>
        <v>3.75</v>
      </c>
      <c r="R20" s="68" t="n">
        <f aca="false">SUM(E20,G20,I20,K20,M20,O20,Q20)</f>
        <v>52.5</v>
      </c>
      <c r="S20" s="69" t="n">
        <f aca="false">R20</f>
        <v>52.5</v>
      </c>
      <c r="T20" s="70" t="str">
        <f aca="false">IF(R20&gt;=90,"O",IF(R20&gt;=75,"A+",IF(R20&gt;=60,"A",IF(R20&gt;=50,"B+",IF(R20&gt;=40,"B","F")))))</f>
        <v>B+</v>
      </c>
      <c r="U20" s="71" t="n">
        <f aca="false">R20/100</f>
        <v>0.525</v>
      </c>
      <c r="V20" s="72" t="str">
        <f aca="false">IF(R20&gt;=40,"Pass","Fail")</f>
        <v>Pass</v>
      </c>
    </row>
    <row r="21" customFormat="false" ht="19.5" hidden="false" customHeight="true" outlineLevel="0" collapsed="false">
      <c r="A21" s="29" t="n">
        <v>10</v>
      </c>
      <c r="B21" s="29" t="s">
        <v>148</v>
      </c>
      <c r="C21" s="73" t="s">
        <v>149</v>
      </c>
      <c r="D21" s="66" t="n">
        <v>2</v>
      </c>
      <c r="E21" s="65" t="n">
        <f aca="false">IFERROR(D21/4*30,0)</f>
        <v>15</v>
      </c>
      <c r="F21" s="64" t="n">
        <v>1</v>
      </c>
      <c r="G21" s="65" t="n">
        <f aca="false">IFERROR(F21/4*20,0)</f>
        <v>5</v>
      </c>
      <c r="H21" s="74" t="n">
        <v>4</v>
      </c>
      <c r="I21" s="65" t="n">
        <f aca="false">IFERROR(H21/4*15,0)</f>
        <v>15</v>
      </c>
      <c r="J21" s="74" t="n">
        <v>4</v>
      </c>
      <c r="K21" s="65" t="n">
        <f aca="false">IFERROR(J21/4*10,0)</f>
        <v>10</v>
      </c>
      <c r="L21" s="74" t="n">
        <v>4</v>
      </c>
      <c r="M21" s="65" t="n">
        <f aca="false">IFERROR(L21/4*10,0)</f>
        <v>10</v>
      </c>
      <c r="N21" s="74" t="n">
        <v>4</v>
      </c>
      <c r="O21" s="65" t="n">
        <f aca="false">IFERROR(N21/4*10,0)</f>
        <v>10</v>
      </c>
      <c r="P21" s="64" t="n">
        <v>1</v>
      </c>
      <c r="Q21" s="65" t="n">
        <f aca="false">IFERROR(P21/4*5,0)</f>
        <v>1.25</v>
      </c>
      <c r="R21" s="68" t="n">
        <f aca="false">SUM(E21,G21,I21,K21,M21,O21,Q21)</f>
        <v>66.25</v>
      </c>
      <c r="S21" s="69" t="n">
        <f aca="false">R21</f>
        <v>66.25</v>
      </c>
      <c r="T21" s="70" t="str">
        <f aca="false">IF(R21&gt;=90,"O",IF(R21&gt;=75,"A+",IF(R21&gt;=60,"A",IF(R21&gt;=50,"B+",IF(R21&gt;=40,"B","F")))))</f>
        <v>A</v>
      </c>
      <c r="U21" s="71" t="n">
        <f aca="false">R21/100</f>
        <v>0.6625</v>
      </c>
      <c r="V21" s="72" t="str">
        <f aca="false">IF(R21&gt;=40,"Pass","Fail")</f>
        <v>Pass</v>
      </c>
    </row>
    <row r="22" customFormat="false" ht="19.5" hidden="false" customHeight="true" outlineLevel="0" collapsed="false">
      <c r="A22" s="27" t="n">
        <v>11</v>
      </c>
      <c r="B22" s="27" t="s">
        <v>150</v>
      </c>
      <c r="C22" s="63" t="s">
        <v>151</v>
      </c>
      <c r="D22" s="74" t="n">
        <v>4</v>
      </c>
      <c r="E22" s="65" t="n">
        <f aca="false">IFERROR(D22/4*30,0)</f>
        <v>30</v>
      </c>
      <c r="F22" s="67" t="n">
        <v>3</v>
      </c>
      <c r="G22" s="65" t="n">
        <f aca="false">IFERROR(F22/4*20,0)</f>
        <v>15</v>
      </c>
      <c r="H22" s="67" t="n">
        <v>3</v>
      </c>
      <c r="I22" s="65" t="n">
        <f aca="false">IFERROR(H22/4*15,0)</f>
        <v>11.25</v>
      </c>
      <c r="J22" s="64" t="n">
        <v>1</v>
      </c>
      <c r="K22" s="65" t="n">
        <f aca="false">IFERROR(J22/4*10,0)</f>
        <v>2.5</v>
      </c>
      <c r="L22" s="67" t="n">
        <v>3</v>
      </c>
      <c r="M22" s="65" t="n">
        <f aca="false">IFERROR(L22/4*10,0)</f>
        <v>7.5</v>
      </c>
      <c r="N22" s="66" t="n">
        <v>2</v>
      </c>
      <c r="O22" s="65" t="n">
        <f aca="false">IFERROR(N22/4*10,0)</f>
        <v>5</v>
      </c>
      <c r="P22" s="74" t="n">
        <v>4</v>
      </c>
      <c r="Q22" s="65" t="n">
        <f aca="false">IFERROR(P22/4*5,0)</f>
        <v>5</v>
      </c>
      <c r="R22" s="68" t="n">
        <f aca="false">SUM(E22,G22,I22,K22,M22,O22,Q22)</f>
        <v>76.25</v>
      </c>
      <c r="S22" s="69" t="n">
        <f aca="false">R22</f>
        <v>76.25</v>
      </c>
      <c r="T22" s="70" t="str">
        <f aca="false">IF(R22&gt;=90,"O",IF(R22&gt;=75,"A+",IF(R22&gt;=60,"A",IF(R22&gt;=50,"B+",IF(R22&gt;=40,"B","F")))))</f>
        <v>A+</v>
      </c>
      <c r="U22" s="71" t="n">
        <f aca="false">R22/100</f>
        <v>0.7625</v>
      </c>
      <c r="V22" s="72" t="str">
        <f aca="false">IF(R22&gt;=40,"Pass","Fail")</f>
        <v>Pass</v>
      </c>
    </row>
    <row r="23" customFormat="false" ht="19.5" hidden="false" customHeight="true" outlineLevel="0" collapsed="false">
      <c r="A23" s="29" t="n">
        <v>12</v>
      </c>
      <c r="B23" s="29" t="s">
        <v>152</v>
      </c>
      <c r="C23" s="73" t="s">
        <v>153</v>
      </c>
      <c r="D23" s="74" t="n">
        <v>4</v>
      </c>
      <c r="E23" s="65" t="n">
        <f aca="false">IFERROR(D23/4*30,0)</f>
        <v>30</v>
      </c>
      <c r="F23" s="74" t="n">
        <v>4</v>
      </c>
      <c r="G23" s="65" t="n">
        <f aca="false">IFERROR(F23/4*20,0)</f>
        <v>20</v>
      </c>
      <c r="H23" s="66" t="n">
        <v>2</v>
      </c>
      <c r="I23" s="65" t="n">
        <f aca="false">IFERROR(H23/4*15,0)</f>
        <v>7.5</v>
      </c>
      <c r="J23" s="67" t="n">
        <v>3</v>
      </c>
      <c r="K23" s="65" t="n">
        <f aca="false">IFERROR(J23/4*10,0)</f>
        <v>7.5</v>
      </c>
      <c r="L23" s="64" t="n">
        <v>1</v>
      </c>
      <c r="M23" s="65" t="n">
        <f aca="false">IFERROR(L23/4*10,0)</f>
        <v>2.5</v>
      </c>
      <c r="N23" s="66" t="n">
        <v>2</v>
      </c>
      <c r="O23" s="65" t="n">
        <f aca="false">IFERROR(N23/4*10,0)</f>
        <v>5</v>
      </c>
      <c r="P23" s="67" t="n">
        <v>3</v>
      </c>
      <c r="Q23" s="65" t="n">
        <f aca="false">IFERROR(P23/4*5,0)</f>
        <v>3.75</v>
      </c>
      <c r="R23" s="68" t="n">
        <f aca="false">SUM(E23,G23,I23,K23,M23,O23,Q23)</f>
        <v>76.25</v>
      </c>
      <c r="S23" s="69" t="n">
        <f aca="false">R23</f>
        <v>76.25</v>
      </c>
      <c r="T23" s="70" t="str">
        <f aca="false">IF(R23&gt;=90,"O",IF(R23&gt;=75,"A+",IF(R23&gt;=60,"A",IF(R23&gt;=50,"B+",IF(R23&gt;=40,"B","F")))))</f>
        <v>A+</v>
      </c>
      <c r="U23" s="71" t="n">
        <f aca="false">R23/100</f>
        <v>0.7625</v>
      </c>
      <c r="V23" s="72" t="str">
        <f aca="false">IF(R23&gt;=40,"Pass","Fail")</f>
        <v>Pass</v>
      </c>
    </row>
    <row r="24" customFormat="false" ht="19.5" hidden="false" customHeight="true" outlineLevel="0" collapsed="false">
      <c r="A24" s="27" t="n">
        <v>13</v>
      </c>
      <c r="B24" s="27" t="s">
        <v>154</v>
      </c>
      <c r="C24" s="63" t="s">
        <v>155</v>
      </c>
      <c r="D24" s="74" t="n">
        <v>4</v>
      </c>
      <c r="E24" s="65" t="n">
        <f aca="false">IFERROR(D24/4*30,0)</f>
        <v>30</v>
      </c>
      <c r="F24" s="67" t="n">
        <v>3</v>
      </c>
      <c r="G24" s="65" t="n">
        <f aca="false">IFERROR(F24/4*20,0)</f>
        <v>15</v>
      </c>
      <c r="H24" s="67" t="n">
        <v>3</v>
      </c>
      <c r="I24" s="65" t="n">
        <f aca="false">IFERROR(H24/4*15,0)</f>
        <v>11.25</v>
      </c>
      <c r="J24" s="64" t="n">
        <v>1</v>
      </c>
      <c r="K24" s="65" t="n">
        <f aca="false">IFERROR(J24/4*10,0)</f>
        <v>2.5</v>
      </c>
      <c r="L24" s="64" t="n">
        <v>1</v>
      </c>
      <c r="M24" s="65" t="n">
        <f aca="false">IFERROR(L24/4*10,0)</f>
        <v>2.5</v>
      </c>
      <c r="N24" s="67" t="n">
        <v>3</v>
      </c>
      <c r="O24" s="65" t="n">
        <f aca="false">IFERROR(N24/4*10,0)</f>
        <v>7.5</v>
      </c>
      <c r="P24" s="66" t="n">
        <v>2</v>
      </c>
      <c r="Q24" s="65" t="n">
        <f aca="false">IFERROR(P24/4*5,0)</f>
        <v>2.5</v>
      </c>
      <c r="R24" s="68" t="n">
        <f aca="false">SUM(E24,G24,I24,K24,M24,O24,Q24)</f>
        <v>71.25</v>
      </c>
      <c r="S24" s="69" t="n">
        <f aca="false">R24</f>
        <v>71.25</v>
      </c>
      <c r="T24" s="70" t="str">
        <f aca="false">IF(R24&gt;=90,"O",IF(R24&gt;=75,"A+",IF(R24&gt;=60,"A",IF(R24&gt;=50,"B+",IF(R24&gt;=40,"B","F")))))</f>
        <v>A</v>
      </c>
      <c r="U24" s="71" t="n">
        <f aca="false">R24/100</f>
        <v>0.7125</v>
      </c>
      <c r="V24" s="72" t="str">
        <f aca="false">IF(R24&gt;=40,"Pass","Fail")</f>
        <v>Pass</v>
      </c>
    </row>
    <row r="25" customFormat="false" ht="19.5" hidden="false" customHeight="true" outlineLevel="0" collapsed="false">
      <c r="A25" s="29" t="n">
        <v>14</v>
      </c>
      <c r="B25" s="29" t="s">
        <v>156</v>
      </c>
      <c r="C25" s="73" t="s">
        <v>157</v>
      </c>
      <c r="D25" s="74" t="n">
        <v>4</v>
      </c>
      <c r="E25" s="65" t="n">
        <f aca="false">IFERROR(D25/4*30,0)</f>
        <v>30</v>
      </c>
      <c r="F25" s="67" t="n">
        <v>3</v>
      </c>
      <c r="G25" s="65" t="n">
        <f aca="false">IFERROR(F25/4*20,0)</f>
        <v>15</v>
      </c>
      <c r="H25" s="74" t="n">
        <v>4</v>
      </c>
      <c r="I25" s="65" t="n">
        <f aca="false">IFERROR(H25/4*15,0)</f>
        <v>15</v>
      </c>
      <c r="J25" s="67" t="n">
        <v>3</v>
      </c>
      <c r="K25" s="65" t="n">
        <f aca="false">IFERROR(J25/4*10,0)</f>
        <v>7.5</v>
      </c>
      <c r="L25" s="74" t="n">
        <v>4</v>
      </c>
      <c r="M25" s="65" t="n">
        <f aca="false">IFERROR(L25/4*10,0)</f>
        <v>10</v>
      </c>
      <c r="N25" s="67" t="n">
        <v>3</v>
      </c>
      <c r="O25" s="65" t="n">
        <f aca="false">IFERROR(N25/4*10,0)</f>
        <v>7.5</v>
      </c>
      <c r="P25" s="74" t="n">
        <v>4</v>
      </c>
      <c r="Q25" s="65" t="n">
        <f aca="false">IFERROR(P25/4*5,0)</f>
        <v>5</v>
      </c>
      <c r="R25" s="68" t="n">
        <f aca="false">SUM(E25,G25,I25,K25,M25,O25,Q25)</f>
        <v>90</v>
      </c>
      <c r="S25" s="69" t="n">
        <f aca="false">R25</f>
        <v>90</v>
      </c>
      <c r="T25" s="70" t="str">
        <f aca="false">IF(R25&gt;=90,"O",IF(R25&gt;=75,"A+",IF(R25&gt;=60,"A",IF(R25&gt;=50,"B+",IF(R25&gt;=40,"B","F")))))</f>
        <v>O</v>
      </c>
      <c r="U25" s="71" t="n">
        <f aca="false">R25/100</f>
        <v>0.9</v>
      </c>
      <c r="V25" s="72" t="str">
        <f aca="false">IF(R25&gt;=40,"Pass","Fail")</f>
        <v>Pass</v>
      </c>
    </row>
    <row r="26" customFormat="false" ht="19.5" hidden="false" customHeight="true" outlineLevel="0" collapsed="false">
      <c r="A26" s="27" t="n">
        <v>15</v>
      </c>
      <c r="B26" s="27" t="s">
        <v>158</v>
      </c>
      <c r="C26" s="63" t="s">
        <v>159</v>
      </c>
      <c r="D26" s="66" t="n">
        <v>2</v>
      </c>
      <c r="E26" s="65" t="n">
        <f aca="false">IFERROR(D26/4*30,0)</f>
        <v>15</v>
      </c>
      <c r="F26" s="66" t="n">
        <v>2</v>
      </c>
      <c r="G26" s="65" t="n">
        <f aca="false">IFERROR(F26/4*20,0)</f>
        <v>10</v>
      </c>
      <c r="H26" s="66" t="n">
        <v>2</v>
      </c>
      <c r="I26" s="65" t="n">
        <f aca="false">IFERROR(H26/4*15,0)</f>
        <v>7.5</v>
      </c>
      <c r="J26" s="66" t="n">
        <v>2</v>
      </c>
      <c r="K26" s="65" t="n">
        <f aca="false">IFERROR(J26/4*10,0)</f>
        <v>5</v>
      </c>
      <c r="L26" s="67" t="n">
        <v>3</v>
      </c>
      <c r="M26" s="65" t="n">
        <f aca="false">IFERROR(L26/4*10,0)</f>
        <v>7.5</v>
      </c>
      <c r="N26" s="74" t="n">
        <v>4</v>
      </c>
      <c r="O26" s="65" t="n">
        <f aca="false">IFERROR(N26/4*10,0)</f>
        <v>10</v>
      </c>
      <c r="P26" s="74" t="n">
        <v>4</v>
      </c>
      <c r="Q26" s="65" t="n">
        <f aca="false">IFERROR(P26/4*5,0)</f>
        <v>5</v>
      </c>
      <c r="R26" s="68" t="n">
        <f aca="false">SUM(E26,G26,I26,K26,M26,O26,Q26)</f>
        <v>60</v>
      </c>
      <c r="S26" s="69" t="n">
        <f aca="false">R26</f>
        <v>60</v>
      </c>
      <c r="T26" s="70" t="str">
        <f aca="false">IF(R26&gt;=90,"O",IF(R26&gt;=75,"A+",IF(R26&gt;=60,"A",IF(R26&gt;=50,"B+",IF(R26&gt;=40,"B","F")))))</f>
        <v>A</v>
      </c>
      <c r="U26" s="71" t="n">
        <f aca="false">R26/100</f>
        <v>0.6</v>
      </c>
      <c r="V26" s="72" t="str">
        <f aca="false">IF(R26&gt;=40,"Pass","Fail")</f>
        <v>Pass</v>
      </c>
    </row>
    <row r="27" customFormat="false" ht="19.5" hidden="false" customHeight="true" outlineLevel="0" collapsed="false">
      <c r="A27" s="29" t="n">
        <v>16</v>
      </c>
      <c r="B27" s="29" t="s">
        <v>160</v>
      </c>
      <c r="C27" s="73" t="s">
        <v>161</v>
      </c>
      <c r="D27" s="64" t="n">
        <v>1</v>
      </c>
      <c r="E27" s="65" t="n">
        <f aca="false">IFERROR(D27/4*30,0)</f>
        <v>7.5</v>
      </c>
      <c r="F27" s="64" t="n">
        <v>1</v>
      </c>
      <c r="G27" s="65" t="n">
        <f aca="false">IFERROR(F27/4*20,0)</f>
        <v>5</v>
      </c>
      <c r="H27" s="64" t="n">
        <v>1</v>
      </c>
      <c r="I27" s="65" t="n">
        <f aca="false">IFERROR(H27/4*15,0)</f>
        <v>3.75</v>
      </c>
      <c r="J27" s="67" t="n">
        <v>3</v>
      </c>
      <c r="K27" s="65" t="n">
        <f aca="false">IFERROR(J27/4*10,0)</f>
        <v>7.5</v>
      </c>
      <c r="L27" s="66" t="n">
        <v>2</v>
      </c>
      <c r="M27" s="65" t="n">
        <f aca="false">IFERROR(L27/4*10,0)</f>
        <v>5</v>
      </c>
      <c r="N27" s="74" t="n">
        <v>4</v>
      </c>
      <c r="O27" s="65" t="n">
        <f aca="false">IFERROR(N27/4*10,0)</f>
        <v>10</v>
      </c>
      <c r="P27" s="66" t="n">
        <v>2</v>
      </c>
      <c r="Q27" s="65" t="n">
        <f aca="false">IFERROR(P27/4*5,0)</f>
        <v>2.5</v>
      </c>
      <c r="R27" s="68" t="n">
        <f aca="false">SUM(E27,G27,I27,K27,M27,O27,Q27)</f>
        <v>41.25</v>
      </c>
      <c r="S27" s="69" t="n">
        <f aca="false">R27</f>
        <v>41.25</v>
      </c>
      <c r="T27" s="70" t="str">
        <f aca="false">IF(R27&gt;=90,"O",IF(R27&gt;=75,"A+",IF(R27&gt;=60,"A",IF(R27&gt;=50,"B+",IF(R27&gt;=40,"B","F")))))</f>
        <v>B</v>
      </c>
      <c r="U27" s="71" t="n">
        <f aca="false">R27/100</f>
        <v>0.4125</v>
      </c>
      <c r="V27" s="72" t="str">
        <f aca="false">IF(R27&gt;=40,"Pass","Fail")</f>
        <v>Pass</v>
      </c>
    </row>
    <row r="28" customFormat="false" ht="19.5" hidden="false" customHeight="true" outlineLevel="0" collapsed="false">
      <c r="A28" s="27" t="n">
        <v>17</v>
      </c>
      <c r="B28" s="27" t="s">
        <v>162</v>
      </c>
      <c r="C28" s="63" t="s">
        <v>163</v>
      </c>
      <c r="D28" s="74" t="n">
        <v>4</v>
      </c>
      <c r="E28" s="65" t="n">
        <f aca="false">IFERROR(D28/4*30,0)</f>
        <v>30</v>
      </c>
      <c r="F28" s="64" t="n">
        <v>1</v>
      </c>
      <c r="G28" s="65" t="n">
        <f aca="false">IFERROR(F28/4*20,0)</f>
        <v>5</v>
      </c>
      <c r="H28" s="74" t="n">
        <v>4</v>
      </c>
      <c r="I28" s="65" t="n">
        <f aca="false">IFERROR(H28/4*15,0)</f>
        <v>15</v>
      </c>
      <c r="J28" s="66" t="n">
        <v>2</v>
      </c>
      <c r="K28" s="65" t="n">
        <f aca="false">IFERROR(J28/4*10,0)</f>
        <v>5</v>
      </c>
      <c r="L28" s="67" t="n">
        <v>3</v>
      </c>
      <c r="M28" s="65" t="n">
        <f aca="false">IFERROR(L28/4*10,0)</f>
        <v>7.5</v>
      </c>
      <c r="N28" s="66" t="n">
        <v>2</v>
      </c>
      <c r="O28" s="65" t="n">
        <f aca="false">IFERROR(N28/4*10,0)</f>
        <v>5</v>
      </c>
      <c r="P28" s="64" t="n">
        <v>1</v>
      </c>
      <c r="Q28" s="65" t="n">
        <f aca="false">IFERROR(P28/4*5,0)</f>
        <v>1.25</v>
      </c>
      <c r="R28" s="68" t="n">
        <f aca="false">SUM(E28,G28,I28,K28,M28,O28,Q28)</f>
        <v>68.75</v>
      </c>
      <c r="S28" s="69" t="n">
        <f aca="false">R28</f>
        <v>68.75</v>
      </c>
      <c r="T28" s="70" t="str">
        <f aca="false">IF(R28&gt;=90,"O",IF(R28&gt;=75,"A+",IF(R28&gt;=60,"A",IF(R28&gt;=50,"B+",IF(R28&gt;=40,"B","F")))))</f>
        <v>A</v>
      </c>
      <c r="U28" s="71" t="n">
        <f aca="false">R28/100</f>
        <v>0.6875</v>
      </c>
      <c r="V28" s="72" t="str">
        <f aca="false">IF(R28&gt;=40,"Pass","Fail")</f>
        <v>Pass</v>
      </c>
    </row>
    <row r="29" customFormat="false" ht="19.5" hidden="false" customHeight="true" outlineLevel="0" collapsed="false">
      <c r="A29" s="29" t="n">
        <v>18</v>
      </c>
      <c r="B29" s="29" t="s">
        <v>164</v>
      </c>
      <c r="C29" s="73" t="s">
        <v>165</v>
      </c>
      <c r="D29" s="66" t="n">
        <v>2</v>
      </c>
      <c r="E29" s="65" t="n">
        <f aca="false">IFERROR(D29/4*30,0)</f>
        <v>15</v>
      </c>
      <c r="F29" s="74" t="n">
        <v>4</v>
      </c>
      <c r="G29" s="65" t="n">
        <f aca="false">IFERROR(F29/4*20,0)</f>
        <v>20</v>
      </c>
      <c r="H29" s="74" t="n">
        <v>4</v>
      </c>
      <c r="I29" s="65" t="n">
        <f aca="false">IFERROR(H29/4*15,0)</f>
        <v>15</v>
      </c>
      <c r="J29" s="66" t="n">
        <v>2</v>
      </c>
      <c r="K29" s="65" t="n">
        <f aca="false">IFERROR(J29/4*10,0)</f>
        <v>5</v>
      </c>
      <c r="L29" s="74" t="n">
        <v>4</v>
      </c>
      <c r="M29" s="65" t="n">
        <f aca="false">IFERROR(L29/4*10,0)</f>
        <v>10</v>
      </c>
      <c r="N29" s="64" t="n">
        <v>1</v>
      </c>
      <c r="O29" s="65" t="n">
        <f aca="false">IFERROR(N29/4*10,0)</f>
        <v>2.5</v>
      </c>
      <c r="P29" s="67" t="n">
        <v>3</v>
      </c>
      <c r="Q29" s="65" t="n">
        <f aca="false">IFERROR(P29/4*5,0)</f>
        <v>3.75</v>
      </c>
      <c r="R29" s="68" t="n">
        <f aca="false">SUM(E29,G29,I29,K29,M29,O29,Q29)</f>
        <v>71.25</v>
      </c>
      <c r="S29" s="69" t="n">
        <f aca="false">R29</f>
        <v>71.25</v>
      </c>
      <c r="T29" s="70" t="str">
        <f aca="false">IF(R29&gt;=90,"O",IF(R29&gt;=75,"A+",IF(R29&gt;=60,"A",IF(R29&gt;=50,"B+",IF(R29&gt;=40,"B","F")))))</f>
        <v>A</v>
      </c>
      <c r="U29" s="71" t="n">
        <f aca="false">R29/100</f>
        <v>0.7125</v>
      </c>
      <c r="V29" s="72" t="str">
        <f aca="false">IF(R29&gt;=40,"Pass","Fail")</f>
        <v>Pass</v>
      </c>
    </row>
    <row r="30" customFormat="false" ht="19.5" hidden="false" customHeight="true" outlineLevel="0" collapsed="false">
      <c r="A30" s="27" t="n">
        <v>19</v>
      </c>
      <c r="B30" s="27" t="s">
        <v>166</v>
      </c>
      <c r="C30" s="63" t="s">
        <v>167</v>
      </c>
      <c r="D30" s="74" t="n">
        <v>4</v>
      </c>
      <c r="E30" s="65" t="n">
        <f aca="false">IFERROR(D30/4*30,0)</f>
        <v>30</v>
      </c>
      <c r="F30" s="67" t="n">
        <v>3</v>
      </c>
      <c r="G30" s="65" t="n">
        <f aca="false">IFERROR(F30/4*20,0)</f>
        <v>15</v>
      </c>
      <c r="H30" s="64" t="n">
        <v>1</v>
      </c>
      <c r="I30" s="65" t="n">
        <f aca="false">IFERROR(H30/4*15,0)</f>
        <v>3.75</v>
      </c>
      <c r="J30" s="74" t="n">
        <v>4</v>
      </c>
      <c r="K30" s="65" t="n">
        <f aca="false">IFERROR(J30/4*10,0)</f>
        <v>10</v>
      </c>
      <c r="L30" s="67" t="n">
        <v>3</v>
      </c>
      <c r="M30" s="65" t="n">
        <f aca="false">IFERROR(L30/4*10,0)</f>
        <v>7.5</v>
      </c>
      <c r="N30" s="74" t="n">
        <v>4</v>
      </c>
      <c r="O30" s="65" t="n">
        <f aca="false">IFERROR(N30/4*10,0)</f>
        <v>10</v>
      </c>
      <c r="P30" s="74" t="n">
        <v>4</v>
      </c>
      <c r="Q30" s="65" t="n">
        <f aca="false">IFERROR(P30/4*5,0)</f>
        <v>5</v>
      </c>
      <c r="R30" s="68" t="n">
        <f aca="false">SUM(E30,G30,I30,K30,M30,O30,Q30)</f>
        <v>81.25</v>
      </c>
      <c r="S30" s="69" t="n">
        <f aca="false">R30</f>
        <v>81.25</v>
      </c>
      <c r="T30" s="70" t="str">
        <f aca="false">IF(R30&gt;=90,"O",IF(R30&gt;=75,"A+",IF(R30&gt;=60,"A",IF(R30&gt;=50,"B+",IF(R30&gt;=40,"B","F")))))</f>
        <v>A+</v>
      </c>
      <c r="U30" s="71" t="n">
        <f aca="false">R30/100</f>
        <v>0.8125</v>
      </c>
      <c r="V30" s="72" t="str">
        <f aca="false">IF(R30&gt;=40,"Pass","Fail")</f>
        <v>Pass</v>
      </c>
    </row>
    <row r="31" customFormat="false" ht="19.5" hidden="false" customHeight="true" outlineLevel="0" collapsed="false">
      <c r="A31" s="29" t="n">
        <v>20</v>
      </c>
      <c r="B31" s="29" t="s">
        <v>168</v>
      </c>
      <c r="C31" s="73" t="s">
        <v>169</v>
      </c>
      <c r="D31" s="67" t="n">
        <v>3</v>
      </c>
      <c r="E31" s="65" t="n">
        <f aca="false">IFERROR(D31/4*30,0)</f>
        <v>22.5</v>
      </c>
      <c r="F31" s="64" t="n">
        <v>1</v>
      </c>
      <c r="G31" s="65" t="n">
        <f aca="false">IFERROR(F31/4*20,0)</f>
        <v>5</v>
      </c>
      <c r="H31" s="64" t="n">
        <v>1</v>
      </c>
      <c r="I31" s="65" t="n">
        <f aca="false">IFERROR(H31/4*15,0)</f>
        <v>3.75</v>
      </c>
      <c r="J31" s="66" t="n">
        <v>2</v>
      </c>
      <c r="K31" s="65" t="n">
        <f aca="false">IFERROR(J31/4*10,0)</f>
        <v>5</v>
      </c>
      <c r="L31" s="74" t="n">
        <v>4</v>
      </c>
      <c r="M31" s="65" t="n">
        <f aca="false">IFERROR(L31/4*10,0)</f>
        <v>10</v>
      </c>
      <c r="N31" s="66" t="n">
        <v>2</v>
      </c>
      <c r="O31" s="65" t="n">
        <f aca="false">IFERROR(N31/4*10,0)</f>
        <v>5</v>
      </c>
      <c r="P31" s="64" t="n">
        <v>1</v>
      </c>
      <c r="Q31" s="65" t="n">
        <f aca="false">IFERROR(P31/4*5,0)</f>
        <v>1.25</v>
      </c>
      <c r="R31" s="68" t="n">
        <f aca="false">SUM(E31,G31,I31,K31,M31,O31,Q31)</f>
        <v>52.5</v>
      </c>
      <c r="S31" s="69" t="n">
        <f aca="false">R31</f>
        <v>52.5</v>
      </c>
      <c r="T31" s="70" t="str">
        <f aca="false">IF(R31&gt;=90,"O",IF(R31&gt;=75,"A+",IF(R31&gt;=60,"A",IF(R31&gt;=50,"B+",IF(R31&gt;=40,"B","F")))))</f>
        <v>B+</v>
      </c>
      <c r="U31" s="71" t="n">
        <f aca="false">R31/100</f>
        <v>0.525</v>
      </c>
      <c r="V31" s="72" t="str">
        <f aca="false">IF(R31&gt;=40,"Pass","Fail")</f>
        <v>Pass</v>
      </c>
    </row>
    <row r="32" customFormat="false" ht="19.5" hidden="false" customHeight="true" outlineLevel="0" collapsed="false">
      <c r="A32" s="27" t="n">
        <v>21</v>
      </c>
      <c r="B32" s="27" t="s">
        <v>170</v>
      </c>
      <c r="C32" s="63" t="s">
        <v>171</v>
      </c>
      <c r="D32" s="64" t="n">
        <v>1</v>
      </c>
      <c r="E32" s="65" t="n">
        <f aca="false">IFERROR(D32/4*30,0)</f>
        <v>7.5</v>
      </c>
      <c r="F32" s="64" t="n">
        <v>1</v>
      </c>
      <c r="G32" s="65" t="n">
        <f aca="false">IFERROR(F32/4*20,0)</f>
        <v>5</v>
      </c>
      <c r="H32" s="67" t="n">
        <v>3</v>
      </c>
      <c r="I32" s="65" t="n">
        <f aca="false">IFERROR(H32/4*15,0)</f>
        <v>11.25</v>
      </c>
      <c r="J32" s="67" t="n">
        <v>3</v>
      </c>
      <c r="K32" s="65" t="n">
        <f aca="false">IFERROR(J32/4*10,0)</f>
        <v>7.5</v>
      </c>
      <c r="L32" s="64" t="n">
        <v>1</v>
      </c>
      <c r="M32" s="65" t="n">
        <f aca="false">IFERROR(L32/4*10,0)</f>
        <v>2.5</v>
      </c>
      <c r="N32" s="64" t="n">
        <v>1</v>
      </c>
      <c r="O32" s="65" t="n">
        <f aca="false">IFERROR(N32/4*10,0)</f>
        <v>2.5</v>
      </c>
      <c r="P32" s="74" t="n">
        <v>4</v>
      </c>
      <c r="Q32" s="65" t="n">
        <f aca="false">IFERROR(P32/4*5,0)</f>
        <v>5</v>
      </c>
      <c r="R32" s="68" t="n">
        <f aca="false">SUM(E32,G32,I32,K32,M32,O32,Q32)</f>
        <v>41.25</v>
      </c>
      <c r="S32" s="69" t="n">
        <f aca="false">R32</f>
        <v>41.25</v>
      </c>
      <c r="T32" s="70" t="str">
        <f aca="false">IF(R32&gt;=90,"O",IF(R32&gt;=75,"A+",IF(R32&gt;=60,"A",IF(R32&gt;=50,"B+",IF(R32&gt;=40,"B","F")))))</f>
        <v>B</v>
      </c>
      <c r="U32" s="71" t="n">
        <f aca="false">R32/100</f>
        <v>0.4125</v>
      </c>
      <c r="V32" s="72" t="str">
        <f aca="false">IF(R32&gt;=40,"Pass","Fail")</f>
        <v>Pass</v>
      </c>
    </row>
    <row r="33" customFormat="false" ht="19.5" hidden="false" customHeight="true" outlineLevel="0" collapsed="false">
      <c r="A33" s="29" t="n">
        <v>22</v>
      </c>
      <c r="B33" s="29" t="s">
        <v>172</v>
      </c>
      <c r="C33" s="73" t="s">
        <v>173</v>
      </c>
      <c r="D33" s="66" t="n">
        <v>2</v>
      </c>
      <c r="E33" s="65" t="n">
        <f aca="false">IFERROR(D33/4*30,0)</f>
        <v>15</v>
      </c>
      <c r="F33" s="64" t="n">
        <v>1</v>
      </c>
      <c r="G33" s="65" t="n">
        <f aca="false">IFERROR(F33/4*20,0)</f>
        <v>5</v>
      </c>
      <c r="H33" s="74" t="n">
        <v>4</v>
      </c>
      <c r="I33" s="65" t="n">
        <f aca="false">IFERROR(H33/4*15,0)</f>
        <v>15</v>
      </c>
      <c r="J33" s="64" t="n">
        <v>1</v>
      </c>
      <c r="K33" s="65" t="n">
        <f aca="false">IFERROR(J33/4*10,0)</f>
        <v>2.5</v>
      </c>
      <c r="L33" s="64" t="n">
        <v>1</v>
      </c>
      <c r="M33" s="65" t="n">
        <f aca="false">IFERROR(L33/4*10,0)</f>
        <v>2.5</v>
      </c>
      <c r="N33" s="67" t="n">
        <v>3</v>
      </c>
      <c r="O33" s="65" t="n">
        <f aca="false">IFERROR(N33/4*10,0)</f>
        <v>7.5</v>
      </c>
      <c r="P33" s="74" t="n">
        <v>4</v>
      </c>
      <c r="Q33" s="65" t="n">
        <f aca="false">IFERROR(P33/4*5,0)</f>
        <v>5</v>
      </c>
      <c r="R33" s="68" t="n">
        <f aca="false">SUM(E33,G33,I33,K33,M33,O33,Q33)</f>
        <v>52.5</v>
      </c>
      <c r="S33" s="69" t="n">
        <f aca="false">R33</f>
        <v>52.5</v>
      </c>
      <c r="T33" s="70" t="str">
        <f aca="false">IF(R33&gt;=90,"O",IF(R33&gt;=75,"A+",IF(R33&gt;=60,"A",IF(R33&gt;=50,"B+",IF(R33&gt;=40,"B","F")))))</f>
        <v>B+</v>
      </c>
      <c r="U33" s="71" t="n">
        <f aca="false">R33/100</f>
        <v>0.525</v>
      </c>
      <c r="V33" s="72" t="str">
        <f aca="false">IF(R33&gt;=40,"Pass","Fail")</f>
        <v>Pass</v>
      </c>
    </row>
    <row r="34" customFormat="false" ht="19.5" hidden="false" customHeight="true" outlineLevel="0" collapsed="false">
      <c r="A34" s="27" t="n">
        <v>23</v>
      </c>
      <c r="B34" s="27" t="s">
        <v>174</v>
      </c>
      <c r="C34" s="63" t="s">
        <v>175</v>
      </c>
      <c r="D34" s="64" t="n">
        <v>1</v>
      </c>
      <c r="E34" s="65" t="n">
        <f aca="false">IFERROR(D34/4*30,0)</f>
        <v>7.5</v>
      </c>
      <c r="F34" s="74" t="n">
        <v>4</v>
      </c>
      <c r="G34" s="65" t="n">
        <f aca="false">IFERROR(F34/4*20,0)</f>
        <v>20</v>
      </c>
      <c r="H34" s="66" t="n">
        <v>2</v>
      </c>
      <c r="I34" s="65" t="n">
        <f aca="false">IFERROR(H34/4*15,0)</f>
        <v>7.5</v>
      </c>
      <c r="J34" s="67" t="n">
        <v>3</v>
      </c>
      <c r="K34" s="65" t="n">
        <f aca="false">IFERROR(J34/4*10,0)</f>
        <v>7.5</v>
      </c>
      <c r="L34" s="66" t="n">
        <v>2</v>
      </c>
      <c r="M34" s="65" t="n">
        <f aca="false">IFERROR(L34/4*10,0)</f>
        <v>5</v>
      </c>
      <c r="N34" s="66" t="n">
        <v>2</v>
      </c>
      <c r="O34" s="65" t="n">
        <f aca="false">IFERROR(N34/4*10,0)</f>
        <v>5</v>
      </c>
      <c r="P34" s="67" t="n">
        <v>3</v>
      </c>
      <c r="Q34" s="65" t="n">
        <f aca="false">IFERROR(P34/4*5,0)</f>
        <v>3.75</v>
      </c>
      <c r="R34" s="68" t="n">
        <f aca="false">SUM(E34,G34,I34,K34,M34,O34,Q34)</f>
        <v>56.25</v>
      </c>
      <c r="S34" s="69" t="n">
        <f aca="false">R34</f>
        <v>56.25</v>
      </c>
      <c r="T34" s="70" t="str">
        <f aca="false">IF(R34&gt;=90,"O",IF(R34&gt;=75,"A+",IF(R34&gt;=60,"A",IF(R34&gt;=50,"B+",IF(R34&gt;=40,"B","F")))))</f>
        <v>B+</v>
      </c>
      <c r="U34" s="71" t="n">
        <f aca="false">R34/100</f>
        <v>0.5625</v>
      </c>
      <c r="V34" s="72" t="str">
        <f aca="false">IF(R34&gt;=40,"Pass","Fail")</f>
        <v>Pass</v>
      </c>
    </row>
    <row r="35" customFormat="false" ht="19.5" hidden="false" customHeight="true" outlineLevel="0" collapsed="false">
      <c r="A35" s="29" t="n">
        <v>24</v>
      </c>
      <c r="B35" s="29" t="s">
        <v>176</v>
      </c>
      <c r="C35" s="73" t="s">
        <v>177</v>
      </c>
      <c r="D35" s="67" t="n">
        <v>3</v>
      </c>
      <c r="E35" s="65" t="n">
        <f aca="false">IFERROR(D35/4*30,0)</f>
        <v>22.5</v>
      </c>
      <c r="F35" s="64" t="n">
        <v>1</v>
      </c>
      <c r="G35" s="65" t="n">
        <f aca="false">IFERROR(F35/4*20,0)</f>
        <v>5</v>
      </c>
      <c r="H35" s="74" t="n">
        <v>4</v>
      </c>
      <c r="I35" s="65" t="n">
        <f aca="false">IFERROR(H35/4*15,0)</f>
        <v>15</v>
      </c>
      <c r="J35" s="74" t="n">
        <v>4</v>
      </c>
      <c r="K35" s="65" t="n">
        <f aca="false">IFERROR(J35/4*10,0)</f>
        <v>10</v>
      </c>
      <c r="L35" s="64" t="n">
        <v>1</v>
      </c>
      <c r="M35" s="65" t="n">
        <f aca="false">IFERROR(L35/4*10,0)</f>
        <v>2.5</v>
      </c>
      <c r="N35" s="67" t="n">
        <v>3</v>
      </c>
      <c r="O35" s="65" t="n">
        <f aca="false">IFERROR(N35/4*10,0)</f>
        <v>7.5</v>
      </c>
      <c r="P35" s="64" t="n">
        <v>1</v>
      </c>
      <c r="Q35" s="65" t="n">
        <f aca="false">IFERROR(P35/4*5,0)</f>
        <v>1.25</v>
      </c>
      <c r="R35" s="68" t="n">
        <f aca="false">SUM(E35,G35,I35,K35,M35,O35,Q35)</f>
        <v>63.75</v>
      </c>
      <c r="S35" s="69" t="n">
        <f aca="false">R35</f>
        <v>63.75</v>
      </c>
      <c r="T35" s="70" t="str">
        <f aca="false">IF(R35&gt;=90,"O",IF(R35&gt;=75,"A+",IF(R35&gt;=60,"A",IF(R35&gt;=50,"B+",IF(R35&gt;=40,"B","F")))))</f>
        <v>A</v>
      </c>
      <c r="U35" s="71" t="n">
        <f aca="false">R35/100</f>
        <v>0.6375</v>
      </c>
      <c r="V35" s="72" t="str">
        <f aca="false">IF(R35&gt;=40,"Pass","Fail")</f>
        <v>Pass</v>
      </c>
    </row>
    <row r="36" customFormat="false" ht="19.5" hidden="false" customHeight="true" outlineLevel="0" collapsed="false">
      <c r="A36" s="27" t="n">
        <v>25</v>
      </c>
      <c r="B36" s="27" t="s">
        <v>178</v>
      </c>
      <c r="C36" s="63" t="s">
        <v>179</v>
      </c>
      <c r="D36" s="64" t="n">
        <v>1</v>
      </c>
      <c r="E36" s="65" t="n">
        <f aca="false">IFERROR(D36/4*30,0)</f>
        <v>7.5</v>
      </c>
      <c r="F36" s="64" t="n">
        <v>1</v>
      </c>
      <c r="G36" s="65" t="n">
        <f aca="false">IFERROR(F36/4*20,0)</f>
        <v>5</v>
      </c>
      <c r="H36" s="67" t="n">
        <v>3</v>
      </c>
      <c r="I36" s="65" t="n">
        <f aca="false">IFERROR(H36/4*15,0)</f>
        <v>11.25</v>
      </c>
      <c r="J36" s="64" t="n">
        <v>1</v>
      </c>
      <c r="K36" s="65" t="n">
        <f aca="false">IFERROR(J36/4*10,0)</f>
        <v>2.5</v>
      </c>
      <c r="L36" s="66" t="n">
        <v>2</v>
      </c>
      <c r="M36" s="65" t="n">
        <f aca="false">IFERROR(L36/4*10,0)</f>
        <v>5</v>
      </c>
      <c r="N36" s="66" t="n">
        <v>2</v>
      </c>
      <c r="O36" s="65" t="n">
        <f aca="false">IFERROR(N36/4*10,0)</f>
        <v>5</v>
      </c>
      <c r="P36" s="64" t="n">
        <v>1</v>
      </c>
      <c r="Q36" s="65" t="n">
        <f aca="false">IFERROR(P36/4*5,0)</f>
        <v>1.25</v>
      </c>
      <c r="R36" s="68" t="n">
        <f aca="false">SUM(E36,G36,I36,K36,M36,O36,Q36)</f>
        <v>37.5</v>
      </c>
      <c r="S36" s="69" t="n">
        <f aca="false">R36</f>
        <v>37.5</v>
      </c>
      <c r="T36" s="70" t="str">
        <f aca="false">IF(R36&gt;=90,"O",IF(R36&gt;=75,"A+",IF(R36&gt;=60,"A",IF(R36&gt;=50,"B+",IF(R36&gt;=40,"B","F")))))</f>
        <v>F</v>
      </c>
      <c r="U36" s="71" t="n">
        <f aca="false">R36/100</f>
        <v>0.375</v>
      </c>
      <c r="V36" s="72" t="str">
        <f aca="false">IF(R36&gt;=40,"Pass","Fail")</f>
        <v>Fail</v>
      </c>
    </row>
    <row r="37" customFormat="false" ht="19.5" hidden="false" customHeight="true" outlineLevel="0" collapsed="false">
      <c r="A37" s="29" t="n">
        <v>26</v>
      </c>
      <c r="B37" s="29" t="s">
        <v>180</v>
      </c>
      <c r="C37" s="73" t="s">
        <v>181</v>
      </c>
      <c r="D37" s="74" t="n">
        <v>4</v>
      </c>
      <c r="E37" s="65" t="n">
        <f aca="false">IFERROR(D37/4*30,0)</f>
        <v>30</v>
      </c>
      <c r="F37" s="74" t="n">
        <v>4</v>
      </c>
      <c r="G37" s="65" t="n">
        <f aca="false">IFERROR(F37/4*20,0)</f>
        <v>20</v>
      </c>
      <c r="H37" s="67" t="n">
        <v>3</v>
      </c>
      <c r="I37" s="65" t="n">
        <f aca="false">IFERROR(H37/4*15,0)</f>
        <v>11.25</v>
      </c>
      <c r="J37" s="64" t="n">
        <v>1</v>
      </c>
      <c r="K37" s="65" t="n">
        <f aca="false">IFERROR(J37/4*10,0)</f>
        <v>2.5</v>
      </c>
      <c r="L37" s="64" t="n">
        <v>1</v>
      </c>
      <c r="M37" s="65" t="n">
        <f aca="false">IFERROR(L37/4*10,0)</f>
        <v>2.5</v>
      </c>
      <c r="N37" s="74" t="n">
        <v>4</v>
      </c>
      <c r="O37" s="65" t="n">
        <f aca="false">IFERROR(N37/4*10,0)</f>
        <v>10</v>
      </c>
      <c r="P37" s="64" t="n">
        <v>1</v>
      </c>
      <c r="Q37" s="65" t="n">
        <f aca="false">IFERROR(P37/4*5,0)</f>
        <v>1.25</v>
      </c>
      <c r="R37" s="68" t="n">
        <f aca="false">SUM(E37,G37,I37,K37,M37,O37,Q37)</f>
        <v>77.5</v>
      </c>
      <c r="S37" s="69" t="n">
        <f aca="false">R37</f>
        <v>77.5</v>
      </c>
      <c r="T37" s="70" t="str">
        <f aca="false">IF(R37&gt;=90,"O",IF(R37&gt;=75,"A+",IF(R37&gt;=60,"A",IF(R37&gt;=50,"B+",IF(R37&gt;=40,"B","F")))))</f>
        <v>A+</v>
      </c>
      <c r="U37" s="71" t="n">
        <f aca="false">R37/100</f>
        <v>0.775</v>
      </c>
      <c r="V37" s="72" t="str">
        <f aca="false">IF(R37&gt;=40,"Pass","Fail")</f>
        <v>Pass</v>
      </c>
    </row>
    <row r="38" customFormat="false" ht="19.5" hidden="false" customHeight="true" outlineLevel="0" collapsed="false">
      <c r="A38" s="27" t="n">
        <v>27</v>
      </c>
      <c r="B38" s="27" t="s">
        <v>182</v>
      </c>
      <c r="C38" s="63" t="s">
        <v>183</v>
      </c>
      <c r="D38" s="66" t="n">
        <v>2</v>
      </c>
      <c r="E38" s="65" t="n">
        <f aca="false">IFERROR(D38/4*30,0)</f>
        <v>15</v>
      </c>
      <c r="F38" s="74" t="n">
        <v>4</v>
      </c>
      <c r="G38" s="65" t="n">
        <f aca="false">IFERROR(F38/4*20,0)</f>
        <v>20</v>
      </c>
      <c r="H38" s="74" t="n">
        <v>4</v>
      </c>
      <c r="I38" s="65" t="n">
        <f aca="false">IFERROR(H38/4*15,0)</f>
        <v>15</v>
      </c>
      <c r="J38" s="64" t="n">
        <v>1</v>
      </c>
      <c r="K38" s="65" t="n">
        <f aca="false">IFERROR(J38/4*10,0)</f>
        <v>2.5</v>
      </c>
      <c r="L38" s="67" t="n">
        <v>3</v>
      </c>
      <c r="M38" s="65" t="n">
        <f aca="false">IFERROR(L38/4*10,0)</f>
        <v>7.5</v>
      </c>
      <c r="N38" s="74" t="n">
        <v>4</v>
      </c>
      <c r="O38" s="65" t="n">
        <f aca="false">IFERROR(N38/4*10,0)</f>
        <v>10</v>
      </c>
      <c r="P38" s="64" t="n">
        <v>1</v>
      </c>
      <c r="Q38" s="65" t="n">
        <f aca="false">IFERROR(P38/4*5,0)</f>
        <v>1.25</v>
      </c>
      <c r="R38" s="68" t="n">
        <f aca="false">SUM(E38,G38,I38,K38,M38,O38,Q38)</f>
        <v>71.25</v>
      </c>
      <c r="S38" s="69" t="n">
        <f aca="false">R38</f>
        <v>71.25</v>
      </c>
      <c r="T38" s="70" t="str">
        <f aca="false">IF(R38&gt;=90,"O",IF(R38&gt;=75,"A+",IF(R38&gt;=60,"A",IF(R38&gt;=50,"B+",IF(R38&gt;=40,"B","F")))))</f>
        <v>A</v>
      </c>
      <c r="U38" s="71" t="n">
        <f aca="false">R38/100</f>
        <v>0.7125</v>
      </c>
      <c r="V38" s="72" t="str">
        <f aca="false">IF(R38&gt;=40,"Pass","Fail")</f>
        <v>Pass</v>
      </c>
    </row>
    <row r="39" customFormat="false" ht="19.5" hidden="false" customHeight="true" outlineLevel="0" collapsed="false">
      <c r="A39" s="29" t="n">
        <v>28</v>
      </c>
      <c r="B39" s="29" t="s">
        <v>184</v>
      </c>
      <c r="C39" s="73" t="s">
        <v>185</v>
      </c>
      <c r="D39" s="64" t="n">
        <v>1</v>
      </c>
      <c r="E39" s="65" t="n">
        <f aca="false">IFERROR(D39/4*30,0)</f>
        <v>7.5</v>
      </c>
      <c r="F39" s="64" t="n">
        <v>1</v>
      </c>
      <c r="G39" s="65" t="n">
        <f aca="false">IFERROR(F39/4*20,0)</f>
        <v>5</v>
      </c>
      <c r="H39" s="64" t="n">
        <v>1</v>
      </c>
      <c r="I39" s="65" t="n">
        <f aca="false">IFERROR(H39/4*15,0)</f>
        <v>3.75</v>
      </c>
      <c r="J39" s="64" t="n">
        <v>1</v>
      </c>
      <c r="K39" s="65" t="n">
        <f aca="false">IFERROR(J39/4*10,0)</f>
        <v>2.5</v>
      </c>
      <c r="L39" s="74" t="n">
        <v>4</v>
      </c>
      <c r="M39" s="65" t="n">
        <f aca="false">IFERROR(L39/4*10,0)</f>
        <v>10</v>
      </c>
      <c r="N39" s="67" t="n">
        <v>3</v>
      </c>
      <c r="O39" s="65" t="n">
        <f aca="false">IFERROR(N39/4*10,0)</f>
        <v>7.5</v>
      </c>
      <c r="P39" s="67" t="n">
        <v>3</v>
      </c>
      <c r="Q39" s="65" t="n">
        <f aca="false">IFERROR(P39/4*5,0)</f>
        <v>3.75</v>
      </c>
      <c r="R39" s="68" t="n">
        <f aca="false">SUM(E39,G39,I39,K39,M39,O39,Q39)</f>
        <v>40</v>
      </c>
      <c r="S39" s="69" t="n">
        <f aca="false">R39</f>
        <v>40</v>
      </c>
      <c r="T39" s="70" t="str">
        <f aca="false">IF(R39&gt;=90,"O",IF(R39&gt;=75,"A+",IF(R39&gt;=60,"A",IF(R39&gt;=50,"B+",IF(R39&gt;=40,"B","F")))))</f>
        <v>B</v>
      </c>
      <c r="U39" s="71" t="n">
        <f aca="false">R39/100</f>
        <v>0.4</v>
      </c>
      <c r="V39" s="72" t="str">
        <f aca="false">IF(R39&gt;=40,"Pass","Fail")</f>
        <v>Pass</v>
      </c>
    </row>
    <row r="40" customFormat="false" ht="19.5" hidden="false" customHeight="true" outlineLevel="0" collapsed="false">
      <c r="A40" s="27" t="n">
        <v>29</v>
      </c>
      <c r="B40" s="27" t="s">
        <v>186</v>
      </c>
      <c r="C40" s="63" t="s">
        <v>187</v>
      </c>
      <c r="D40" s="66" t="n">
        <v>2</v>
      </c>
      <c r="E40" s="65" t="n">
        <f aca="false">IFERROR(D40/4*30,0)</f>
        <v>15</v>
      </c>
      <c r="F40" s="74" t="n">
        <v>4</v>
      </c>
      <c r="G40" s="65" t="n">
        <f aca="false">IFERROR(F40/4*20,0)</f>
        <v>20</v>
      </c>
      <c r="H40" s="64" t="n">
        <v>1</v>
      </c>
      <c r="I40" s="65" t="n">
        <f aca="false">IFERROR(H40/4*15,0)</f>
        <v>3.75</v>
      </c>
      <c r="J40" s="66" t="n">
        <v>2</v>
      </c>
      <c r="K40" s="65" t="n">
        <f aca="false">IFERROR(J40/4*10,0)</f>
        <v>5</v>
      </c>
      <c r="L40" s="66" t="n">
        <v>2</v>
      </c>
      <c r="M40" s="65" t="n">
        <f aca="false">IFERROR(L40/4*10,0)</f>
        <v>5</v>
      </c>
      <c r="N40" s="67" t="n">
        <v>3</v>
      </c>
      <c r="O40" s="65" t="n">
        <f aca="false">IFERROR(N40/4*10,0)</f>
        <v>7.5</v>
      </c>
      <c r="P40" s="74" t="n">
        <v>4</v>
      </c>
      <c r="Q40" s="65" t="n">
        <f aca="false">IFERROR(P40/4*5,0)</f>
        <v>5</v>
      </c>
      <c r="R40" s="68" t="n">
        <f aca="false">SUM(E40,G40,I40,K40,M40,O40,Q40)</f>
        <v>61.25</v>
      </c>
      <c r="S40" s="69" t="n">
        <f aca="false">R40</f>
        <v>61.25</v>
      </c>
      <c r="T40" s="70" t="str">
        <f aca="false">IF(R40&gt;=90,"O",IF(R40&gt;=75,"A+",IF(R40&gt;=60,"A",IF(R40&gt;=50,"B+",IF(R40&gt;=40,"B","F")))))</f>
        <v>A</v>
      </c>
      <c r="U40" s="71" t="n">
        <f aca="false">R40/100</f>
        <v>0.6125</v>
      </c>
      <c r="V40" s="72" t="str">
        <f aca="false">IF(R40&gt;=40,"Pass","Fail")</f>
        <v>Pass</v>
      </c>
    </row>
    <row r="41" customFormat="false" ht="19.5" hidden="false" customHeight="true" outlineLevel="0" collapsed="false">
      <c r="A41" s="29" t="n">
        <v>30</v>
      </c>
      <c r="B41" s="29" t="s">
        <v>188</v>
      </c>
      <c r="C41" s="73" t="s">
        <v>189</v>
      </c>
      <c r="D41" s="67" t="n">
        <v>3</v>
      </c>
      <c r="E41" s="65" t="n">
        <f aca="false">IFERROR(D41/4*30,0)</f>
        <v>22.5</v>
      </c>
      <c r="F41" s="74" t="n">
        <v>4</v>
      </c>
      <c r="G41" s="65" t="n">
        <f aca="false">IFERROR(F41/4*20,0)</f>
        <v>20</v>
      </c>
      <c r="H41" s="64" t="n">
        <v>1</v>
      </c>
      <c r="I41" s="65" t="n">
        <f aca="false">IFERROR(H41/4*15,0)</f>
        <v>3.75</v>
      </c>
      <c r="J41" s="66" t="n">
        <v>2</v>
      </c>
      <c r="K41" s="65" t="n">
        <f aca="false">IFERROR(J41/4*10,0)</f>
        <v>5</v>
      </c>
      <c r="L41" s="67" t="n">
        <v>3</v>
      </c>
      <c r="M41" s="65" t="n">
        <f aca="false">IFERROR(L41/4*10,0)</f>
        <v>7.5</v>
      </c>
      <c r="N41" s="74" t="n">
        <v>4</v>
      </c>
      <c r="O41" s="65" t="n">
        <f aca="false">IFERROR(N41/4*10,0)</f>
        <v>10</v>
      </c>
      <c r="P41" s="67" t="n">
        <v>3</v>
      </c>
      <c r="Q41" s="65" t="n">
        <f aca="false">IFERROR(P41/4*5,0)</f>
        <v>3.75</v>
      </c>
      <c r="R41" s="68" t="n">
        <f aca="false">SUM(E41,G41,I41,K41,M41,O41,Q41)</f>
        <v>72.5</v>
      </c>
      <c r="S41" s="69" t="n">
        <f aca="false">R41</f>
        <v>72.5</v>
      </c>
      <c r="T41" s="70" t="str">
        <f aca="false">IF(R41&gt;=90,"O",IF(R41&gt;=75,"A+",IF(R41&gt;=60,"A",IF(R41&gt;=50,"B+",IF(R41&gt;=40,"B","F")))))</f>
        <v>A</v>
      </c>
      <c r="U41" s="71" t="n">
        <f aca="false">R41/100</f>
        <v>0.725</v>
      </c>
      <c r="V41" s="72" t="str">
        <f aca="false">IF(R41&gt;=40,"Pass","Fail")</f>
        <v>Pass</v>
      </c>
    </row>
    <row r="43" customFormat="false" ht="21.75" hidden="false" customHeight="true" outlineLevel="0" collapsed="false">
      <c r="A43" s="40" t="s">
        <v>190</v>
      </c>
      <c r="B43" s="40"/>
      <c r="C43" s="40"/>
      <c r="D43" s="75" t="n">
        <f aca="false">AVERAGE(D12:D41)</f>
        <v>2.4</v>
      </c>
      <c r="E43" s="76" t="n">
        <f aca="false">AVERAGE(E12:E41)</f>
        <v>18</v>
      </c>
      <c r="F43" s="75" t="n">
        <f aca="false">AVERAGE(F12:F41)</f>
        <v>2.4</v>
      </c>
      <c r="G43" s="76" t="n">
        <f aca="false">AVERAGE(G12:G41)</f>
        <v>12</v>
      </c>
      <c r="H43" s="75" t="n">
        <f aca="false">AVERAGE(H12:H41)</f>
        <v>2.66666666666667</v>
      </c>
      <c r="I43" s="76" t="n">
        <f aca="false">AVERAGE(I12:I41)</f>
        <v>10</v>
      </c>
      <c r="J43" s="75" t="n">
        <f aca="false">AVERAGE(J12:J41)</f>
        <v>2.33333333333333</v>
      </c>
      <c r="K43" s="76" t="n">
        <f aca="false">AVERAGE(K12:K41)</f>
        <v>5.83333333333333</v>
      </c>
      <c r="L43" s="75" t="n">
        <f aca="false">AVERAGE(L12:L41)</f>
        <v>2.53333333333333</v>
      </c>
      <c r="M43" s="76" t="n">
        <f aca="false">AVERAGE(M12:M41)</f>
        <v>6.33333333333333</v>
      </c>
      <c r="N43" s="75" t="n">
        <f aca="false">AVERAGE(N12:N41)</f>
        <v>2.73333333333333</v>
      </c>
      <c r="O43" s="76" t="n">
        <f aca="false">AVERAGE(O12:O41)</f>
        <v>6.83333333333333</v>
      </c>
      <c r="P43" s="75" t="n">
        <f aca="false">AVERAGE(P12:P41)</f>
        <v>2.66666666666667</v>
      </c>
      <c r="Q43" s="76" t="n">
        <f aca="false">AVERAGE(Q12:Q41)</f>
        <v>3.33333333333333</v>
      </c>
      <c r="R43" s="77" t="n">
        <f aca="false">AVERAGE(R12:R41)</f>
        <v>62.3333333333333</v>
      </c>
      <c r="S43" s="33"/>
      <c r="T43" s="33"/>
      <c r="U43" s="33"/>
      <c r="V43" s="33"/>
    </row>
    <row r="44" customFormat="false" ht="21.75" hidden="false" customHeight="true" outlineLevel="0" collapsed="false">
      <c r="A44" s="78" t="s">
        <v>191</v>
      </c>
      <c r="B44" s="78"/>
      <c r="C44" s="78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80" t="n">
        <f aca="false">MAX(R12:R41)</f>
        <v>90</v>
      </c>
      <c r="S44" s="79"/>
      <c r="T44" s="79"/>
      <c r="U44" s="79"/>
      <c r="V44" s="79"/>
    </row>
    <row r="45" customFormat="false" ht="21.75" hidden="false" customHeight="true" outlineLevel="0" collapsed="false">
      <c r="A45" s="81" t="s">
        <v>192</v>
      </c>
      <c r="B45" s="81"/>
      <c r="C45" s="81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3" t="n">
        <f aca="false">MIN(R12:R41)</f>
        <v>37.5</v>
      </c>
      <c r="S45" s="82"/>
      <c r="T45" s="82"/>
      <c r="U45" s="82"/>
      <c r="V45" s="82"/>
    </row>
    <row r="46" customFormat="false" ht="21.75" hidden="false" customHeight="true" outlineLevel="0" collapsed="false">
      <c r="A46" s="84" t="s">
        <v>193</v>
      </c>
      <c r="B46" s="84"/>
      <c r="C46" s="84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6" t="n">
        <f aca="false">COUNTIF(R12:R41,"&gt;=40")</f>
        <v>29</v>
      </c>
      <c r="S46" s="85"/>
      <c r="T46" s="85"/>
      <c r="U46" s="85"/>
      <c r="V46" s="85"/>
    </row>
    <row r="47" customFormat="false" ht="21.75" hidden="false" customHeight="true" outlineLevel="0" collapsed="false">
      <c r="A47" s="87" t="s">
        <v>194</v>
      </c>
      <c r="B47" s="87"/>
      <c r="C47" s="87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9" t="n">
        <f aca="false">COUNTIF(R12:R41,"&lt;40")</f>
        <v>1</v>
      </c>
      <c r="S47" s="88"/>
      <c r="T47" s="88"/>
      <c r="U47" s="88"/>
      <c r="V47" s="88"/>
    </row>
    <row r="48" customFormat="false" ht="21.75" hidden="false" customHeight="true" outlineLevel="0" collapsed="false">
      <c r="A48" s="90" t="s">
        <v>195</v>
      </c>
      <c r="B48" s="90"/>
      <c r="C48" s="90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2" t="n">
        <f aca="false">AVERAGE(U12:U41)</f>
        <v>0.623333333333333</v>
      </c>
      <c r="S48" s="91"/>
      <c r="T48" s="91"/>
      <c r="U48" s="91"/>
      <c r="V48" s="91"/>
    </row>
    <row r="50" customFormat="false" ht="21.75" hidden="false" customHeight="true" outlineLevel="0" collapsed="false">
      <c r="A50" s="40" t="s">
        <v>196</v>
      </c>
      <c r="B50" s="40"/>
      <c r="C50" s="40"/>
      <c r="D50" s="38" t="s">
        <v>197</v>
      </c>
      <c r="E50" s="93" t="n">
        <f aca="false">COUNTIF(R12:R41,"&gt;=90")</f>
        <v>1</v>
      </c>
      <c r="F50" s="38" t="s">
        <v>198</v>
      </c>
      <c r="G50" s="93" t="n">
        <f aca="false">COUNTIF(R12:R41,"&gt;=75")</f>
        <v>5</v>
      </c>
      <c r="H50" s="38" t="s">
        <v>199</v>
      </c>
      <c r="I50" s="93" t="n">
        <f aca="false">COUNTIF(R12:R41,"&gt;=60")</f>
        <v>20</v>
      </c>
      <c r="J50" s="38" t="s">
        <v>200</v>
      </c>
      <c r="K50" s="93" t="n">
        <f aca="false">COUNTIF(R12:R41,"&gt;=50")</f>
        <v>25</v>
      </c>
      <c r="L50" s="38" t="s">
        <v>201</v>
      </c>
      <c r="M50" s="93" t="n">
        <f aca="false">COUNTIF(R12:R41,"&gt;=40")</f>
        <v>29</v>
      </c>
      <c r="N50" s="38" t="s">
        <v>202</v>
      </c>
      <c r="O50" s="93" t="n">
        <f aca="false">COUNTIF(R12:R41,"&lt;40")</f>
        <v>1</v>
      </c>
    </row>
  </sheetData>
  <mergeCells count="26">
    <mergeCell ref="A1:X1"/>
    <mergeCell ref="A2:X2"/>
    <mergeCell ref="A7:B7"/>
    <mergeCell ref="G7:X7"/>
    <mergeCell ref="A9:C9"/>
    <mergeCell ref="D9:E9"/>
    <mergeCell ref="F9:G9"/>
    <mergeCell ref="H9:I9"/>
    <mergeCell ref="J9:K9"/>
    <mergeCell ref="L9:M9"/>
    <mergeCell ref="N9:O9"/>
    <mergeCell ref="P9:Q9"/>
    <mergeCell ref="R9:R10"/>
    <mergeCell ref="S9:S10"/>
    <mergeCell ref="T9:T10"/>
    <mergeCell ref="U9:U10"/>
    <mergeCell ref="V9:V10"/>
    <mergeCell ref="A10:C10"/>
    <mergeCell ref="A11:C11"/>
    <mergeCell ref="A43:C43"/>
    <mergeCell ref="A44:C44"/>
    <mergeCell ref="A45:C45"/>
    <mergeCell ref="A46:C46"/>
    <mergeCell ref="A47:C47"/>
    <mergeCell ref="A48:C48"/>
    <mergeCell ref="A50:C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10" min="4" style="0" width="11"/>
    <col collapsed="false" customWidth="true" hidden="false" outlineLevel="0" max="15" min="11" style="0" width="13"/>
  </cols>
  <sheetData>
    <row r="1" customFormat="false" ht="43.5" hidden="false" customHeight="true" outlineLevel="0" collapsed="false">
      <c r="A1" s="46" t="s">
        <v>203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customFormat="false" ht="15.75" hidden="false" customHeight="true" outlineLevel="0" collapsed="false">
      <c r="A2" s="2" t="s">
        <v>204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7.5" hidden="false" customHeight="true" outlineLevel="0" collapsed="false"/>
    <row r="4" customFormat="false" ht="19.5" hidden="false" customHeight="true" outlineLevel="0" collapsed="false">
      <c r="A4" s="49" t="s">
        <v>205</v>
      </c>
      <c r="B4" s="49"/>
      <c r="C4" s="94" t="s">
        <v>206</v>
      </c>
      <c r="D4" s="94" t="s">
        <v>207</v>
      </c>
      <c r="E4" s="95" t="s">
        <v>208</v>
      </c>
      <c r="F4" s="95" t="s">
        <v>209</v>
      </c>
      <c r="G4" s="96" t="s">
        <v>210</v>
      </c>
      <c r="H4" s="96" t="s">
        <v>211</v>
      </c>
      <c r="I4" s="97" t="s">
        <v>212</v>
      </c>
      <c r="J4" s="97"/>
      <c r="K4" s="97"/>
      <c r="L4" s="97"/>
      <c r="M4" s="97"/>
      <c r="N4" s="97"/>
      <c r="O4" s="97"/>
      <c r="P4" s="97"/>
    </row>
    <row r="6" customFormat="false" ht="25.5" hidden="false" customHeight="true" outlineLevel="0" collapsed="false">
      <c r="A6" s="9" t="s">
        <v>8</v>
      </c>
      <c r="B6" s="9" t="s">
        <v>213</v>
      </c>
      <c r="C6" s="9" t="s">
        <v>214</v>
      </c>
      <c r="D6" s="59" t="s">
        <v>215</v>
      </c>
      <c r="E6" s="59" t="s">
        <v>216</v>
      </c>
      <c r="F6" s="59" t="s">
        <v>217</v>
      </c>
      <c r="G6" s="59" t="s">
        <v>218</v>
      </c>
      <c r="H6" s="59" t="s">
        <v>219</v>
      </c>
      <c r="I6" s="59" t="s">
        <v>220</v>
      </c>
      <c r="J6" s="59" t="s">
        <v>221</v>
      </c>
      <c r="K6" s="11" t="s">
        <v>222</v>
      </c>
      <c r="L6" s="11" t="s">
        <v>113</v>
      </c>
      <c r="M6" s="10" t="s">
        <v>223</v>
      </c>
      <c r="N6" s="10" t="s">
        <v>224</v>
      </c>
      <c r="O6" s="15" t="s">
        <v>115</v>
      </c>
    </row>
    <row r="7" customFormat="false" ht="18" hidden="false" customHeight="true" outlineLevel="0" collapsed="false">
      <c r="A7" s="27" t="n">
        <v>1</v>
      </c>
      <c r="B7" s="27" t="str">
        <f aca="false">'Score Entry'!B12</f>
        <v>R001</v>
      </c>
      <c r="C7" s="63" t="str">
        <f aca="false">'Score Entry'!C12</f>
        <v>Aarav Sharma</v>
      </c>
      <c r="D7" s="98" t="n">
        <f aca="false">'Score Entry'!D12</f>
        <v>1</v>
      </c>
      <c r="E7" s="98" t="n">
        <f aca="false">'Score Entry'!F12</f>
        <v>2</v>
      </c>
      <c r="F7" s="98" t="n">
        <f aca="false">'Score Entry'!H12</f>
        <v>2</v>
      </c>
      <c r="G7" s="98" t="n">
        <f aca="false">'Score Entry'!J12</f>
        <v>3</v>
      </c>
      <c r="H7" s="98" t="n">
        <f aca="false">'Score Entry'!L12</f>
        <v>1</v>
      </c>
      <c r="I7" s="98" t="n">
        <f aca="false">'Score Entry'!N12</f>
        <v>2</v>
      </c>
      <c r="J7" s="98" t="n">
        <f aca="false">'Score Entry'!P12</f>
        <v>3</v>
      </c>
      <c r="K7" s="68" t="n">
        <f aca="false">'Score Entry'!R12</f>
        <v>43.75</v>
      </c>
      <c r="L7" s="99" t="str">
        <f aca="false">'Score Entry'!T12</f>
        <v>B</v>
      </c>
      <c r="M7" s="71" t="n">
        <f aca="false">'Score Entry'!U12</f>
        <v>0.4375</v>
      </c>
      <c r="N7" s="100" t="str">
        <f aca="false">IF(M7&gt;=60%,"High(3)",IF(M7&gt;=40%,"Med(2)","Low(1)"))</f>
        <v>Med(2)</v>
      </c>
      <c r="O7" s="72" t="str">
        <f aca="false">'Score Entry'!V12</f>
        <v>Pass</v>
      </c>
    </row>
    <row r="8" customFormat="false" ht="18" hidden="false" customHeight="true" outlineLevel="0" collapsed="false">
      <c r="A8" s="29" t="n">
        <v>2</v>
      </c>
      <c r="B8" s="29" t="str">
        <f aca="false">'Score Entry'!B13</f>
        <v>R002</v>
      </c>
      <c r="C8" s="73" t="str">
        <f aca="false">'Score Entry'!C13</f>
        <v>Priya Patel</v>
      </c>
      <c r="D8" s="98" t="n">
        <f aca="false">'Score Entry'!D13</f>
        <v>1</v>
      </c>
      <c r="E8" s="98" t="n">
        <f aca="false">'Score Entry'!F13</f>
        <v>3</v>
      </c>
      <c r="F8" s="98" t="n">
        <f aca="false">'Score Entry'!H13</f>
        <v>4</v>
      </c>
      <c r="G8" s="98" t="n">
        <f aca="false">'Score Entry'!J13</f>
        <v>4</v>
      </c>
      <c r="H8" s="98" t="n">
        <f aca="false">'Score Entry'!L13</f>
        <v>4</v>
      </c>
      <c r="I8" s="98" t="n">
        <f aca="false">'Score Entry'!N13</f>
        <v>4</v>
      </c>
      <c r="J8" s="98" t="n">
        <f aca="false">'Score Entry'!P13</f>
        <v>3</v>
      </c>
      <c r="K8" s="68" t="n">
        <f aca="false">'Score Entry'!R13</f>
        <v>71.25</v>
      </c>
      <c r="L8" s="99" t="str">
        <f aca="false">'Score Entry'!T13</f>
        <v>A</v>
      </c>
      <c r="M8" s="71" t="n">
        <f aca="false">'Score Entry'!U13</f>
        <v>0.7125</v>
      </c>
      <c r="N8" s="100" t="str">
        <f aca="false">IF(M8&gt;=60%,"High(3)",IF(M8&gt;=40%,"Med(2)","Low(1)"))</f>
        <v>High(3)</v>
      </c>
      <c r="O8" s="72" t="str">
        <f aca="false">'Score Entry'!V13</f>
        <v>Pass</v>
      </c>
    </row>
    <row r="9" customFormat="false" ht="18" hidden="false" customHeight="true" outlineLevel="0" collapsed="false">
      <c r="A9" s="27" t="n">
        <v>3</v>
      </c>
      <c r="B9" s="27" t="str">
        <f aca="false">'Score Entry'!B14</f>
        <v>R003</v>
      </c>
      <c r="C9" s="63" t="str">
        <f aca="false">'Score Entry'!C14</f>
        <v>Rohan Mehta</v>
      </c>
      <c r="D9" s="98" t="n">
        <f aca="false">'Score Entry'!D14</f>
        <v>4</v>
      </c>
      <c r="E9" s="98" t="n">
        <f aca="false">'Score Entry'!F14</f>
        <v>1</v>
      </c>
      <c r="F9" s="98" t="n">
        <f aca="false">'Score Entry'!H14</f>
        <v>3</v>
      </c>
      <c r="G9" s="98" t="n">
        <f aca="false">'Score Entry'!J14</f>
        <v>1</v>
      </c>
      <c r="H9" s="98" t="n">
        <f aca="false">'Score Entry'!L14</f>
        <v>2</v>
      </c>
      <c r="I9" s="98" t="n">
        <f aca="false">'Score Entry'!N14</f>
        <v>1</v>
      </c>
      <c r="J9" s="98" t="n">
        <f aca="false">'Score Entry'!P14</f>
        <v>4</v>
      </c>
      <c r="K9" s="68" t="n">
        <f aca="false">'Score Entry'!R14</f>
        <v>61.25</v>
      </c>
      <c r="L9" s="99" t="str">
        <f aca="false">'Score Entry'!T14</f>
        <v>A</v>
      </c>
      <c r="M9" s="71" t="n">
        <f aca="false">'Score Entry'!U14</f>
        <v>0.6125</v>
      </c>
      <c r="N9" s="100" t="str">
        <f aca="false">IF(M9&gt;=60%,"High(3)",IF(M9&gt;=40%,"Med(2)","Low(1)"))</f>
        <v>High(3)</v>
      </c>
      <c r="O9" s="72" t="str">
        <f aca="false">'Score Entry'!V14</f>
        <v>Pass</v>
      </c>
    </row>
    <row r="10" customFormat="false" ht="18" hidden="false" customHeight="true" outlineLevel="0" collapsed="false">
      <c r="A10" s="29" t="n">
        <v>4</v>
      </c>
      <c r="B10" s="29" t="str">
        <f aca="false">'Score Entry'!B15</f>
        <v>R004</v>
      </c>
      <c r="C10" s="73" t="str">
        <f aca="false">'Score Entry'!C15</f>
        <v>Sneha Reddy</v>
      </c>
      <c r="D10" s="98" t="n">
        <f aca="false">'Score Entry'!D15</f>
        <v>2</v>
      </c>
      <c r="E10" s="98" t="n">
        <f aca="false">'Score Entry'!F15</f>
        <v>1</v>
      </c>
      <c r="F10" s="98" t="n">
        <f aca="false">'Score Entry'!H15</f>
        <v>4</v>
      </c>
      <c r="G10" s="98" t="n">
        <f aca="false">'Score Entry'!J15</f>
        <v>2</v>
      </c>
      <c r="H10" s="98" t="n">
        <f aca="false">'Score Entry'!L15</f>
        <v>1</v>
      </c>
      <c r="I10" s="98" t="n">
        <f aca="false">'Score Entry'!N15</f>
        <v>4</v>
      </c>
      <c r="J10" s="98" t="n">
        <f aca="false">'Score Entry'!P15</f>
        <v>2</v>
      </c>
      <c r="K10" s="68" t="n">
        <f aca="false">'Score Entry'!R15</f>
        <v>55</v>
      </c>
      <c r="L10" s="99" t="str">
        <f aca="false">'Score Entry'!T15</f>
        <v>B+</v>
      </c>
      <c r="M10" s="71" t="n">
        <f aca="false">'Score Entry'!U15</f>
        <v>0.55</v>
      </c>
      <c r="N10" s="100" t="str">
        <f aca="false">IF(M10&gt;=60%,"High(3)",IF(M10&gt;=40%,"Med(2)","Low(1)"))</f>
        <v>Med(2)</v>
      </c>
      <c r="O10" s="72" t="str">
        <f aca="false">'Score Entry'!V15</f>
        <v>Pass</v>
      </c>
    </row>
    <row r="11" customFormat="false" ht="18" hidden="false" customHeight="true" outlineLevel="0" collapsed="false">
      <c r="A11" s="27" t="n">
        <v>5</v>
      </c>
      <c r="B11" s="27" t="str">
        <f aca="false">'Score Entry'!B16</f>
        <v>R005</v>
      </c>
      <c r="C11" s="63" t="str">
        <f aca="false">'Score Entry'!C16</f>
        <v>Vikram Singh</v>
      </c>
      <c r="D11" s="98" t="n">
        <f aca="false">'Score Entry'!D16</f>
        <v>2</v>
      </c>
      <c r="E11" s="98" t="n">
        <f aca="false">'Score Entry'!F16</f>
        <v>2</v>
      </c>
      <c r="F11" s="98" t="n">
        <f aca="false">'Score Entry'!H16</f>
        <v>4</v>
      </c>
      <c r="G11" s="98" t="n">
        <f aca="false">'Score Entry'!J16</f>
        <v>2</v>
      </c>
      <c r="H11" s="98" t="n">
        <f aca="false">'Score Entry'!L16</f>
        <v>3</v>
      </c>
      <c r="I11" s="98" t="n">
        <f aca="false">'Score Entry'!N16</f>
        <v>3</v>
      </c>
      <c r="J11" s="98" t="n">
        <f aca="false">'Score Entry'!P16</f>
        <v>1</v>
      </c>
      <c r="K11" s="68" t="n">
        <f aca="false">'Score Entry'!R16</f>
        <v>61.25</v>
      </c>
      <c r="L11" s="99" t="str">
        <f aca="false">'Score Entry'!T16</f>
        <v>A</v>
      </c>
      <c r="M11" s="71" t="n">
        <f aca="false">'Score Entry'!U16</f>
        <v>0.6125</v>
      </c>
      <c r="N11" s="100" t="str">
        <f aca="false">IF(M11&gt;=60%,"High(3)",IF(M11&gt;=40%,"Med(2)","Low(1)"))</f>
        <v>High(3)</v>
      </c>
      <c r="O11" s="72" t="str">
        <f aca="false">'Score Entry'!V16</f>
        <v>Pass</v>
      </c>
    </row>
    <row r="12" customFormat="false" ht="18" hidden="false" customHeight="true" outlineLevel="0" collapsed="false">
      <c r="A12" s="29" t="n">
        <v>6</v>
      </c>
      <c r="B12" s="29" t="str">
        <f aca="false">'Score Entry'!B17</f>
        <v>R006</v>
      </c>
      <c r="C12" s="73" t="str">
        <f aca="false">'Score Entry'!C17</f>
        <v>Anjali Nair</v>
      </c>
      <c r="D12" s="98" t="n">
        <f aca="false">'Score Entry'!D17</f>
        <v>1</v>
      </c>
      <c r="E12" s="98" t="n">
        <f aca="false">'Score Entry'!F17</f>
        <v>4</v>
      </c>
      <c r="F12" s="98" t="n">
        <f aca="false">'Score Entry'!H17</f>
        <v>3</v>
      </c>
      <c r="G12" s="98" t="n">
        <f aca="false">'Score Entry'!J17</f>
        <v>3</v>
      </c>
      <c r="H12" s="98" t="n">
        <f aca="false">'Score Entry'!L17</f>
        <v>3</v>
      </c>
      <c r="I12" s="98" t="n">
        <f aca="false">'Score Entry'!N17</f>
        <v>2</v>
      </c>
      <c r="J12" s="98" t="n">
        <f aca="false">'Score Entry'!P17</f>
        <v>2</v>
      </c>
      <c r="K12" s="68" t="n">
        <f aca="false">'Score Entry'!R17</f>
        <v>61.25</v>
      </c>
      <c r="L12" s="99" t="str">
        <f aca="false">'Score Entry'!T17</f>
        <v>A</v>
      </c>
      <c r="M12" s="71" t="n">
        <f aca="false">'Score Entry'!U17</f>
        <v>0.6125</v>
      </c>
      <c r="N12" s="100" t="str">
        <f aca="false">IF(M12&gt;=60%,"High(3)",IF(M12&gt;=40%,"Med(2)","Low(1)"))</f>
        <v>High(3)</v>
      </c>
      <c r="O12" s="72" t="str">
        <f aca="false">'Score Entry'!V17</f>
        <v>Pass</v>
      </c>
    </row>
    <row r="13" customFormat="false" ht="18" hidden="false" customHeight="true" outlineLevel="0" collapsed="false">
      <c r="A13" s="27" t="n">
        <v>7</v>
      </c>
      <c r="B13" s="27" t="str">
        <f aca="false">'Score Entry'!B18</f>
        <v>R007</v>
      </c>
      <c r="C13" s="63" t="str">
        <f aca="false">'Score Entry'!C18</f>
        <v>Kiran Kumar</v>
      </c>
      <c r="D13" s="98" t="n">
        <f aca="false">'Score Entry'!D18</f>
        <v>4</v>
      </c>
      <c r="E13" s="98" t="n">
        <f aca="false">'Score Entry'!F18</f>
        <v>2</v>
      </c>
      <c r="F13" s="98" t="n">
        <f aca="false">'Score Entry'!H18</f>
        <v>2</v>
      </c>
      <c r="G13" s="98" t="n">
        <f aca="false">'Score Entry'!J18</f>
        <v>2</v>
      </c>
      <c r="H13" s="98" t="n">
        <f aca="false">'Score Entry'!L18</f>
        <v>3</v>
      </c>
      <c r="I13" s="98" t="n">
        <f aca="false">'Score Entry'!N18</f>
        <v>2</v>
      </c>
      <c r="J13" s="98" t="n">
        <f aca="false">'Score Entry'!P18</f>
        <v>4</v>
      </c>
      <c r="K13" s="68" t="n">
        <f aca="false">'Score Entry'!R18</f>
        <v>70</v>
      </c>
      <c r="L13" s="99" t="str">
        <f aca="false">'Score Entry'!T18</f>
        <v>A</v>
      </c>
      <c r="M13" s="71" t="n">
        <f aca="false">'Score Entry'!U18</f>
        <v>0.7</v>
      </c>
      <c r="N13" s="100" t="str">
        <f aca="false">IF(M13&gt;=60%,"High(3)",IF(M13&gt;=40%,"Med(2)","Low(1)"))</f>
        <v>High(3)</v>
      </c>
      <c r="O13" s="72" t="str">
        <f aca="false">'Score Entry'!V18</f>
        <v>Pass</v>
      </c>
    </row>
    <row r="14" customFormat="false" ht="18" hidden="false" customHeight="true" outlineLevel="0" collapsed="false">
      <c r="A14" s="29" t="n">
        <v>8</v>
      </c>
      <c r="B14" s="29" t="str">
        <f aca="false">'Score Entry'!B19</f>
        <v>R008</v>
      </c>
      <c r="C14" s="73" t="str">
        <f aca="false">'Score Entry'!C19</f>
        <v>Divya Rao</v>
      </c>
      <c r="D14" s="98" t="n">
        <f aca="false">'Score Entry'!D19</f>
        <v>2</v>
      </c>
      <c r="E14" s="98" t="n">
        <f aca="false">'Score Entry'!F19</f>
        <v>3</v>
      </c>
      <c r="F14" s="98" t="n">
        <f aca="false">'Score Entry'!H19</f>
        <v>2</v>
      </c>
      <c r="G14" s="98" t="n">
        <f aca="false">'Score Entry'!J19</f>
        <v>4</v>
      </c>
      <c r="H14" s="98" t="n">
        <f aca="false">'Score Entry'!L19</f>
        <v>4</v>
      </c>
      <c r="I14" s="98" t="n">
        <f aca="false">'Score Entry'!N19</f>
        <v>1</v>
      </c>
      <c r="J14" s="98" t="n">
        <f aca="false">'Score Entry'!P19</f>
        <v>4</v>
      </c>
      <c r="K14" s="68" t="n">
        <f aca="false">'Score Entry'!R19</f>
        <v>65</v>
      </c>
      <c r="L14" s="99" t="str">
        <f aca="false">'Score Entry'!T19</f>
        <v>A</v>
      </c>
      <c r="M14" s="71" t="n">
        <f aca="false">'Score Entry'!U19</f>
        <v>0.65</v>
      </c>
      <c r="N14" s="100" t="str">
        <f aca="false">IF(M14&gt;=60%,"High(3)",IF(M14&gt;=40%,"Med(2)","Low(1)"))</f>
        <v>High(3)</v>
      </c>
      <c r="O14" s="72" t="str">
        <f aca="false">'Score Entry'!V19</f>
        <v>Pass</v>
      </c>
    </row>
    <row r="15" customFormat="false" ht="18" hidden="false" customHeight="true" outlineLevel="0" collapsed="false">
      <c r="A15" s="27" t="n">
        <v>9</v>
      </c>
      <c r="B15" s="27" t="str">
        <f aca="false">'Score Entry'!B20</f>
        <v>R009</v>
      </c>
      <c r="C15" s="63" t="str">
        <f aca="false">'Score Entry'!C20</f>
        <v>Arjun Gupta</v>
      </c>
      <c r="D15" s="98" t="n">
        <f aca="false">'Score Entry'!D20</f>
        <v>1</v>
      </c>
      <c r="E15" s="98" t="n">
        <f aca="false">'Score Entry'!F20</f>
        <v>3</v>
      </c>
      <c r="F15" s="98" t="n">
        <f aca="false">'Score Entry'!H20</f>
        <v>1</v>
      </c>
      <c r="G15" s="98" t="n">
        <f aca="false">'Score Entry'!J20</f>
        <v>3</v>
      </c>
      <c r="H15" s="98" t="n">
        <f aca="false">'Score Entry'!L20</f>
        <v>3</v>
      </c>
      <c r="I15" s="98" t="n">
        <f aca="false">'Score Entry'!N20</f>
        <v>3</v>
      </c>
      <c r="J15" s="98" t="n">
        <f aca="false">'Score Entry'!P20</f>
        <v>3</v>
      </c>
      <c r="K15" s="68" t="n">
        <f aca="false">'Score Entry'!R20</f>
        <v>52.5</v>
      </c>
      <c r="L15" s="99" t="str">
        <f aca="false">'Score Entry'!T20</f>
        <v>B+</v>
      </c>
      <c r="M15" s="71" t="n">
        <f aca="false">'Score Entry'!U20</f>
        <v>0.525</v>
      </c>
      <c r="N15" s="100" t="str">
        <f aca="false">IF(M15&gt;=60%,"High(3)",IF(M15&gt;=40%,"Med(2)","Low(1)"))</f>
        <v>Med(2)</v>
      </c>
      <c r="O15" s="72" t="str">
        <f aca="false">'Score Entry'!V20</f>
        <v>Pass</v>
      </c>
    </row>
    <row r="16" customFormat="false" ht="18" hidden="false" customHeight="true" outlineLevel="0" collapsed="false">
      <c r="A16" s="29" t="n">
        <v>10</v>
      </c>
      <c r="B16" s="29" t="str">
        <f aca="false">'Score Entry'!B21</f>
        <v>R010</v>
      </c>
      <c r="C16" s="73" t="str">
        <f aca="false">'Score Entry'!C21</f>
        <v>Pooja Iyer</v>
      </c>
      <c r="D16" s="98" t="n">
        <f aca="false">'Score Entry'!D21</f>
        <v>2</v>
      </c>
      <c r="E16" s="98" t="n">
        <f aca="false">'Score Entry'!F21</f>
        <v>1</v>
      </c>
      <c r="F16" s="98" t="n">
        <f aca="false">'Score Entry'!H21</f>
        <v>4</v>
      </c>
      <c r="G16" s="98" t="n">
        <f aca="false">'Score Entry'!J21</f>
        <v>4</v>
      </c>
      <c r="H16" s="98" t="n">
        <f aca="false">'Score Entry'!L21</f>
        <v>4</v>
      </c>
      <c r="I16" s="98" t="n">
        <f aca="false">'Score Entry'!N21</f>
        <v>4</v>
      </c>
      <c r="J16" s="98" t="n">
        <f aca="false">'Score Entry'!P21</f>
        <v>1</v>
      </c>
      <c r="K16" s="68" t="n">
        <f aca="false">'Score Entry'!R21</f>
        <v>66.25</v>
      </c>
      <c r="L16" s="99" t="str">
        <f aca="false">'Score Entry'!T21</f>
        <v>A</v>
      </c>
      <c r="M16" s="71" t="n">
        <f aca="false">'Score Entry'!U21</f>
        <v>0.6625</v>
      </c>
      <c r="N16" s="100" t="str">
        <f aca="false">IF(M16&gt;=60%,"High(3)",IF(M16&gt;=40%,"Med(2)","Low(1)"))</f>
        <v>High(3)</v>
      </c>
      <c r="O16" s="72" t="str">
        <f aca="false">'Score Entry'!V21</f>
        <v>Pass</v>
      </c>
    </row>
    <row r="17" customFormat="false" ht="18" hidden="false" customHeight="true" outlineLevel="0" collapsed="false">
      <c r="A17" s="27" t="n">
        <v>11</v>
      </c>
      <c r="B17" s="27" t="str">
        <f aca="false">'Score Entry'!B22</f>
        <v>R011</v>
      </c>
      <c r="C17" s="63" t="str">
        <f aca="false">'Score Entry'!C22</f>
        <v>Rahul Verma</v>
      </c>
      <c r="D17" s="98" t="n">
        <f aca="false">'Score Entry'!D22</f>
        <v>4</v>
      </c>
      <c r="E17" s="98" t="n">
        <f aca="false">'Score Entry'!F22</f>
        <v>3</v>
      </c>
      <c r="F17" s="98" t="n">
        <f aca="false">'Score Entry'!H22</f>
        <v>3</v>
      </c>
      <c r="G17" s="98" t="n">
        <f aca="false">'Score Entry'!J22</f>
        <v>1</v>
      </c>
      <c r="H17" s="98" t="n">
        <f aca="false">'Score Entry'!L22</f>
        <v>3</v>
      </c>
      <c r="I17" s="98" t="n">
        <f aca="false">'Score Entry'!N22</f>
        <v>2</v>
      </c>
      <c r="J17" s="98" t="n">
        <f aca="false">'Score Entry'!P22</f>
        <v>4</v>
      </c>
      <c r="K17" s="68" t="n">
        <f aca="false">'Score Entry'!R22</f>
        <v>76.25</v>
      </c>
      <c r="L17" s="99" t="str">
        <f aca="false">'Score Entry'!T22</f>
        <v>A+</v>
      </c>
      <c r="M17" s="71" t="n">
        <f aca="false">'Score Entry'!U22</f>
        <v>0.7625</v>
      </c>
      <c r="N17" s="100" t="str">
        <f aca="false">IF(M17&gt;=60%,"High(3)",IF(M17&gt;=40%,"Med(2)","Low(1)"))</f>
        <v>High(3)</v>
      </c>
      <c r="O17" s="72" t="str">
        <f aca="false">'Score Entry'!V22</f>
        <v>Pass</v>
      </c>
    </row>
    <row r="18" customFormat="false" ht="18" hidden="false" customHeight="true" outlineLevel="0" collapsed="false">
      <c r="A18" s="29" t="n">
        <v>12</v>
      </c>
      <c r="B18" s="29" t="str">
        <f aca="false">'Score Entry'!B23</f>
        <v>R012</v>
      </c>
      <c r="C18" s="73" t="str">
        <f aca="false">'Score Entry'!C23</f>
        <v>Meera Joshi</v>
      </c>
      <c r="D18" s="98" t="n">
        <f aca="false">'Score Entry'!D23</f>
        <v>4</v>
      </c>
      <c r="E18" s="98" t="n">
        <f aca="false">'Score Entry'!F23</f>
        <v>4</v>
      </c>
      <c r="F18" s="98" t="n">
        <f aca="false">'Score Entry'!H23</f>
        <v>2</v>
      </c>
      <c r="G18" s="98" t="n">
        <f aca="false">'Score Entry'!J23</f>
        <v>3</v>
      </c>
      <c r="H18" s="98" t="n">
        <f aca="false">'Score Entry'!L23</f>
        <v>1</v>
      </c>
      <c r="I18" s="98" t="n">
        <f aca="false">'Score Entry'!N23</f>
        <v>2</v>
      </c>
      <c r="J18" s="98" t="n">
        <f aca="false">'Score Entry'!P23</f>
        <v>3</v>
      </c>
      <c r="K18" s="68" t="n">
        <f aca="false">'Score Entry'!R23</f>
        <v>76.25</v>
      </c>
      <c r="L18" s="99" t="str">
        <f aca="false">'Score Entry'!T23</f>
        <v>A+</v>
      </c>
      <c r="M18" s="71" t="n">
        <f aca="false">'Score Entry'!U23</f>
        <v>0.7625</v>
      </c>
      <c r="N18" s="100" t="str">
        <f aca="false">IF(M18&gt;=60%,"High(3)",IF(M18&gt;=40%,"Med(2)","Low(1)"))</f>
        <v>High(3)</v>
      </c>
      <c r="O18" s="72" t="str">
        <f aca="false">'Score Entry'!V23</f>
        <v>Pass</v>
      </c>
    </row>
    <row r="19" customFormat="false" ht="18" hidden="false" customHeight="true" outlineLevel="0" collapsed="false">
      <c r="A19" s="27" t="n">
        <v>13</v>
      </c>
      <c r="B19" s="27" t="str">
        <f aca="false">'Score Entry'!B24</f>
        <v>R013</v>
      </c>
      <c r="C19" s="63" t="str">
        <f aca="false">'Score Entry'!C24</f>
        <v>Suresh Pillai</v>
      </c>
      <c r="D19" s="98" t="n">
        <f aca="false">'Score Entry'!D24</f>
        <v>4</v>
      </c>
      <c r="E19" s="98" t="n">
        <f aca="false">'Score Entry'!F24</f>
        <v>3</v>
      </c>
      <c r="F19" s="98" t="n">
        <f aca="false">'Score Entry'!H24</f>
        <v>3</v>
      </c>
      <c r="G19" s="98" t="n">
        <f aca="false">'Score Entry'!J24</f>
        <v>1</v>
      </c>
      <c r="H19" s="98" t="n">
        <f aca="false">'Score Entry'!L24</f>
        <v>1</v>
      </c>
      <c r="I19" s="98" t="n">
        <f aca="false">'Score Entry'!N24</f>
        <v>3</v>
      </c>
      <c r="J19" s="98" t="n">
        <f aca="false">'Score Entry'!P24</f>
        <v>2</v>
      </c>
      <c r="K19" s="68" t="n">
        <f aca="false">'Score Entry'!R24</f>
        <v>71.25</v>
      </c>
      <c r="L19" s="99" t="str">
        <f aca="false">'Score Entry'!T24</f>
        <v>A</v>
      </c>
      <c r="M19" s="71" t="n">
        <f aca="false">'Score Entry'!U24</f>
        <v>0.7125</v>
      </c>
      <c r="N19" s="100" t="str">
        <f aca="false">IF(M19&gt;=60%,"High(3)",IF(M19&gt;=40%,"Med(2)","Low(1)"))</f>
        <v>High(3)</v>
      </c>
      <c r="O19" s="72" t="str">
        <f aca="false">'Score Entry'!V24</f>
        <v>Pass</v>
      </c>
    </row>
    <row r="20" customFormat="false" ht="18" hidden="false" customHeight="true" outlineLevel="0" collapsed="false">
      <c r="A20" s="29" t="n">
        <v>14</v>
      </c>
      <c r="B20" s="29" t="str">
        <f aca="false">'Score Entry'!B25</f>
        <v>R014</v>
      </c>
      <c r="C20" s="73" t="str">
        <f aca="false">'Score Entry'!C25</f>
        <v>Kavya Menon</v>
      </c>
      <c r="D20" s="98" t="n">
        <f aca="false">'Score Entry'!D25</f>
        <v>4</v>
      </c>
      <c r="E20" s="98" t="n">
        <f aca="false">'Score Entry'!F25</f>
        <v>3</v>
      </c>
      <c r="F20" s="98" t="n">
        <f aca="false">'Score Entry'!H25</f>
        <v>4</v>
      </c>
      <c r="G20" s="98" t="n">
        <f aca="false">'Score Entry'!J25</f>
        <v>3</v>
      </c>
      <c r="H20" s="98" t="n">
        <f aca="false">'Score Entry'!L25</f>
        <v>4</v>
      </c>
      <c r="I20" s="98" t="n">
        <f aca="false">'Score Entry'!N25</f>
        <v>3</v>
      </c>
      <c r="J20" s="98" t="n">
        <f aca="false">'Score Entry'!P25</f>
        <v>4</v>
      </c>
      <c r="K20" s="68" t="n">
        <f aca="false">'Score Entry'!R25</f>
        <v>90</v>
      </c>
      <c r="L20" s="99" t="str">
        <f aca="false">'Score Entry'!T25</f>
        <v>O</v>
      </c>
      <c r="M20" s="71" t="n">
        <f aca="false">'Score Entry'!U25</f>
        <v>0.9</v>
      </c>
      <c r="N20" s="100" t="str">
        <f aca="false">IF(M20&gt;=60%,"High(3)",IF(M20&gt;=40%,"Med(2)","Low(1)"))</f>
        <v>High(3)</v>
      </c>
      <c r="O20" s="72" t="str">
        <f aca="false">'Score Entry'!V25</f>
        <v>Pass</v>
      </c>
    </row>
    <row r="21" customFormat="false" ht="18" hidden="false" customHeight="true" outlineLevel="0" collapsed="false">
      <c r="A21" s="27" t="n">
        <v>15</v>
      </c>
      <c r="B21" s="27" t="str">
        <f aca="false">'Score Entry'!B26</f>
        <v>R015</v>
      </c>
      <c r="C21" s="63" t="str">
        <f aca="false">'Score Entry'!C26</f>
        <v>Aditya Bhat</v>
      </c>
      <c r="D21" s="98" t="n">
        <f aca="false">'Score Entry'!D26</f>
        <v>2</v>
      </c>
      <c r="E21" s="98" t="n">
        <f aca="false">'Score Entry'!F26</f>
        <v>2</v>
      </c>
      <c r="F21" s="98" t="n">
        <f aca="false">'Score Entry'!H26</f>
        <v>2</v>
      </c>
      <c r="G21" s="98" t="n">
        <f aca="false">'Score Entry'!J26</f>
        <v>2</v>
      </c>
      <c r="H21" s="98" t="n">
        <f aca="false">'Score Entry'!L26</f>
        <v>3</v>
      </c>
      <c r="I21" s="98" t="n">
        <f aca="false">'Score Entry'!N26</f>
        <v>4</v>
      </c>
      <c r="J21" s="98" t="n">
        <f aca="false">'Score Entry'!P26</f>
        <v>4</v>
      </c>
      <c r="K21" s="68" t="n">
        <f aca="false">'Score Entry'!R26</f>
        <v>60</v>
      </c>
      <c r="L21" s="99" t="str">
        <f aca="false">'Score Entry'!T26</f>
        <v>A</v>
      </c>
      <c r="M21" s="71" t="n">
        <f aca="false">'Score Entry'!U26</f>
        <v>0.6</v>
      </c>
      <c r="N21" s="100" t="str">
        <f aca="false">IF(M21&gt;=60%,"High(3)",IF(M21&gt;=40%,"Med(2)","Low(1)"))</f>
        <v>High(3)</v>
      </c>
      <c r="O21" s="72" t="str">
        <f aca="false">'Score Entry'!V26</f>
        <v>Pass</v>
      </c>
    </row>
    <row r="22" customFormat="false" ht="18" hidden="false" customHeight="true" outlineLevel="0" collapsed="false">
      <c r="A22" s="29" t="n">
        <v>16</v>
      </c>
      <c r="B22" s="29" t="str">
        <f aca="false">'Score Entry'!B27</f>
        <v>R016</v>
      </c>
      <c r="C22" s="73" t="str">
        <f aca="false">'Score Entry'!C27</f>
        <v>Lakshmi Das</v>
      </c>
      <c r="D22" s="98" t="n">
        <f aca="false">'Score Entry'!D27</f>
        <v>1</v>
      </c>
      <c r="E22" s="98" t="n">
        <f aca="false">'Score Entry'!F27</f>
        <v>1</v>
      </c>
      <c r="F22" s="98" t="n">
        <f aca="false">'Score Entry'!H27</f>
        <v>1</v>
      </c>
      <c r="G22" s="98" t="n">
        <f aca="false">'Score Entry'!J27</f>
        <v>3</v>
      </c>
      <c r="H22" s="98" t="n">
        <f aca="false">'Score Entry'!L27</f>
        <v>2</v>
      </c>
      <c r="I22" s="98" t="n">
        <f aca="false">'Score Entry'!N27</f>
        <v>4</v>
      </c>
      <c r="J22" s="98" t="n">
        <f aca="false">'Score Entry'!P27</f>
        <v>2</v>
      </c>
      <c r="K22" s="68" t="n">
        <f aca="false">'Score Entry'!R27</f>
        <v>41.25</v>
      </c>
      <c r="L22" s="99" t="str">
        <f aca="false">'Score Entry'!T27</f>
        <v>B</v>
      </c>
      <c r="M22" s="71" t="n">
        <f aca="false">'Score Entry'!U27</f>
        <v>0.4125</v>
      </c>
      <c r="N22" s="100" t="str">
        <f aca="false">IF(M22&gt;=60%,"High(3)",IF(M22&gt;=40%,"Med(2)","Low(1)"))</f>
        <v>Med(2)</v>
      </c>
      <c r="O22" s="72" t="str">
        <f aca="false">'Score Entry'!V27</f>
        <v>Pass</v>
      </c>
    </row>
    <row r="23" customFormat="false" ht="18" hidden="false" customHeight="true" outlineLevel="0" collapsed="false">
      <c r="A23" s="27" t="n">
        <v>17</v>
      </c>
      <c r="B23" s="27" t="str">
        <f aca="false">'Score Entry'!B28</f>
        <v>R017</v>
      </c>
      <c r="C23" s="63" t="str">
        <f aca="false">'Score Entry'!C28</f>
        <v>Nikhil Tiwari</v>
      </c>
      <c r="D23" s="98" t="n">
        <f aca="false">'Score Entry'!D28</f>
        <v>4</v>
      </c>
      <c r="E23" s="98" t="n">
        <f aca="false">'Score Entry'!F28</f>
        <v>1</v>
      </c>
      <c r="F23" s="98" t="n">
        <f aca="false">'Score Entry'!H28</f>
        <v>4</v>
      </c>
      <c r="G23" s="98" t="n">
        <f aca="false">'Score Entry'!J28</f>
        <v>2</v>
      </c>
      <c r="H23" s="98" t="n">
        <f aca="false">'Score Entry'!L28</f>
        <v>3</v>
      </c>
      <c r="I23" s="98" t="n">
        <f aca="false">'Score Entry'!N28</f>
        <v>2</v>
      </c>
      <c r="J23" s="98" t="n">
        <f aca="false">'Score Entry'!P28</f>
        <v>1</v>
      </c>
      <c r="K23" s="68" t="n">
        <f aca="false">'Score Entry'!R28</f>
        <v>68.75</v>
      </c>
      <c r="L23" s="99" t="str">
        <f aca="false">'Score Entry'!T28</f>
        <v>A</v>
      </c>
      <c r="M23" s="71" t="n">
        <f aca="false">'Score Entry'!U28</f>
        <v>0.6875</v>
      </c>
      <c r="N23" s="100" t="str">
        <f aca="false">IF(M23&gt;=60%,"High(3)",IF(M23&gt;=40%,"Med(2)","Low(1)"))</f>
        <v>High(3)</v>
      </c>
      <c r="O23" s="72" t="str">
        <f aca="false">'Score Entry'!V28</f>
        <v>Pass</v>
      </c>
    </row>
    <row r="24" customFormat="false" ht="18" hidden="false" customHeight="true" outlineLevel="0" collapsed="false">
      <c r="A24" s="29" t="n">
        <v>18</v>
      </c>
      <c r="B24" s="29" t="str">
        <f aca="false">'Score Entry'!B29</f>
        <v>R018</v>
      </c>
      <c r="C24" s="73" t="str">
        <f aca="false">'Score Entry'!C29</f>
        <v>Riya Shah</v>
      </c>
      <c r="D24" s="98" t="n">
        <f aca="false">'Score Entry'!D29</f>
        <v>2</v>
      </c>
      <c r="E24" s="98" t="n">
        <f aca="false">'Score Entry'!F29</f>
        <v>4</v>
      </c>
      <c r="F24" s="98" t="n">
        <f aca="false">'Score Entry'!H29</f>
        <v>4</v>
      </c>
      <c r="G24" s="98" t="n">
        <f aca="false">'Score Entry'!J29</f>
        <v>2</v>
      </c>
      <c r="H24" s="98" t="n">
        <f aca="false">'Score Entry'!L29</f>
        <v>4</v>
      </c>
      <c r="I24" s="98" t="n">
        <f aca="false">'Score Entry'!N29</f>
        <v>1</v>
      </c>
      <c r="J24" s="98" t="n">
        <f aca="false">'Score Entry'!P29</f>
        <v>3</v>
      </c>
      <c r="K24" s="68" t="n">
        <f aca="false">'Score Entry'!R29</f>
        <v>71.25</v>
      </c>
      <c r="L24" s="99" t="str">
        <f aca="false">'Score Entry'!T29</f>
        <v>A</v>
      </c>
      <c r="M24" s="71" t="n">
        <f aca="false">'Score Entry'!U29</f>
        <v>0.7125</v>
      </c>
      <c r="N24" s="100" t="str">
        <f aca="false">IF(M24&gt;=60%,"High(3)",IF(M24&gt;=40%,"Med(2)","Low(1)"))</f>
        <v>High(3)</v>
      </c>
      <c r="O24" s="72" t="str">
        <f aca="false">'Score Entry'!V29</f>
        <v>Pass</v>
      </c>
    </row>
    <row r="25" customFormat="false" ht="18" hidden="false" customHeight="true" outlineLevel="0" collapsed="false">
      <c r="A25" s="27" t="n">
        <v>19</v>
      </c>
      <c r="B25" s="27" t="str">
        <f aca="false">'Score Entry'!B30</f>
        <v>R019</v>
      </c>
      <c r="C25" s="63" t="str">
        <f aca="false">'Score Entry'!C30</f>
        <v>Manish Yadav</v>
      </c>
      <c r="D25" s="98" t="n">
        <f aca="false">'Score Entry'!D30</f>
        <v>4</v>
      </c>
      <c r="E25" s="98" t="n">
        <f aca="false">'Score Entry'!F30</f>
        <v>3</v>
      </c>
      <c r="F25" s="98" t="n">
        <f aca="false">'Score Entry'!H30</f>
        <v>1</v>
      </c>
      <c r="G25" s="98" t="n">
        <f aca="false">'Score Entry'!J30</f>
        <v>4</v>
      </c>
      <c r="H25" s="98" t="n">
        <f aca="false">'Score Entry'!L30</f>
        <v>3</v>
      </c>
      <c r="I25" s="98" t="n">
        <f aca="false">'Score Entry'!N30</f>
        <v>4</v>
      </c>
      <c r="J25" s="98" t="n">
        <f aca="false">'Score Entry'!P30</f>
        <v>4</v>
      </c>
      <c r="K25" s="68" t="n">
        <f aca="false">'Score Entry'!R30</f>
        <v>81.25</v>
      </c>
      <c r="L25" s="99" t="str">
        <f aca="false">'Score Entry'!T30</f>
        <v>A+</v>
      </c>
      <c r="M25" s="71" t="n">
        <f aca="false">'Score Entry'!U30</f>
        <v>0.8125</v>
      </c>
      <c r="N25" s="100" t="str">
        <f aca="false">IF(M25&gt;=60%,"High(3)",IF(M25&gt;=40%,"Med(2)","Low(1)"))</f>
        <v>High(3)</v>
      </c>
      <c r="O25" s="72" t="str">
        <f aca="false">'Score Entry'!V30</f>
        <v>Pass</v>
      </c>
    </row>
    <row r="26" customFormat="false" ht="18" hidden="false" customHeight="true" outlineLevel="0" collapsed="false">
      <c r="A26" s="29" t="n">
        <v>20</v>
      </c>
      <c r="B26" s="29" t="str">
        <f aca="false">'Score Entry'!B31</f>
        <v>R020</v>
      </c>
      <c r="C26" s="73" t="str">
        <f aca="false">'Score Entry'!C31</f>
        <v>Deepa Nambiar</v>
      </c>
      <c r="D26" s="98" t="n">
        <f aca="false">'Score Entry'!D31</f>
        <v>3</v>
      </c>
      <c r="E26" s="98" t="n">
        <f aca="false">'Score Entry'!F31</f>
        <v>1</v>
      </c>
      <c r="F26" s="98" t="n">
        <f aca="false">'Score Entry'!H31</f>
        <v>1</v>
      </c>
      <c r="G26" s="98" t="n">
        <f aca="false">'Score Entry'!J31</f>
        <v>2</v>
      </c>
      <c r="H26" s="98" t="n">
        <f aca="false">'Score Entry'!L31</f>
        <v>4</v>
      </c>
      <c r="I26" s="98" t="n">
        <f aca="false">'Score Entry'!N31</f>
        <v>2</v>
      </c>
      <c r="J26" s="98" t="n">
        <f aca="false">'Score Entry'!P31</f>
        <v>1</v>
      </c>
      <c r="K26" s="68" t="n">
        <f aca="false">'Score Entry'!R31</f>
        <v>52.5</v>
      </c>
      <c r="L26" s="99" t="str">
        <f aca="false">'Score Entry'!T31</f>
        <v>B+</v>
      </c>
      <c r="M26" s="71" t="n">
        <f aca="false">'Score Entry'!U31</f>
        <v>0.525</v>
      </c>
      <c r="N26" s="100" t="str">
        <f aca="false">IF(M26&gt;=60%,"High(3)",IF(M26&gt;=40%,"Med(2)","Low(1)"))</f>
        <v>Med(2)</v>
      </c>
      <c r="O26" s="72" t="str">
        <f aca="false">'Score Entry'!V31</f>
        <v>Pass</v>
      </c>
    </row>
    <row r="27" customFormat="false" ht="18" hidden="false" customHeight="true" outlineLevel="0" collapsed="false">
      <c r="A27" s="27" t="n">
        <v>21</v>
      </c>
      <c r="B27" s="27" t="str">
        <f aca="false">'Score Entry'!B32</f>
        <v>R021</v>
      </c>
      <c r="C27" s="63" t="str">
        <f aca="false">'Score Entry'!C32</f>
        <v>Siddharth Roy</v>
      </c>
      <c r="D27" s="98" t="n">
        <f aca="false">'Score Entry'!D32</f>
        <v>1</v>
      </c>
      <c r="E27" s="98" t="n">
        <f aca="false">'Score Entry'!F32</f>
        <v>1</v>
      </c>
      <c r="F27" s="98" t="n">
        <f aca="false">'Score Entry'!H32</f>
        <v>3</v>
      </c>
      <c r="G27" s="98" t="n">
        <f aca="false">'Score Entry'!J32</f>
        <v>3</v>
      </c>
      <c r="H27" s="98" t="n">
        <f aca="false">'Score Entry'!L32</f>
        <v>1</v>
      </c>
      <c r="I27" s="98" t="n">
        <f aca="false">'Score Entry'!N32</f>
        <v>1</v>
      </c>
      <c r="J27" s="98" t="n">
        <f aca="false">'Score Entry'!P32</f>
        <v>4</v>
      </c>
      <c r="K27" s="68" t="n">
        <f aca="false">'Score Entry'!R32</f>
        <v>41.25</v>
      </c>
      <c r="L27" s="99" t="str">
        <f aca="false">'Score Entry'!T32</f>
        <v>B</v>
      </c>
      <c r="M27" s="71" t="n">
        <f aca="false">'Score Entry'!U32</f>
        <v>0.4125</v>
      </c>
      <c r="N27" s="100" t="str">
        <f aca="false">IF(M27&gt;=60%,"High(3)",IF(M27&gt;=40%,"Med(2)","Low(1)"))</f>
        <v>Med(2)</v>
      </c>
      <c r="O27" s="72" t="str">
        <f aca="false">'Score Entry'!V32</f>
        <v>Pass</v>
      </c>
    </row>
    <row r="28" customFormat="false" ht="18" hidden="false" customHeight="true" outlineLevel="0" collapsed="false">
      <c r="A28" s="29" t="n">
        <v>22</v>
      </c>
      <c r="B28" s="29" t="str">
        <f aca="false">'Score Entry'!B33</f>
        <v>R022</v>
      </c>
      <c r="C28" s="73" t="str">
        <f aca="false">'Score Entry'!C33</f>
        <v>Revathi Kumar</v>
      </c>
      <c r="D28" s="98" t="n">
        <f aca="false">'Score Entry'!D33</f>
        <v>2</v>
      </c>
      <c r="E28" s="98" t="n">
        <f aca="false">'Score Entry'!F33</f>
        <v>1</v>
      </c>
      <c r="F28" s="98" t="n">
        <f aca="false">'Score Entry'!H33</f>
        <v>4</v>
      </c>
      <c r="G28" s="98" t="n">
        <f aca="false">'Score Entry'!J33</f>
        <v>1</v>
      </c>
      <c r="H28" s="98" t="n">
        <f aca="false">'Score Entry'!L33</f>
        <v>1</v>
      </c>
      <c r="I28" s="98" t="n">
        <f aca="false">'Score Entry'!N33</f>
        <v>3</v>
      </c>
      <c r="J28" s="98" t="n">
        <f aca="false">'Score Entry'!P33</f>
        <v>4</v>
      </c>
      <c r="K28" s="68" t="n">
        <f aca="false">'Score Entry'!R33</f>
        <v>52.5</v>
      </c>
      <c r="L28" s="99" t="str">
        <f aca="false">'Score Entry'!T33</f>
        <v>B+</v>
      </c>
      <c r="M28" s="71" t="n">
        <f aca="false">'Score Entry'!U33</f>
        <v>0.525</v>
      </c>
      <c r="N28" s="100" t="str">
        <f aca="false">IF(M28&gt;=60%,"High(3)",IF(M28&gt;=40%,"Med(2)","Low(1)"))</f>
        <v>Med(2)</v>
      </c>
      <c r="O28" s="72" t="str">
        <f aca="false">'Score Entry'!V33</f>
        <v>Pass</v>
      </c>
    </row>
    <row r="29" customFormat="false" ht="18" hidden="false" customHeight="true" outlineLevel="0" collapsed="false">
      <c r="A29" s="27" t="n">
        <v>23</v>
      </c>
      <c r="B29" s="27" t="str">
        <f aca="false">'Score Entry'!B34</f>
        <v>R023</v>
      </c>
      <c r="C29" s="63" t="str">
        <f aca="false">'Score Entry'!C34</f>
        <v>Aakash Jain</v>
      </c>
      <c r="D29" s="98" t="n">
        <f aca="false">'Score Entry'!D34</f>
        <v>1</v>
      </c>
      <c r="E29" s="98" t="n">
        <f aca="false">'Score Entry'!F34</f>
        <v>4</v>
      </c>
      <c r="F29" s="98" t="n">
        <f aca="false">'Score Entry'!H34</f>
        <v>2</v>
      </c>
      <c r="G29" s="98" t="n">
        <f aca="false">'Score Entry'!J34</f>
        <v>3</v>
      </c>
      <c r="H29" s="98" t="n">
        <f aca="false">'Score Entry'!L34</f>
        <v>2</v>
      </c>
      <c r="I29" s="98" t="n">
        <f aca="false">'Score Entry'!N34</f>
        <v>2</v>
      </c>
      <c r="J29" s="98" t="n">
        <f aca="false">'Score Entry'!P34</f>
        <v>3</v>
      </c>
      <c r="K29" s="68" t="n">
        <f aca="false">'Score Entry'!R34</f>
        <v>56.25</v>
      </c>
      <c r="L29" s="99" t="str">
        <f aca="false">'Score Entry'!T34</f>
        <v>B+</v>
      </c>
      <c r="M29" s="71" t="n">
        <f aca="false">'Score Entry'!U34</f>
        <v>0.5625</v>
      </c>
      <c r="N29" s="100" t="str">
        <f aca="false">IF(M29&gt;=60%,"High(3)",IF(M29&gt;=40%,"Med(2)","Low(1)"))</f>
        <v>Med(2)</v>
      </c>
      <c r="O29" s="72" t="str">
        <f aca="false">'Score Entry'!V34</f>
        <v>Pass</v>
      </c>
    </row>
    <row r="30" customFormat="false" ht="18" hidden="false" customHeight="true" outlineLevel="0" collapsed="false">
      <c r="A30" s="29" t="n">
        <v>24</v>
      </c>
      <c r="B30" s="29" t="str">
        <f aca="false">'Score Entry'!B35</f>
        <v>R024</v>
      </c>
      <c r="C30" s="73" t="str">
        <f aca="false">'Score Entry'!C35</f>
        <v>Bhavana Singh</v>
      </c>
      <c r="D30" s="98" t="n">
        <f aca="false">'Score Entry'!D35</f>
        <v>3</v>
      </c>
      <c r="E30" s="98" t="n">
        <f aca="false">'Score Entry'!F35</f>
        <v>1</v>
      </c>
      <c r="F30" s="98" t="n">
        <f aca="false">'Score Entry'!H35</f>
        <v>4</v>
      </c>
      <c r="G30" s="98" t="n">
        <f aca="false">'Score Entry'!J35</f>
        <v>4</v>
      </c>
      <c r="H30" s="98" t="n">
        <f aca="false">'Score Entry'!L35</f>
        <v>1</v>
      </c>
      <c r="I30" s="98" t="n">
        <f aca="false">'Score Entry'!N35</f>
        <v>3</v>
      </c>
      <c r="J30" s="98" t="n">
        <f aca="false">'Score Entry'!P35</f>
        <v>1</v>
      </c>
      <c r="K30" s="68" t="n">
        <f aca="false">'Score Entry'!R35</f>
        <v>63.75</v>
      </c>
      <c r="L30" s="99" t="str">
        <f aca="false">'Score Entry'!T35</f>
        <v>A</v>
      </c>
      <c r="M30" s="71" t="n">
        <f aca="false">'Score Entry'!U35</f>
        <v>0.6375</v>
      </c>
      <c r="N30" s="100" t="str">
        <f aca="false">IF(M30&gt;=60%,"High(3)",IF(M30&gt;=40%,"Med(2)","Low(1)"))</f>
        <v>High(3)</v>
      </c>
      <c r="O30" s="72" t="str">
        <f aca="false">'Score Entry'!V35</f>
        <v>Pass</v>
      </c>
    </row>
    <row r="31" customFormat="false" ht="18" hidden="false" customHeight="true" outlineLevel="0" collapsed="false">
      <c r="A31" s="27" t="n">
        <v>25</v>
      </c>
      <c r="B31" s="27" t="str">
        <f aca="false">'Score Entry'!B36</f>
        <v>R025</v>
      </c>
      <c r="C31" s="63" t="str">
        <f aca="false">'Score Entry'!C36</f>
        <v>Chetan Rao</v>
      </c>
      <c r="D31" s="98" t="n">
        <f aca="false">'Score Entry'!D36</f>
        <v>1</v>
      </c>
      <c r="E31" s="98" t="n">
        <f aca="false">'Score Entry'!F36</f>
        <v>1</v>
      </c>
      <c r="F31" s="98" t="n">
        <f aca="false">'Score Entry'!H36</f>
        <v>3</v>
      </c>
      <c r="G31" s="98" t="n">
        <f aca="false">'Score Entry'!J36</f>
        <v>1</v>
      </c>
      <c r="H31" s="98" t="n">
        <f aca="false">'Score Entry'!L36</f>
        <v>2</v>
      </c>
      <c r="I31" s="98" t="n">
        <f aca="false">'Score Entry'!N36</f>
        <v>2</v>
      </c>
      <c r="J31" s="98" t="n">
        <f aca="false">'Score Entry'!P36</f>
        <v>1</v>
      </c>
      <c r="K31" s="68" t="n">
        <f aca="false">'Score Entry'!R36</f>
        <v>37.5</v>
      </c>
      <c r="L31" s="99" t="str">
        <f aca="false">'Score Entry'!T36</f>
        <v>F</v>
      </c>
      <c r="M31" s="71" t="n">
        <f aca="false">'Score Entry'!U36</f>
        <v>0.375</v>
      </c>
      <c r="N31" s="100" t="str">
        <f aca="false">IF(M31&gt;=60%,"High(3)",IF(M31&gt;=40%,"Med(2)","Low(1)"))</f>
        <v>Low(1)</v>
      </c>
      <c r="O31" s="72" t="str">
        <f aca="false">'Score Entry'!V36</f>
        <v>Fail</v>
      </c>
    </row>
    <row r="32" customFormat="false" ht="18" hidden="false" customHeight="true" outlineLevel="0" collapsed="false">
      <c r="A32" s="29" t="n">
        <v>26</v>
      </c>
      <c r="B32" s="29" t="str">
        <f aca="false">'Score Entry'!B37</f>
        <v>R026</v>
      </c>
      <c r="C32" s="73" t="str">
        <f aca="false">'Score Entry'!C37</f>
        <v>Divya Nair</v>
      </c>
      <c r="D32" s="98" t="n">
        <f aca="false">'Score Entry'!D37</f>
        <v>4</v>
      </c>
      <c r="E32" s="98" t="n">
        <f aca="false">'Score Entry'!F37</f>
        <v>4</v>
      </c>
      <c r="F32" s="98" t="n">
        <f aca="false">'Score Entry'!H37</f>
        <v>3</v>
      </c>
      <c r="G32" s="98" t="n">
        <f aca="false">'Score Entry'!J37</f>
        <v>1</v>
      </c>
      <c r="H32" s="98" t="n">
        <f aca="false">'Score Entry'!L37</f>
        <v>1</v>
      </c>
      <c r="I32" s="98" t="n">
        <f aca="false">'Score Entry'!N37</f>
        <v>4</v>
      </c>
      <c r="J32" s="98" t="n">
        <f aca="false">'Score Entry'!P37</f>
        <v>1</v>
      </c>
      <c r="K32" s="68" t="n">
        <f aca="false">'Score Entry'!R37</f>
        <v>77.5</v>
      </c>
      <c r="L32" s="99" t="str">
        <f aca="false">'Score Entry'!T37</f>
        <v>A+</v>
      </c>
      <c r="M32" s="71" t="n">
        <f aca="false">'Score Entry'!U37</f>
        <v>0.775</v>
      </c>
      <c r="N32" s="100" t="str">
        <f aca="false">IF(M32&gt;=60%,"High(3)",IF(M32&gt;=40%,"Med(2)","Low(1)"))</f>
        <v>High(3)</v>
      </c>
      <c r="O32" s="72" t="str">
        <f aca="false">'Score Entry'!V37</f>
        <v>Pass</v>
      </c>
    </row>
    <row r="33" customFormat="false" ht="18" hidden="false" customHeight="true" outlineLevel="0" collapsed="false">
      <c r="A33" s="27" t="n">
        <v>27</v>
      </c>
      <c r="B33" s="27" t="str">
        <f aca="false">'Score Entry'!B38</f>
        <v>R027</v>
      </c>
      <c r="C33" s="63" t="str">
        <f aca="false">'Score Entry'!C38</f>
        <v>Eshan Mehta</v>
      </c>
      <c r="D33" s="98" t="n">
        <f aca="false">'Score Entry'!D38</f>
        <v>2</v>
      </c>
      <c r="E33" s="98" t="n">
        <f aca="false">'Score Entry'!F38</f>
        <v>4</v>
      </c>
      <c r="F33" s="98" t="n">
        <f aca="false">'Score Entry'!H38</f>
        <v>4</v>
      </c>
      <c r="G33" s="98" t="n">
        <f aca="false">'Score Entry'!J38</f>
        <v>1</v>
      </c>
      <c r="H33" s="98" t="n">
        <f aca="false">'Score Entry'!L38</f>
        <v>3</v>
      </c>
      <c r="I33" s="98" t="n">
        <f aca="false">'Score Entry'!N38</f>
        <v>4</v>
      </c>
      <c r="J33" s="98" t="n">
        <f aca="false">'Score Entry'!P38</f>
        <v>1</v>
      </c>
      <c r="K33" s="68" t="n">
        <f aca="false">'Score Entry'!R38</f>
        <v>71.25</v>
      </c>
      <c r="L33" s="99" t="str">
        <f aca="false">'Score Entry'!T38</f>
        <v>A</v>
      </c>
      <c r="M33" s="71" t="n">
        <f aca="false">'Score Entry'!U38</f>
        <v>0.7125</v>
      </c>
      <c r="N33" s="100" t="str">
        <f aca="false">IF(M33&gt;=60%,"High(3)",IF(M33&gt;=40%,"Med(2)","Low(1)"))</f>
        <v>High(3)</v>
      </c>
      <c r="O33" s="72" t="str">
        <f aca="false">'Score Entry'!V38</f>
        <v>Pass</v>
      </c>
    </row>
    <row r="34" customFormat="false" ht="18" hidden="false" customHeight="true" outlineLevel="0" collapsed="false">
      <c r="A34" s="29" t="n">
        <v>28</v>
      </c>
      <c r="B34" s="29" t="str">
        <f aca="false">'Score Entry'!B39</f>
        <v>R028</v>
      </c>
      <c r="C34" s="73" t="str">
        <f aca="false">'Score Entry'!C39</f>
        <v>Farah Khan</v>
      </c>
      <c r="D34" s="98" t="n">
        <f aca="false">'Score Entry'!D39</f>
        <v>1</v>
      </c>
      <c r="E34" s="98" t="n">
        <f aca="false">'Score Entry'!F39</f>
        <v>1</v>
      </c>
      <c r="F34" s="98" t="n">
        <f aca="false">'Score Entry'!H39</f>
        <v>1</v>
      </c>
      <c r="G34" s="98" t="n">
        <f aca="false">'Score Entry'!J39</f>
        <v>1</v>
      </c>
      <c r="H34" s="98" t="n">
        <f aca="false">'Score Entry'!L39</f>
        <v>4</v>
      </c>
      <c r="I34" s="98" t="n">
        <f aca="false">'Score Entry'!N39</f>
        <v>3</v>
      </c>
      <c r="J34" s="98" t="n">
        <f aca="false">'Score Entry'!P39</f>
        <v>3</v>
      </c>
      <c r="K34" s="68" t="n">
        <f aca="false">'Score Entry'!R39</f>
        <v>40</v>
      </c>
      <c r="L34" s="99" t="str">
        <f aca="false">'Score Entry'!T39</f>
        <v>B</v>
      </c>
      <c r="M34" s="71" t="n">
        <f aca="false">'Score Entry'!U39</f>
        <v>0.4</v>
      </c>
      <c r="N34" s="100" t="str">
        <f aca="false">IF(M34&gt;=60%,"High(3)",IF(M34&gt;=40%,"Med(2)","Low(1)"))</f>
        <v>Med(2)</v>
      </c>
      <c r="O34" s="72" t="str">
        <f aca="false">'Score Entry'!V39</f>
        <v>Pass</v>
      </c>
    </row>
    <row r="35" customFormat="false" ht="18" hidden="false" customHeight="true" outlineLevel="0" collapsed="false">
      <c r="A35" s="27" t="n">
        <v>29</v>
      </c>
      <c r="B35" s="27" t="str">
        <f aca="false">'Score Entry'!B40</f>
        <v>R029</v>
      </c>
      <c r="C35" s="63" t="str">
        <f aca="false">'Score Entry'!C40</f>
        <v>Ganesh Rao</v>
      </c>
      <c r="D35" s="98" t="n">
        <f aca="false">'Score Entry'!D40</f>
        <v>2</v>
      </c>
      <c r="E35" s="98" t="n">
        <f aca="false">'Score Entry'!F40</f>
        <v>4</v>
      </c>
      <c r="F35" s="98" t="n">
        <f aca="false">'Score Entry'!H40</f>
        <v>1</v>
      </c>
      <c r="G35" s="98" t="n">
        <f aca="false">'Score Entry'!J40</f>
        <v>2</v>
      </c>
      <c r="H35" s="98" t="n">
        <f aca="false">'Score Entry'!L40</f>
        <v>2</v>
      </c>
      <c r="I35" s="98" t="n">
        <f aca="false">'Score Entry'!N40</f>
        <v>3</v>
      </c>
      <c r="J35" s="98" t="n">
        <f aca="false">'Score Entry'!P40</f>
        <v>4</v>
      </c>
      <c r="K35" s="68" t="n">
        <f aca="false">'Score Entry'!R40</f>
        <v>61.25</v>
      </c>
      <c r="L35" s="99" t="str">
        <f aca="false">'Score Entry'!T40</f>
        <v>A</v>
      </c>
      <c r="M35" s="71" t="n">
        <f aca="false">'Score Entry'!U40</f>
        <v>0.6125</v>
      </c>
      <c r="N35" s="100" t="str">
        <f aca="false">IF(M35&gt;=60%,"High(3)",IF(M35&gt;=40%,"Med(2)","Low(1)"))</f>
        <v>High(3)</v>
      </c>
      <c r="O35" s="72" t="str">
        <f aca="false">'Score Entry'!V40</f>
        <v>Pass</v>
      </c>
    </row>
    <row r="36" customFormat="false" ht="18" hidden="false" customHeight="true" outlineLevel="0" collapsed="false">
      <c r="A36" s="29" t="n">
        <v>30</v>
      </c>
      <c r="B36" s="29" t="str">
        <f aca="false">'Score Entry'!B41</f>
        <v>R030</v>
      </c>
      <c r="C36" s="73" t="str">
        <f aca="false">'Score Entry'!C41</f>
        <v>Hema Pillai</v>
      </c>
      <c r="D36" s="98" t="n">
        <f aca="false">'Score Entry'!D41</f>
        <v>3</v>
      </c>
      <c r="E36" s="98" t="n">
        <f aca="false">'Score Entry'!F41</f>
        <v>4</v>
      </c>
      <c r="F36" s="98" t="n">
        <f aca="false">'Score Entry'!H41</f>
        <v>1</v>
      </c>
      <c r="G36" s="98" t="n">
        <f aca="false">'Score Entry'!J41</f>
        <v>2</v>
      </c>
      <c r="H36" s="98" t="n">
        <f aca="false">'Score Entry'!L41</f>
        <v>3</v>
      </c>
      <c r="I36" s="98" t="n">
        <f aca="false">'Score Entry'!N41</f>
        <v>4</v>
      </c>
      <c r="J36" s="98" t="n">
        <f aca="false">'Score Entry'!P41</f>
        <v>3</v>
      </c>
      <c r="K36" s="68" t="n">
        <f aca="false">'Score Entry'!R41</f>
        <v>72.5</v>
      </c>
      <c r="L36" s="99" t="str">
        <f aca="false">'Score Entry'!T41</f>
        <v>A</v>
      </c>
      <c r="M36" s="71" t="n">
        <f aca="false">'Score Entry'!U41</f>
        <v>0.725</v>
      </c>
      <c r="N36" s="100" t="str">
        <f aca="false">IF(M36&gt;=60%,"High(3)",IF(M36&gt;=40%,"Med(2)","Low(1)"))</f>
        <v>High(3)</v>
      </c>
      <c r="O36" s="72" t="str">
        <f aca="false">'Score Entry'!V41</f>
        <v>Pass</v>
      </c>
    </row>
    <row r="38" customFormat="false" ht="21.75" hidden="false" customHeight="true" outlineLevel="0" collapsed="false">
      <c r="A38" s="40" t="s">
        <v>190</v>
      </c>
      <c r="B38" s="40"/>
      <c r="C38" s="40"/>
      <c r="D38" s="75" t="n">
        <f aca="false">AVERAGE(D7:D36)</f>
        <v>2.4</v>
      </c>
      <c r="E38" s="75" t="n">
        <f aca="false">AVERAGE(E7:E36)</f>
        <v>2.4</v>
      </c>
      <c r="F38" s="75" t="n">
        <f aca="false">AVERAGE(F7:F36)</f>
        <v>2.66666666666667</v>
      </c>
      <c r="G38" s="75" t="n">
        <f aca="false">AVERAGE(G7:G36)</f>
        <v>2.33333333333333</v>
      </c>
      <c r="H38" s="75" t="n">
        <f aca="false">AVERAGE(H7:H36)</f>
        <v>2.53333333333333</v>
      </c>
      <c r="I38" s="75" t="n">
        <f aca="false">AVERAGE(I7:I36)</f>
        <v>2.73333333333333</v>
      </c>
      <c r="J38" s="75" t="n">
        <f aca="false">AVERAGE(J7:J36)</f>
        <v>2.66666666666667</v>
      </c>
      <c r="K38" s="75" t="n">
        <f aca="false">AVERAGE(K7:K36)</f>
        <v>62.3333333333333</v>
      </c>
      <c r="L38" s="33"/>
      <c r="M38" s="33"/>
      <c r="N38" s="33"/>
      <c r="O38" s="33"/>
    </row>
  </sheetData>
  <mergeCells count="5">
    <mergeCell ref="A1:P1"/>
    <mergeCell ref="A2:P2"/>
    <mergeCell ref="A4:B4"/>
    <mergeCell ref="I4:P4"/>
    <mergeCell ref="A38:C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8" min="2" style="0" width="14"/>
    <col collapsed="false" customWidth="true" hidden="false" outlineLevel="0" max="9" min="9" style="0" width="12"/>
  </cols>
  <sheetData>
    <row r="1" customFormat="false" ht="39.75" hidden="false" customHeight="true" outlineLevel="0" collapsed="false">
      <c r="A1" s="101" t="s">
        <v>225</v>
      </c>
      <c r="B1" s="101"/>
      <c r="C1" s="101"/>
      <c r="D1" s="101"/>
      <c r="E1" s="101"/>
      <c r="F1" s="101"/>
      <c r="G1" s="101"/>
      <c r="H1" s="101"/>
      <c r="I1" s="101"/>
      <c r="J1" s="101"/>
    </row>
    <row r="2" customFormat="false" ht="13.5" hidden="false" customHeight="true" outlineLevel="0" collapsed="false">
      <c r="A2" s="2" t="s">
        <v>226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7.5" hidden="false" customHeight="true" outlineLevel="0" collapsed="false"/>
    <row r="4" customFormat="false" ht="21.75" hidden="false" customHeight="true" outlineLevel="0" collapsed="false">
      <c r="A4" s="102" t="s">
        <v>227</v>
      </c>
      <c r="B4" s="103" t="s">
        <v>228</v>
      </c>
      <c r="C4" s="103" t="s">
        <v>229</v>
      </c>
      <c r="D4" s="103" t="s">
        <v>230</v>
      </c>
      <c r="E4" s="103" t="s">
        <v>231</v>
      </c>
      <c r="F4" s="103" t="s">
        <v>232</v>
      </c>
      <c r="G4" s="103" t="s">
        <v>233</v>
      </c>
      <c r="H4" s="103" t="s">
        <v>234</v>
      </c>
      <c r="I4" s="11" t="s">
        <v>235</v>
      </c>
    </row>
    <row r="5" customFormat="false" ht="19.5" hidden="false" customHeight="true" outlineLevel="0" collapsed="false">
      <c r="A5" s="102"/>
      <c r="B5" s="103"/>
      <c r="C5" s="103"/>
      <c r="D5" s="103"/>
      <c r="E5" s="103"/>
      <c r="F5" s="103"/>
      <c r="G5" s="103"/>
      <c r="H5" s="103"/>
      <c r="I5" s="103"/>
    </row>
    <row r="6" customFormat="false" ht="19.5" hidden="false" customHeight="true" outlineLevel="0" collapsed="false">
      <c r="A6" s="104" t="s">
        <v>236</v>
      </c>
      <c r="B6" s="105" t="n">
        <f aca="false">AVERAGE('Score Entry'!D12:D41)</f>
        <v>2.4</v>
      </c>
      <c r="C6" s="105" t="n">
        <f aca="false">AVERAGE('Score Entry'!F12:F41)</f>
        <v>2.4</v>
      </c>
      <c r="D6" s="105" t="n">
        <f aca="false">AVERAGE('Score Entry'!H12:H41)</f>
        <v>2.66666666666667</v>
      </c>
      <c r="E6" s="105" t="n">
        <f aca="false">AVERAGE('Score Entry'!J12:J41)</f>
        <v>2.33333333333333</v>
      </c>
      <c r="F6" s="105" t="n">
        <f aca="false">AVERAGE('Score Entry'!L12:L41)</f>
        <v>2.53333333333333</v>
      </c>
      <c r="G6" s="105" t="n">
        <f aca="false">AVERAGE('Score Entry'!N12:N41)</f>
        <v>2.73333333333333</v>
      </c>
      <c r="H6" s="105" t="n">
        <f aca="false">AVERAGE('Score Entry'!P12:P41)</f>
        <v>2.66666666666667</v>
      </c>
      <c r="I6" s="76" t="n">
        <f aca="false">IFERROR(AVERAGE(B6,C6,D6,E6,F6,G6,H6),0)</f>
        <v>2.53333333333333</v>
      </c>
    </row>
    <row r="7" customFormat="false" ht="19.5" hidden="false" customHeight="true" outlineLevel="0" collapsed="false">
      <c r="A7" s="106" t="s">
        <v>237</v>
      </c>
      <c r="B7" s="107" t="n">
        <f aca="false">AVERAGE('Score Entry'!E12:E41)</f>
        <v>18</v>
      </c>
      <c r="C7" s="107" t="n">
        <f aca="false">AVERAGE('Score Entry'!G12:G41)</f>
        <v>12</v>
      </c>
      <c r="D7" s="107" t="n">
        <f aca="false">AVERAGE('Score Entry'!I12:I41)</f>
        <v>10</v>
      </c>
      <c r="E7" s="107" t="n">
        <f aca="false">AVERAGE('Score Entry'!K12:K41)</f>
        <v>5.83333333333333</v>
      </c>
      <c r="F7" s="107" t="n">
        <f aca="false">AVERAGE('Score Entry'!M12:M41)</f>
        <v>6.33333333333333</v>
      </c>
      <c r="G7" s="107" t="n">
        <f aca="false">AVERAGE('Score Entry'!O12:O41)</f>
        <v>6.83333333333333</v>
      </c>
      <c r="H7" s="107" t="n">
        <f aca="false">AVERAGE('Score Entry'!Q12:Q41)</f>
        <v>3.33333333333333</v>
      </c>
      <c r="I7" s="76" t="n">
        <f aca="false">IFERROR(AVERAGE(B7,C7,D7,E7,F7,G7,H7),0)</f>
        <v>8.90476190476191</v>
      </c>
    </row>
    <row r="8" customFormat="false" ht="19.5" hidden="false" customHeight="true" outlineLevel="0" collapsed="false">
      <c r="A8" s="108" t="s">
        <v>238</v>
      </c>
      <c r="B8" s="109" t="n">
        <f aca="false">MAX('Score Entry'!D12:D41)</f>
        <v>4</v>
      </c>
      <c r="C8" s="109" t="n">
        <f aca="false">MAX('Score Entry'!F12:F41)</f>
        <v>4</v>
      </c>
      <c r="D8" s="109" t="n">
        <f aca="false">MAX('Score Entry'!H12:H41)</f>
        <v>4</v>
      </c>
      <c r="E8" s="109" t="n">
        <f aca="false">MAX('Score Entry'!J12:J41)</f>
        <v>4</v>
      </c>
      <c r="F8" s="109" t="n">
        <f aca="false">MAX('Score Entry'!L12:L41)</f>
        <v>4</v>
      </c>
      <c r="G8" s="109" t="n">
        <f aca="false">MAX('Score Entry'!N12:N41)</f>
        <v>4</v>
      </c>
      <c r="H8" s="109" t="n">
        <f aca="false">MAX('Score Entry'!P12:P41)</f>
        <v>4</v>
      </c>
      <c r="I8" s="110" t="n">
        <f aca="false">IFERROR(AVERAGE(B8,C8,D8,E8,F8,G8,H8),0)</f>
        <v>4</v>
      </c>
    </row>
    <row r="9" customFormat="false" ht="19.5" hidden="false" customHeight="true" outlineLevel="0" collapsed="false">
      <c r="A9" s="111" t="s">
        <v>239</v>
      </c>
      <c r="B9" s="112" t="n">
        <f aca="false">MIN('Score Entry'!D12:D41)</f>
        <v>1</v>
      </c>
      <c r="C9" s="112" t="n">
        <f aca="false">MIN('Score Entry'!F12:F41)</f>
        <v>1</v>
      </c>
      <c r="D9" s="112" t="n">
        <f aca="false">MIN('Score Entry'!H12:H41)</f>
        <v>1</v>
      </c>
      <c r="E9" s="112" t="n">
        <f aca="false">MIN('Score Entry'!J12:J41)</f>
        <v>1</v>
      </c>
      <c r="F9" s="112" t="n">
        <f aca="false">MIN('Score Entry'!L12:L41)</f>
        <v>1</v>
      </c>
      <c r="G9" s="112" t="n">
        <f aca="false">MIN('Score Entry'!N12:N41)</f>
        <v>1</v>
      </c>
      <c r="H9" s="112" t="n">
        <f aca="false">MIN('Score Entry'!P12:P41)</f>
        <v>1</v>
      </c>
      <c r="I9" s="110" t="n">
        <f aca="false">IFERROR(AVERAGE(B9,C9,D9,E9,F9,G9,H9),0)</f>
        <v>1</v>
      </c>
    </row>
    <row r="10" customFormat="false" ht="19.5" hidden="false" customHeight="true" outlineLevel="0" collapsed="false">
      <c r="A10" s="106" t="s">
        <v>12</v>
      </c>
      <c r="B10" s="113" t="n">
        <f aca="false">COUNTIF('Score Entry'!D12:D41,4)</f>
        <v>9</v>
      </c>
      <c r="C10" s="113" t="n">
        <f aca="false">COUNTIF('Score Entry'!F12:F41,4)</f>
        <v>8</v>
      </c>
      <c r="D10" s="113" t="n">
        <f aca="false">COUNTIF('Score Entry'!H12:H41,4)</f>
        <v>10</v>
      </c>
      <c r="E10" s="113" t="n">
        <f aca="false">COUNTIF('Score Entry'!J12:J41,4)</f>
        <v>5</v>
      </c>
      <c r="F10" s="113" t="n">
        <f aca="false">COUNTIF('Score Entry'!L12:L41,4)</f>
        <v>7</v>
      </c>
      <c r="G10" s="113" t="n">
        <f aca="false">COUNTIF('Score Entry'!N12:N41,4)</f>
        <v>9</v>
      </c>
      <c r="H10" s="113" t="n">
        <f aca="false">COUNTIF('Score Entry'!P12:P41,4)</f>
        <v>10</v>
      </c>
      <c r="I10" s="110" t="n">
        <f aca="false">IFERROR(AVERAGE(B10,C10,D10,E10,F10,G10,H10),0)</f>
        <v>8.28571428571429</v>
      </c>
    </row>
    <row r="11" customFormat="false" ht="19.5" hidden="false" customHeight="true" outlineLevel="0" collapsed="false">
      <c r="A11" s="114" t="s">
        <v>13</v>
      </c>
      <c r="B11" s="115" t="n">
        <f aca="false">COUNTIF('Score Entry'!D12:D41,3)</f>
        <v>3</v>
      </c>
      <c r="C11" s="115" t="n">
        <f aca="false">COUNTIF('Score Entry'!F12:F41,3)</f>
        <v>7</v>
      </c>
      <c r="D11" s="115" t="n">
        <f aca="false">COUNTIF('Score Entry'!H12:H41,3)</f>
        <v>7</v>
      </c>
      <c r="E11" s="115" t="n">
        <f aca="false">COUNTIF('Score Entry'!J12:J41,3)</f>
        <v>8</v>
      </c>
      <c r="F11" s="115" t="n">
        <f aca="false">COUNTIF('Score Entry'!L12:L41,3)</f>
        <v>10</v>
      </c>
      <c r="G11" s="115" t="n">
        <f aca="false">COUNTIF('Score Entry'!N12:N41,3)</f>
        <v>8</v>
      </c>
      <c r="H11" s="115" t="n">
        <f aca="false">COUNTIF('Score Entry'!P12:P41,3)</f>
        <v>8</v>
      </c>
      <c r="I11" s="110" t="n">
        <f aca="false">IFERROR(AVERAGE(B11,C11,D11,E11,F11,G11,H11),0)</f>
        <v>7.28571428571429</v>
      </c>
    </row>
    <row r="12" customFormat="false" ht="19.5" hidden="false" customHeight="true" outlineLevel="0" collapsed="false">
      <c r="A12" s="116" t="s">
        <v>14</v>
      </c>
      <c r="B12" s="117" t="n">
        <f aca="false">COUNTIF('Score Entry'!D12:D41,2)</f>
        <v>9</v>
      </c>
      <c r="C12" s="117" t="n">
        <f aca="false">COUNTIF('Score Entry'!F12:F41,2)</f>
        <v>4</v>
      </c>
      <c r="D12" s="117" t="n">
        <f aca="false">COUNTIF('Score Entry'!H12:H41,2)</f>
        <v>6</v>
      </c>
      <c r="E12" s="117" t="n">
        <f aca="false">COUNTIF('Score Entry'!J12:J41,2)</f>
        <v>9</v>
      </c>
      <c r="F12" s="117" t="n">
        <f aca="false">COUNTIF('Score Entry'!L12:L41,2)</f>
        <v>5</v>
      </c>
      <c r="G12" s="117" t="n">
        <f aca="false">COUNTIF('Score Entry'!N12:N41,2)</f>
        <v>9</v>
      </c>
      <c r="H12" s="117" t="n">
        <f aca="false">COUNTIF('Score Entry'!P12:P41,2)</f>
        <v>4</v>
      </c>
      <c r="I12" s="110" t="n">
        <f aca="false">IFERROR(AVERAGE(B12,C12,D12,E12,F12,G12,H12),0)</f>
        <v>6.57142857142857</v>
      </c>
    </row>
    <row r="13" customFormat="false" ht="19.5" hidden="false" customHeight="true" outlineLevel="0" collapsed="false">
      <c r="A13" s="111" t="s">
        <v>15</v>
      </c>
      <c r="B13" s="112" t="n">
        <f aca="false">COUNTIF('Score Entry'!D12:D41,1)</f>
        <v>9</v>
      </c>
      <c r="C13" s="112" t="n">
        <f aca="false">COUNTIF('Score Entry'!F12:F41,1)</f>
        <v>11</v>
      </c>
      <c r="D13" s="112" t="n">
        <f aca="false">COUNTIF('Score Entry'!H12:H41,1)</f>
        <v>7</v>
      </c>
      <c r="E13" s="112" t="n">
        <f aca="false">COUNTIF('Score Entry'!J12:J41,1)</f>
        <v>8</v>
      </c>
      <c r="F13" s="112" t="n">
        <f aca="false">COUNTIF('Score Entry'!L12:L41,1)</f>
        <v>8</v>
      </c>
      <c r="G13" s="112" t="n">
        <f aca="false">COUNTIF('Score Entry'!N12:N41,1)</f>
        <v>4</v>
      </c>
      <c r="H13" s="112" t="n">
        <f aca="false">COUNTIF('Score Entry'!P12:P41,1)</f>
        <v>8</v>
      </c>
      <c r="I13" s="110" t="n">
        <f aca="false">IFERROR(AVERAGE(B13,C13,D13,E13,F13,G13,H13),0)</f>
        <v>7.85714285714286</v>
      </c>
    </row>
    <row r="14" customFormat="false" ht="19.5" hidden="false" customHeight="true" outlineLevel="0" collapsed="false">
      <c r="A14" s="118" t="s">
        <v>240</v>
      </c>
      <c r="B14" s="119" t="n">
        <f aca="false">IFERROR(AVERAGE('Score Entry'!D12:D41)/4*100,0)</f>
        <v>60</v>
      </c>
      <c r="C14" s="119" t="n">
        <f aca="false">IFERROR(AVERAGE('Score Entry'!F12:F41)/4*100,0)</f>
        <v>60</v>
      </c>
      <c r="D14" s="119" t="n">
        <f aca="false">IFERROR(AVERAGE('Score Entry'!H12:H41)/4*100,0)</f>
        <v>66.6666666666667</v>
      </c>
      <c r="E14" s="119" t="n">
        <f aca="false">IFERROR(AVERAGE('Score Entry'!J12:J41)/4*100,0)</f>
        <v>58.3333333333333</v>
      </c>
      <c r="F14" s="119" t="n">
        <f aca="false">IFERROR(AVERAGE('Score Entry'!L12:L41)/4*100,0)</f>
        <v>63.3333333333333</v>
      </c>
      <c r="G14" s="119" t="n">
        <f aca="false">IFERROR(AVERAGE('Score Entry'!N12:N41)/4*100,0)</f>
        <v>68.3333333333333</v>
      </c>
      <c r="H14" s="119" t="n">
        <f aca="false">IFERROR(AVERAGE('Score Entry'!P12:P41)/4*100,0)</f>
        <v>66.6666666666667</v>
      </c>
      <c r="I14" s="75" t="n">
        <f aca="false">IFERROR(AVERAGE(B14,C14,D14,E14,F14,G14,H14),0)</f>
        <v>63.3333333333333</v>
      </c>
    </row>
    <row r="16" customFormat="false" ht="21.75" hidden="false" customHeight="true" outlineLevel="0" collapsed="false">
      <c r="A16" s="120" t="s">
        <v>241</v>
      </c>
      <c r="B16" s="120"/>
      <c r="C16" s="120"/>
      <c r="D16" s="120"/>
      <c r="E16" s="120"/>
      <c r="F16" s="120"/>
      <c r="G16" s="120"/>
      <c r="H16" s="120"/>
      <c r="I16" s="120"/>
    </row>
    <row r="17" customFormat="false" ht="21.75" hidden="false" customHeight="true" outlineLevel="0" collapsed="false">
      <c r="A17" s="43" t="s">
        <v>242</v>
      </c>
      <c r="B17" s="100" t="str">
        <f aca="false">IF(B14&gt;=60,"High(3)",IF(B14&gt;=40,"Med(2)","Low(1)"))</f>
        <v>High(3)</v>
      </c>
      <c r="C17" s="100" t="str">
        <f aca="false">IF(C14&gt;=60,"High(3)",IF(C14&gt;=40,"Med(2)","Low(1)"))</f>
        <v>High(3)</v>
      </c>
      <c r="D17" s="100" t="str">
        <f aca="false">IF(D14&gt;=60,"High(3)",IF(D14&gt;=40,"Med(2)","Low(1)"))</f>
        <v>High(3)</v>
      </c>
      <c r="E17" s="100" t="str">
        <f aca="false">IF(E14&gt;=60,"High(3)",IF(E14&gt;=40,"Med(2)","Low(1)"))</f>
        <v>Med(2)</v>
      </c>
      <c r="F17" s="100" t="str">
        <f aca="false">IF(F14&gt;=60,"High(3)",IF(F14&gt;=40,"Med(2)","Low(1)"))</f>
        <v>High(3)</v>
      </c>
      <c r="G17" s="100" t="str">
        <f aca="false">IF(G14&gt;=60,"High(3)",IF(G14&gt;=40,"Med(2)","Low(1)"))</f>
        <v>High(3)</v>
      </c>
      <c r="H17" s="100" t="str">
        <f aca="false">IF(H14&gt;=60,"High(3)",IF(H14&gt;=40,"Med(2)","Low(1)"))</f>
        <v>High(3)</v>
      </c>
      <c r="I17" s="45" t="str">
        <f aca="false">IF(I14&gt;=60,"High(3)",IF(I14&gt;=40,"Med(2)","Low(1)"))</f>
        <v>High(3)</v>
      </c>
    </row>
  </sheetData>
  <mergeCells count="12">
    <mergeCell ref="A1:J1"/>
    <mergeCell ref="A2:J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A16:I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11" min="5" style="0" width="10"/>
    <col collapsed="false" customWidth="true" hidden="false" outlineLevel="0" max="16" min="12" style="0" width="13"/>
  </cols>
  <sheetData>
    <row r="1" customFormat="false" ht="39.75" hidden="false" customHeight="true" outlineLevel="0" collapsed="false">
      <c r="A1" s="101" t="s">
        <v>243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</row>
    <row r="2" customFormat="false" ht="15.75" hidden="false" customHeight="true" outlineLevel="0" collapsed="false">
      <c r="A2" s="2" t="s">
        <v>244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7.5" hidden="false" customHeight="true" outlineLevel="0" collapsed="false"/>
    <row r="4" customFormat="false" ht="27.75" hidden="false" customHeight="true" outlineLevel="0" collapsed="false">
      <c r="A4" s="121" t="s">
        <v>8</v>
      </c>
      <c r="B4" s="121" t="s">
        <v>245</v>
      </c>
      <c r="C4" s="121" t="s">
        <v>246</v>
      </c>
      <c r="D4" s="121" t="s">
        <v>247</v>
      </c>
      <c r="E4" s="122" t="s">
        <v>248</v>
      </c>
      <c r="F4" s="122"/>
      <c r="G4" s="122"/>
      <c r="H4" s="122"/>
      <c r="I4" s="122"/>
      <c r="J4" s="122"/>
      <c r="K4" s="122"/>
      <c r="L4" s="56" t="s">
        <v>249</v>
      </c>
      <c r="M4" s="56" t="s">
        <v>250</v>
      </c>
      <c r="N4" s="123" t="s">
        <v>251</v>
      </c>
      <c r="O4" s="58" t="s">
        <v>252</v>
      </c>
      <c r="P4" s="58" t="s">
        <v>253</v>
      </c>
    </row>
    <row r="5" customFormat="false" ht="19.5" hidden="false" customHeight="true" outlineLevel="0" collapsed="false">
      <c r="A5" s="121"/>
      <c r="B5" s="121"/>
      <c r="C5" s="121"/>
      <c r="D5" s="121"/>
      <c r="E5" s="124" t="s">
        <v>215</v>
      </c>
      <c r="F5" s="124" t="s">
        <v>216</v>
      </c>
      <c r="G5" s="124" t="s">
        <v>217</v>
      </c>
      <c r="H5" s="124" t="s">
        <v>218</v>
      </c>
      <c r="I5" s="124" t="s">
        <v>219</v>
      </c>
      <c r="J5" s="124" t="s">
        <v>220</v>
      </c>
      <c r="K5" s="124" t="s">
        <v>221</v>
      </c>
      <c r="L5" s="56"/>
      <c r="M5" s="56"/>
      <c r="N5" s="56"/>
      <c r="O5" s="56"/>
      <c r="P5" s="56"/>
    </row>
    <row r="6" customFormat="false" ht="21.75" hidden="false" customHeight="true" outlineLevel="0" collapsed="false">
      <c r="A6" s="27" t="n">
        <v>1</v>
      </c>
      <c r="B6" s="17" t="s">
        <v>254</v>
      </c>
      <c r="C6" s="125" t="s">
        <v>255</v>
      </c>
      <c r="D6" s="126" t="s">
        <v>215</v>
      </c>
      <c r="E6" s="127" t="n">
        <f aca="false">'Criterion Analysis'!B14</f>
        <v>60</v>
      </c>
      <c r="F6" s="128" t="s">
        <v>256</v>
      </c>
      <c r="G6" s="128" t="s">
        <v>256</v>
      </c>
      <c r="H6" s="128" t="s">
        <v>256</v>
      </c>
      <c r="I6" s="128" t="s">
        <v>256</v>
      </c>
      <c r="J6" s="128" t="s">
        <v>256</v>
      </c>
      <c r="K6" s="128" t="s">
        <v>256</v>
      </c>
      <c r="L6" s="129" t="n">
        <f aca="false">IFERROR(AVERAGE('Criterion Analysis'!B14),0)</f>
        <v>60</v>
      </c>
      <c r="M6" s="130" t="str">
        <f aca="false">IF(L6&gt;=60,"3 — High",IF(L6&gt;=40,"2 — Medium","1 — Low"))</f>
        <v>3 — High</v>
      </c>
      <c r="N6" s="131" t="s">
        <v>257</v>
      </c>
      <c r="O6" s="132" t="n">
        <f aca="false">L6-60</f>
        <v>0</v>
      </c>
      <c r="P6" s="133" t="str">
        <f aca="false">IF(L6&gt;=60,"✔ Met","✘ Not Met")</f>
        <v>✔ Met</v>
      </c>
    </row>
    <row r="7" customFormat="false" ht="21.75" hidden="false" customHeight="true" outlineLevel="0" collapsed="false">
      <c r="A7" s="29" t="n">
        <v>2</v>
      </c>
      <c r="B7" s="17" t="s">
        <v>258</v>
      </c>
      <c r="C7" s="134" t="s">
        <v>259</v>
      </c>
      <c r="D7" s="135" t="s">
        <v>215</v>
      </c>
      <c r="E7" s="136" t="n">
        <f aca="false">'Criterion Analysis'!B14</f>
        <v>60</v>
      </c>
      <c r="F7" s="137" t="s">
        <v>256</v>
      </c>
      <c r="G7" s="137" t="s">
        <v>256</v>
      </c>
      <c r="H7" s="137" t="s">
        <v>256</v>
      </c>
      <c r="I7" s="137" t="s">
        <v>256</v>
      </c>
      <c r="J7" s="137" t="s">
        <v>256</v>
      </c>
      <c r="K7" s="137" t="s">
        <v>256</v>
      </c>
      <c r="L7" s="129" t="n">
        <f aca="false">IFERROR(AVERAGE('Criterion Analysis'!B14),0)</f>
        <v>60</v>
      </c>
      <c r="M7" s="130" t="str">
        <f aca="false">IF(L7&gt;=60,"3 — High",IF(L7&gt;=40,"2 — Medium","1 — Low"))</f>
        <v>3 — High</v>
      </c>
      <c r="N7" s="131" t="s">
        <v>257</v>
      </c>
      <c r="O7" s="132" t="n">
        <f aca="false">L7-60</f>
        <v>0</v>
      </c>
      <c r="P7" s="133" t="str">
        <f aca="false">IF(L7&gt;=60,"✔ Met","✘ Not Met")</f>
        <v>✔ Met</v>
      </c>
    </row>
    <row r="8" customFormat="false" ht="21.75" hidden="false" customHeight="true" outlineLevel="0" collapsed="false">
      <c r="A8" s="27" t="n">
        <v>3</v>
      </c>
      <c r="B8" s="17" t="s">
        <v>260</v>
      </c>
      <c r="C8" s="125" t="s">
        <v>261</v>
      </c>
      <c r="D8" s="126" t="s">
        <v>256</v>
      </c>
      <c r="E8" s="128" t="s">
        <v>256</v>
      </c>
      <c r="F8" s="128" t="s">
        <v>256</v>
      </c>
      <c r="G8" s="128" t="s">
        <v>256</v>
      </c>
      <c r="H8" s="128" t="s">
        <v>256</v>
      </c>
      <c r="I8" s="128" t="s">
        <v>256</v>
      </c>
      <c r="J8" s="128" t="s">
        <v>256</v>
      </c>
      <c r="K8" s="128" t="s">
        <v>256</v>
      </c>
      <c r="L8" s="129" t="n">
        <f aca="false">0</f>
        <v>0</v>
      </c>
      <c r="M8" s="130" t="str">
        <f aca="false">IF(L8&gt;=60,"3 — High",IF(L8&gt;=40,"2 — Medium","1 — Low"))</f>
        <v>1 — Low</v>
      </c>
      <c r="N8" s="131" t="s">
        <v>257</v>
      </c>
      <c r="O8" s="132" t="n">
        <f aca="false">L8-60</f>
        <v>-60</v>
      </c>
      <c r="P8" s="133" t="str">
        <f aca="false">IF(L8&gt;=60,"✔ Met","✘ Not Met")</f>
        <v>✘ Not Met</v>
      </c>
    </row>
    <row r="9" customFormat="false" ht="21.75" hidden="false" customHeight="true" outlineLevel="0" collapsed="false">
      <c r="A9" s="29" t="n">
        <v>4</v>
      </c>
      <c r="B9" s="17" t="s">
        <v>262</v>
      </c>
      <c r="C9" s="134" t="s">
        <v>263</v>
      </c>
      <c r="D9" s="135" t="s">
        <v>256</v>
      </c>
      <c r="E9" s="137" t="s">
        <v>256</v>
      </c>
      <c r="F9" s="137" t="s">
        <v>256</v>
      </c>
      <c r="G9" s="137" t="s">
        <v>256</v>
      </c>
      <c r="H9" s="137" t="s">
        <v>256</v>
      </c>
      <c r="I9" s="137" t="s">
        <v>256</v>
      </c>
      <c r="J9" s="137" t="s">
        <v>256</v>
      </c>
      <c r="K9" s="137" t="s">
        <v>256</v>
      </c>
      <c r="L9" s="129" t="n">
        <f aca="false">0</f>
        <v>0</v>
      </c>
      <c r="M9" s="130" t="str">
        <f aca="false">IF(L9&gt;=60,"3 — High",IF(L9&gt;=40,"2 — Medium","1 — Low"))</f>
        <v>1 — Low</v>
      </c>
      <c r="N9" s="131" t="s">
        <v>257</v>
      </c>
      <c r="O9" s="132" t="n">
        <f aca="false">L9-60</f>
        <v>-60</v>
      </c>
      <c r="P9" s="133" t="str">
        <f aca="false">IF(L9&gt;=60,"✔ Met","✘ Not Met")</f>
        <v>✘ Not Met</v>
      </c>
    </row>
    <row r="10" customFormat="false" ht="21.75" hidden="false" customHeight="true" outlineLevel="0" collapsed="false">
      <c r="A10" s="27" t="n">
        <v>5</v>
      </c>
      <c r="B10" s="17" t="s">
        <v>264</v>
      </c>
      <c r="C10" s="125" t="s">
        <v>265</v>
      </c>
      <c r="D10" s="126" t="s">
        <v>218</v>
      </c>
      <c r="E10" s="128" t="s">
        <v>256</v>
      </c>
      <c r="F10" s="128" t="s">
        <v>256</v>
      </c>
      <c r="G10" s="128" t="s">
        <v>256</v>
      </c>
      <c r="H10" s="127" t="n">
        <f aca="false">'Criterion Analysis'!E14</f>
        <v>58.3333333333333</v>
      </c>
      <c r="I10" s="128" t="s">
        <v>256</v>
      </c>
      <c r="J10" s="128" t="s">
        <v>256</v>
      </c>
      <c r="K10" s="128" t="s">
        <v>256</v>
      </c>
      <c r="L10" s="129" t="n">
        <f aca="false">IFERROR(AVERAGE('Criterion Analysis'!E14),0)</f>
        <v>58.3333333333333</v>
      </c>
      <c r="M10" s="130" t="str">
        <f aca="false">IF(L10&gt;=60,"3 — High",IF(L10&gt;=40,"2 — Medium","1 — Low"))</f>
        <v>2 — Medium</v>
      </c>
      <c r="N10" s="131" t="s">
        <v>257</v>
      </c>
      <c r="O10" s="132" t="n">
        <f aca="false">L10-60</f>
        <v>-1.66666666666666</v>
      </c>
      <c r="P10" s="133" t="str">
        <f aca="false">IF(L10&gt;=60,"✔ Met","✘ Not Met")</f>
        <v>✘ Not Met</v>
      </c>
    </row>
    <row r="11" customFormat="false" ht="21.75" hidden="false" customHeight="true" outlineLevel="0" collapsed="false">
      <c r="A11" s="29" t="n">
        <v>6</v>
      </c>
      <c r="B11" s="17" t="s">
        <v>266</v>
      </c>
      <c r="C11" s="134" t="s">
        <v>267</v>
      </c>
      <c r="D11" s="135" t="s">
        <v>256</v>
      </c>
      <c r="E11" s="137" t="s">
        <v>256</v>
      </c>
      <c r="F11" s="137" t="s">
        <v>256</v>
      </c>
      <c r="G11" s="137" t="s">
        <v>256</v>
      </c>
      <c r="H11" s="137" t="s">
        <v>256</v>
      </c>
      <c r="I11" s="137" t="s">
        <v>256</v>
      </c>
      <c r="J11" s="137" t="s">
        <v>256</v>
      </c>
      <c r="K11" s="137" t="s">
        <v>256</v>
      </c>
      <c r="L11" s="129" t="n">
        <f aca="false">0</f>
        <v>0</v>
      </c>
      <c r="M11" s="130" t="str">
        <f aca="false">IF(L11&gt;=60,"3 — High",IF(L11&gt;=40,"2 — Medium","1 — Low"))</f>
        <v>1 — Low</v>
      </c>
      <c r="N11" s="131" t="s">
        <v>257</v>
      </c>
      <c r="O11" s="132" t="n">
        <f aca="false">L11-60</f>
        <v>-60</v>
      </c>
      <c r="P11" s="133" t="str">
        <f aca="false">IF(L11&gt;=60,"✔ Met","✘ Not Met")</f>
        <v>✘ Not Met</v>
      </c>
    </row>
    <row r="12" customFormat="false" ht="21.75" hidden="false" customHeight="true" outlineLevel="0" collapsed="false">
      <c r="A12" s="27" t="n">
        <v>7</v>
      </c>
      <c r="B12" s="17" t="s">
        <v>268</v>
      </c>
      <c r="C12" s="125" t="s">
        <v>269</v>
      </c>
      <c r="D12" s="126" t="s">
        <v>256</v>
      </c>
      <c r="E12" s="128" t="s">
        <v>256</v>
      </c>
      <c r="F12" s="128" t="s">
        <v>256</v>
      </c>
      <c r="G12" s="128" t="s">
        <v>256</v>
      </c>
      <c r="H12" s="128" t="s">
        <v>256</v>
      </c>
      <c r="I12" s="128" t="s">
        <v>256</v>
      </c>
      <c r="J12" s="128" t="s">
        <v>256</v>
      </c>
      <c r="K12" s="128" t="s">
        <v>256</v>
      </c>
      <c r="L12" s="129" t="n">
        <f aca="false">0</f>
        <v>0</v>
      </c>
      <c r="M12" s="130" t="str">
        <f aca="false">IF(L12&gt;=60,"3 — High",IF(L12&gt;=40,"2 — Medium","1 — Low"))</f>
        <v>1 — Low</v>
      </c>
      <c r="N12" s="131" t="s">
        <v>257</v>
      </c>
      <c r="O12" s="132" t="n">
        <f aca="false">L12-60</f>
        <v>-60</v>
      </c>
      <c r="P12" s="133" t="str">
        <f aca="false">IF(L12&gt;=60,"✔ Met","✘ Not Met")</f>
        <v>✘ Not Met</v>
      </c>
    </row>
    <row r="13" customFormat="false" ht="21.75" hidden="false" customHeight="true" outlineLevel="0" collapsed="false">
      <c r="A13" s="29" t="n">
        <v>8</v>
      </c>
      <c r="B13" s="17" t="s">
        <v>270</v>
      </c>
      <c r="C13" s="134" t="s">
        <v>271</v>
      </c>
      <c r="D13" s="135" t="s">
        <v>256</v>
      </c>
      <c r="E13" s="137" t="s">
        <v>256</v>
      </c>
      <c r="F13" s="137" t="s">
        <v>256</v>
      </c>
      <c r="G13" s="137" t="s">
        <v>256</v>
      </c>
      <c r="H13" s="137" t="s">
        <v>256</v>
      </c>
      <c r="I13" s="137" t="s">
        <v>256</v>
      </c>
      <c r="J13" s="137" t="s">
        <v>256</v>
      </c>
      <c r="K13" s="137" t="s">
        <v>256</v>
      </c>
      <c r="L13" s="129" t="n">
        <f aca="false">0</f>
        <v>0</v>
      </c>
      <c r="M13" s="130" t="str">
        <f aca="false">IF(L13&gt;=60,"3 — High",IF(L13&gt;=40,"2 — Medium","1 — Low"))</f>
        <v>1 — Low</v>
      </c>
      <c r="N13" s="131" t="s">
        <v>257</v>
      </c>
      <c r="O13" s="132" t="n">
        <f aca="false">L13-60</f>
        <v>-60</v>
      </c>
      <c r="P13" s="133" t="str">
        <f aca="false">IF(L13&gt;=60,"✔ Met","✘ Not Met")</f>
        <v>✘ Not Met</v>
      </c>
    </row>
    <row r="14" customFormat="false" ht="21.75" hidden="false" customHeight="true" outlineLevel="0" collapsed="false">
      <c r="A14" s="27" t="n">
        <v>9</v>
      </c>
      <c r="B14" s="17" t="s">
        <v>52</v>
      </c>
      <c r="C14" s="125" t="s">
        <v>272</v>
      </c>
      <c r="D14" s="126" t="s">
        <v>273</v>
      </c>
      <c r="E14" s="128" t="s">
        <v>256</v>
      </c>
      <c r="F14" s="128" t="s">
        <v>256</v>
      </c>
      <c r="G14" s="128" t="s">
        <v>256</v>
      </c>
      <c r="H14" s="128" t="s">
        <v>256</v>
      </c>
      <c r="I14" s="127" t="n">
        <f aca="false">'Criterion Analysis'!F14</f>
        <v>63.3333333333333</v>
      </c>
      <c r="J14" s="128" t="s">
        <v>256</v>
      </c>
      <c r="K14" s="127" t="n">
        <f aca="false">'Criterion Analysis'!H14</f>
        <v>66.6666666666667</v>
      </c>
      <c r="L14" s="129" t="n">
        <f aca="false">IFERROR(AVERAGE('Criterion Analysis'!F14,'Criterion Analysis'!H14),0)</f>
        <v>65</v>
      </c>
      <c r="M14" s="130" t="str">
        <f aca="false">IF(L14&gt;=60,"3 — High",IF(L14&gt;=40,"2 — Medium","1 — Low"))</f>
        <v>3 — High</v>
      </c>
      <c r="N14" s="131" t="s">
        <v>257</v>
      </c>
      <c r="O14" s="132" t="n">
        <f aca="false">L14-60</f>
        <v>5</v>
      </c>
      <c r="P14" s="133" t="str">
        <f aca="false">IF(L14&gt;=60,"✔ Met","✘ Not Met")</f>
        <v>✔ Met</v>
      </c>
    </row>
    <row r="15" customFormat="false" ht="21.75" hidden="false" customHeight="true" outlineLevel="0" collapsed="false">
      <c r="A15" s="29" t="n">
        <v>10</v>
      </c>
      <c r="B15" s="17" t="s">
        <v>31</v>
      </c>
      <c r="C15" s="134" t="s">
        <v>77</v>
      </c>
      <c r="D15" s="135" t="s">
        <v>274</v>
      </c>
      <c r="E15" s="137" t="s">
        <v>256</v>
      </c>
      <c r="F15" s="136" t="n">
        <f aca="false">'Criterion Analysis'!C14</f>
        <v>60</v>
      </c>
      <c r="G15" s="136" t="n">
        <f aca="false">'Criterion Analysis'!D14</f>
        <v>66.6666666666667</v>
      </c>
      <c r="H15" s="136" t="n">
        <f aca="false">'Criterion Analysis'!E14</f>
        <v>58.3333333333333</v>
      </c>
      <c r="I15" s="137" t="s">
        <v>256</v>
      </c>
      <c r="J15" s="137" t="s">
        <v>256</v>
      </c>
      <c r="K15" s="137" t="s">
        <v>256</v>
      </c>
      <c r="L15" s="129" t="n">
        <f aca="false">IFERROR(AVERAGE('Criterion Analysis'!C14,'Criterion Analysis'!D14,'Criterion Analysis'!E14),0)</f>
        <v>61.6666666666667</v>
      </c>
      <c r="M15" s="130" t="str">
        <f aca="false">IF(L15&gt;=60,"3 — High",IF(L15&gt;=40,"2 — Medium","1 — Low"))</f>
        <v>3 — High</v>
      </c>
      <c r="N15" s="131" t="s">
        <v>257</v>
      </c>
      <c r="O15" s="132" t="n">
        <f aca="false">L15-60</f>
        <v>1.66666666666666</v>
      </c>
      <c r="P15" s="133" t="str">
        <f aca="false">IF(L15&gt;=60,"✔ Met","✘ Not Met")</f>
        <v>✔ Met</v>
      </c>
    </row>
    <row r="16" customFormat="false" ht="21.75" hidden="false" customHeight="true" outlineLevel="0" collapsed="false">
      <c r="A16" s="27" t="n">
        <v>11</v>
      </c>
      <c r="B16" s="17" t="s">
        <v>59</v>
      </c>
      <c r="C16" s="125" t="s">
        <v>275</v>
      </c>
      <c r="D16" s="126" t="s">
        <v>276</v>
      </c>
      <c r="E16" s="128" t="s">
        <v>256</v>
      </c>
      <c r="F16" s="128" t="s">
        <v>256</v>
      </c>
      <c r="G16" s="127" t="n">
        <f aca="false">'Criterion Analysis'!D14</f>
        <v>66.6666666666667</v>
      </c>
      <c r="H16" s="128" t="s">
        <v>256</v>
      </c>
      <c r="I16" s="128" t="s">
        <v>256</v>
      </c>
      <c r="J16" s="127" t="n">
        <f aca="false">'Criterion Analysis'!G14</f>
        <v>68.3333333333333</v>
      </c>
      <c r="K16" s="128" t="s">
        <v>256</v>
      </c>
      <c r="L16" s="129" t="n">
        <f aca="false">IFERROR(AVERAGE('Criterion Analysis'!D14,'Criterion Analysis'!G14),0)</f>
        <v>67.5</v>
      </c>
      <c r="M16" s="130" t="str">
        <f aca="false">IF(L16&gt;=60,"3 — High",IF(L16&gt;=40,"2 — Medium","1 — Low"))</f>
        <v>3 — High</v>
      </c>
      <c r="N16" s="131" t="s">
        <v>257</v>
      </c>
      <c r="O16" s="132" t="n">
        <f aca="false">L16-60</f>
        <v>7.5</v>
      </c>
      <c r="P16" s="133" t="str">
        <f aca="false">IF(L16&gt;=60,"✔ Met","✘ Not Met")</f>
        <v>✔ Met</v>
      </c>
    </row>
    <row r="17" customFormat="false" ht="21.75" hidden="false" customHeight="true" outlineLevel="0" collapsed="false">
      <c r="A17" s="29" t="n">
        <v>12</v>
      </c>
      <c r="B17" s="17" t="s">
        <v>277</v>
      </c>
      <c r="C17" s="134" t="s">
        <v>278</v>
      </c>
      <c r="D17" s="135" t="s">
        <v>221</v>
      </c>
      <c r="E17" s="137" t="s">
        <v>256</v>
      </c>
      <c r="F17" s="137" t="s">
        <v>256</v>
      </c>
      <c r="G17" s="137" t="s">
        <v>256</v>
      </c>
      <c r="H17" s="137" t="s">
        <v>256</v>
      </c>
      <c r="I17" s="137" t="s">
        <v>256</v>
      </c>
      <c r="J17" s="137" t="s">
        <v>256</v>
      </c>
      <c r="K17" s="136" t="n">
        <f aca="false">'Criterion Analysis'!H14</f>
        <v>66.6666666666667</v>
      </c>
      <c r="L17" s="129" t="n">
        <f aca="false">IFERROR(AVERAGE('Criterion Analysis'!H14),0)</f>
        <v>66.6666666666667</v>
      </c>
      <c r="M17" s="130" t="str">
        <f aca="false">IF(L17&gt;=60,"3 — High",IF(L17&gt;=40,"2 — Medium","1 — Low"))</f>
        <v>3 — High</v>
      </c>
      <c r="N17" s="131" t="s">
        <v>257</v>
      </c>
      <c r="O17" s="132" t="n">
        <f aca="false">L17-60</f>
        <v>6.66666666666666</v>
      </c>
      <c r="P17" s="133" t="str">
        <f aca="false">IF(L17&gt;=60,"✔ Met","✘ Not Met")</f>
        <v>✔ Met</v>
      </c>
    </row>
  </sheetData>
  <mergeCells count="12">
    <mergeCell ref="A1:O1"/>
    <mergeCell ref="A2:O2"/>
    <mergeCell ref="A4:A5"/>
    <mergeCell ref="B4:B5"/>
    <mergeCell ref="C4:C5"/>
    <mergeCell ref="D4:D5"/>
    <mergeCell ref="E4:K4"/>
    <mergeCell ref="L4:L5"/>
    <mergeCell ref="M4:M5"/>
    <mergeCell ref="N4:N5"/>
    <mergeCell ref="O4:O5"/>
    <mergeCell ref="P4:P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10" min="4" style="0" width="12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3" min="13" style="0" width="45"/>
  </cols>
  <sheetData>
    <row r="1" customFormat="false" ht="43.5" hidden="false" customHeight="true" outlineLevel="0" collapsed="false">
      <c r="A1" s="46" t="s">
        <v>279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</row>
    <row r="2" customFormat="false" ht="18" hidden="false" customHeight="true" outlineLevel="0" collapsed="false">
      <c r="A2" s="2" t="s">
        <v>280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7.5" hidden="false" customHeight="true" outlineLevel="0" collapsed="false"/>
    <row r="4" customFormat="false" ht="25.5" hidden="false" customHeight="true" outlineLevel="0" collapsed="false">
      <c r="A4" s="9" t="s">
        <v>8</v>
      </c>
      <c r="B4" s="9" t="s">
        <v>213</v>
      </c>
      <c r="C4" s="9" t="s">
        <v>214</v>
      </c>
      <c r="D4" s="59" t="s">
        <v>215</v>
      </c>
      <c r="E4" s="59" t="s">
        <v>216</v>
      </c>
      <c r="F4" s="59" t="s">
        <v>217</v>
      </c>
      <c r="G4" s="59" t="s">
        <v>218</v>
      </c>
      <c r="H4" s="59" t="s">
        <v>219</v>
      </c>
      <c r="I4" s="59" t="s">
        <v>220</v>
      </c>
      <c r="J4" s="59" t="s">
        <v>221</v>
      </c>
      <c r="K4" s="11" t="s">
        <v>222</v>
      </c>
      <c r="L4" s="10" t="s">
        <v>113</v>
      </c>
      <c r="M4" s="10" t="s">
        <v>281</v>
      </c>
    </row>
    <row r="5" customFormat="false" ht="18" hidden="false" customHeight="true" outlineLevel="0" collapsed="false">
      <c r="A5" s="27" t="n">
        <v>1</v>
      </c>
      <c r="B5" s="27" t="str">
        <f aca="false">'Score Entry'!B12</f>
        <v>R001</v>
      </c>
      <c r="C5" s="27" t="str">
        <f aca="false">'Score Entry'!C12</f>
        <v>Aarav Sharma</v>
      </c>
      <c r="D5" s="138" t="str">
        <f aca="false">IF('Score Entry'!D12=4,"Excellent",IF('Score Entry'!D12=3,"Good",IF('Score Entry'!D12=2,"Fair","Poor")))</f>
        <v>Poor</v>
      </c>
      <c r="E5" s="138" t="str">
        <f aca="false">IF('Score Entry'!F12=4,"Excellent",IF('Score Entry'!F12=3,"Good",IF('Score Entry'!F12=2,"Fair","Poor")))</f>
        <v>Fair</v>
      </c>
      <c r="F5" s="138" t="str">
        <f aca="false">IF('Score Entry'!H12=4,"Excellent",IF('Score Entry'!H12=3,"Good",IF('Score Entry'!H12=2,"Fair","Poor")))</f>
        <v>Fair</v>
      </c>
      <c r="G5" s="138" t="str">
        <f aca="false">IF('Score Entry'!J12=4,"Excellent",IF('Score Entry'!J12=3,"Good",IF('Score Entry'!J12=2,"Fair","Poor")))</f>
        <v>Good</v>
      </c>
      <c r="H5" s="138" t="str">
        <f aca="false">IF('Score Entry'!L12=4,"Excellent",IF('Score Entry'!L12=3,"Good",IF('Score Entry'!L12=2,"Fair","Poor")))</f>
        <v>Poor</v>
      </c>
      <c r="I5" s="138" t="str">
        <f aca="false">IF('Score Entry'!N12=4,"Excellent",IF('Score Entry'!N12=3,"Good",IF('Score Entry'!N12=2,"Fair","Poor")))</f>
        <v>Fair</v>
      </c>
      <c r="J5" s="138" t="str">
        <f aca="false">IF('Score Entry'!P12=4,"Excellent",IF('Score Entry'!P12=3,"Good",IF('Score Entry'!P12=2,"Fair","Poor")))</f>
        <v>Good</v>
      </c>
      <c r="K5" s="68" t="n">
        <f aca="false">'Score Entry'!R12</f>
        <v>43.75</v>
      </c>
      <c r="L5" s="99" t="str">
        <f aca="false">'Score Entry'!T12</f>
        <v>B</v>
      </c>
      <c r="M5" s="139" t="str">
        <f aca="false">IF('Score Entry'!R12&gt;=90,"Excellent presentation — outstanding knowledge, communication and professionalism",IF('Score Entry'!R12&gt;=75,"Very good presentation — strong content and delivery with minor improvements needed",IF('Score Entry'!R12&gt;=60,"Good presentation — adequate knowledge but needs improvement in communication and organization",IF('Score Entry'!R12&gt;=40,"Satisfactory — basic understanding shown; significant improvement needed in delivery and content","Needs major improvement — weak subject knowledge, poor communication and organization"))))</f>
        <v>Satisfactory — basic understanding shown; significant improvement needed in delivery and content</v>
      </c>
    </row>
    <row r="6" customFormat="false" ht="18" hidden="false" customHeight="true" outlineLevel="0" collapsed="false">
      <c r="A6" s="29" t="n">
        <v>2</v>
      </c>
      <c r="B6" s="29" t="str">
        <f aca="false">'Score Entry'!B13</f>
        <v>R002</v>
      </c>
      <c r="C6" s="29" t="str">
        <f aca="false">'Score Entry'!C13</f>
        <v>Priya Patel</v>
      </c>
      <c r="D6" s="138" t="str">
        <f aca="false">IF('Score Entry'!D13=4,"Excellent",IF('Score Entry'!D13=3,"Good",IF('Score Entry'!D13=2,"Fair","Poor")))</f>
        <v>Poor</v>
      </c>
      <c r="E6" s="138" t="str">
        <f aca="false">IF('Score Entry'!F13=4,"Excellent",IF('Score Entry'!F13=3,"Good",IF('Score Entry'!F13=2,"Fair","Poor")))</f>
        <v>Good</v>
      </c>
      <c r="F6" s="138" t="str">
        <f aca="false">IF('Score Entry'!H13=4,"Excellent",IF('Score Entry'!H13=3,"Good",IF('Score Entry'!H13=2,"Fair","Poor")))</f>
        <v>Excellent</v>
      </c>
      <c r="G6" s="138" t="str">
        <f aca="false">IF('Score Entry'!J13=4,"Excellent",IF('Score Entry'!J13=3,"Good",IF('Score Entry'!J13=2,"Fair","Poor")))</f>
        <v>Excellent</v>
      </c>
      <c r="H6" s="138" t="str">
        <f aca="false">IF('Score Entry'!L13=4,"Excellent",IF('Score Entry'!L13=3,"Good",IF('Score Entry'!L13=2,"Fair","Poor")))</f>
        <v>Excellent</v>
      </c>
      <c r="I6" s="138" t="str">
        <f aca="false">IF('Score Entry'!N13=4,"Excellent",IF('Score Entry'!N13=3,"Good",IF('Score Entry'!N13=2,"Fair","Poor")))</f>
        <v>Excellent</v>
      </c>
      <c r="J6" s="138" t="str">
        <f aca="false">IF('Score Entry'!P13=4,"Excellent",IF('Score Entry'!P13=3,"Good",IF('Score Entry'!P13=2,"Fair","Poor")))</f>
        <v>Good</v>
      </c>
      <c r="K6" s="68" t="n">
        <f aca="false">'Score Entry'!R13</f>
        <v>71.25</v>
      </c>
      <c r="L6" s="99" t="str">
        <f aca="false">'Score Entry'!T13</f>
        <v>A</v>
      </c>
      <c r="M6" s="140" t="str">
        <f aca="false">IF('Score Entry'!R13&gt;=90,"Excellent presentation — outstanding knowledge, communication and professionalism",IF('Score Entry'!R13&gt;=75,"Very good presentation — strong content and delivery with minor improvements needed",IF('Score Entry'!R13&gt;=60,"Good presentation — adequate knowledge but needs improvement in communication and organization",IF('Score Entry'!R13&gt;=40,"Satisfactory — basic understanding shown; significant improvement needed in delivery and content","Needs major improvement — weak subject knowledge, poor communication and organization"))))</f>
        <v>Good presentation — adequate knowledge but needs improvement in communication and organization</v>
      </c>
    </row>
    <row r="7" customFormat="false" ht="18" hidden="false" customHeight="true" outlineLevel="0" collapsed="false">
      <c r="A7" s="27" t="n">
        <v>3</v>
      </c>
      <c r="B7" s="27" t="str">
        <f aca="false">'Score Entry'!B14</f>
        <v>R003</v>
      </c>
      <c r="C7" s="27" t="str">
        <f aca="false">'Score Entry'!C14</f>
        <v>Rohan Mehta</v>
      </c>
      <c r="D7" s="138" t="str">
        <f aca="false">IF('Score Entry'!D14=4,"Excellent",IF('Score Entry'!D14=3,"Good",IF('Score Entry'!D14=2,"Fair","Poor")))</f>
        <v>Excellent</v>
      </c>
      <c r="E7" s="138" t="str">
        <f aca="false">IF('Score Entry'!F14=4,"Excellent",IF('Score Entry'!F14=3,"Good",IF('Score Entry'!F14=2,"Fair","Poor")))</f>
        <v>Poor</v>
      </c>
      <c r="F7" s="138" t="str">
        <f aca="false">IF('Score Entry'!H14=4,"Excellent",IF('Score Entry'!H14=3,"Good",IF('Score Entry'!H14=2,"Fair","Poor")))</f>
        <v>Good</v>
      </c>
      <c r="G7" s="138" t="str">
        <f aca="false">IF('Score Entry'!J14=4,"Excellent",IF('Score Entry'!J14=3,"Good",IF('Score Entry'!J14=2,"Fair","Poor")))</f>
        <v>Poor</v>
      </c>
      <c r="H7" s="138" t="str">
        <f aca="false">IF('Score Entry'!L14=4,"Excellent",IF('Score Entry'!L14=3,"Good",IF('Score Entry'!L14=2,"Fair","Poor")))</f>
        <v>Fair</v>
      </c>
      <c r="I7" s="138" t="str">
        <f aca="false">IF('Score Entry'!N14=4,"Excellent",IF('Score Entry'!N14=3,"Good",IF('Score Entry'!N14=2,"Fair","Poor")))</f>
        <v>Poor</v>
      </c>
      <c r="J7" s="138" t="str">
        <f aca="false">IF('Score Entry'!P14=4,"Excellent",IF('Score Entry'!P14=3,"Good",IF('Score Entry'!P14=2,"Fair","Poor")))</f>
        <v>Excellent</v>
      </c>
      <c r="K7" s="68" t="n">
        <f aca="false">'Score Entry'!R14</f>
        <v>61.25</v>
      </c>
      <c r="L7" s="99" t="str">
        <f aca="false">'Score Entry'!T14</f>
        <v>A</v>
      </c>
      <c r="M7" s="139" t="str">
        <f aca="false">IF('Score Entry'!R14&gt;=90,"Excellent presentation — outstanding knowledge, communication and professionalism",IF('Score Entry'!R14&gt;=75,"Very good presentation — strong content and delivery with minor improvements needed",IF('Score Entry'!R14&gt;=60,"Good presentation — adequate knowledge but needs improvement in communication and organization",IF('Score Entry'!R14&gt;=40,"Satisfactory — basic understanding shown; significant improvement needed in delivery and content","Needs major improvement — weak subject knowledge, poor communication and organization"))))</f>
        <v>Good presentation — adequate knowledge but needs improvement in communication and organization</v>
      </c>
    </row>
    <row r="8" customFormat="false" ht="18" hidden="false" customHeight="true" outlineLevel="0" collapsed="false">
      <c r="A8" s="29" t="n">
        <v>4</v>
      </c>
      <c r="B8" s="29" t="str">
        <f aca="false">'Score Entry'!B15</f>
        <v>R004</v>
      </c>
      <c r="C8" s="29" t="str">
        <f aca="false">'Score Entry'!C15</f>
        <v>Sneha Reddy</v>
      </c>
      <c r="D8" s="138" t="str">
        <f aca="false">IF('Score Entry'!D15=4,"Excellent",IF('Score Entry'!D15=3,"Good",IF('Score Entry'!D15=2,"Fair","Poor")))</f>
        <v>Fair</v>
      </c>
      <c r="E8" s="138" t="str">
        <f aca="false">IF('Score Entry'!F15=4,"Excellent",IF('Score Entry'!F15=3,"Good",IF('Score Entry'!F15=2,"Fair","Poor")))</f>
        <v>Poor</v>
      </c>
      <c r="F8" s="138" t="str">
        <f aca="false">IF('Score Entry'!H15=4,"Excellent",IF('Score Entry'!H15=3,"Good",IF('Score Entry'!H15=2,"Fair","Poor")))</f>
        <v>Excellent</v>
      </c>
      <c r="G8" s="138" t="str">
        <f aca="false">IF('Score Entry'!J15=4,"Excellent",IF('Score Entry'!J15=3,"Good",IF('Score Entry'!J15=2,"Fair","Poor")))</f>
        <v>Fair</v>
      </c>
      <c r="H8" s="138" t="str">
        <f aca="false">IF('Score Entry'!L15=4,"Excellent",IF('Score Entry'!L15=3,"Good",IF('Score Entry'!L15=2,"Fair","Poor")))</f>
        <v>Poor</v>
      </c>
      <c r="I8" s="138" t="str">
        <f aca="false">IF('Score Entry'!N15=4,"Excellent",IF('Score Entry'!N15=3,"Good",IF('Score Entry'!N15=2,"Fair","Poor")))</f>
        <v>Excellent</v>
      </c>
      <c r="J8" s="138" t="str">
        <f aca="false">IF('Score Entry'!P15=4,"Excellent",IF('Score Entry'!P15=3,"Good",IF('Score Entry'!P15=2,"Fair","Poor")))</f>
        <v>Fair</v>
      </c>
      <c r="K8" s="68" t="n">
        <f aca="false">'Score Entry'!R15</f>
        <v>55</v>
      </c>
      <c r="L8" s="99" t="str">
        <f aca="false">'Score Entry'!T15</f>
        <v>B+</v>
      </c>
      <c r="M8" s="140" t="str">
        <f aca="false">IF('Score Entry'!R15&gt;=90,"Excellent presentation — outstanding knowledge, communication and professionalism",IF('Score Entry'!R15&gt;=75,"Very good presentation — strong content and delivery with minor improvements needed",IF('Score Entry'!R15&gt;=60,"Good presentation — adequate knowledge but needs improvement in communication and organization",IF('Score Entry'!R15&gt;=40,"Satisfactory — basic understanding shown; significant improvement needed in delivery and content","Needs major improvement — weak subject knowledge, poor communication and organization"))))</f>
        <v>Satisfactory — basic understanding shown; significant improvement needed in delivery and content</v>
      </c>
    </row>
    <row r="9" customFormat="false" ht="18" hidden="false" customHeight="true" outlineLevel="0" collapsed="false">
      <c r="A9" s="27" t="n">
        <v>5</v>
      </c>
      <c r="B9" s="27" t="str">
        <f aca="false">'Score Entry'!B16</f>
        <v>R005</v>
      </c>
      <c r="C9" s="27" t="str">
        <f aca="false">'Score Entry'!C16</f>
        <v>Vikram Singh</v>
      </c>
      <c r="D9" s="138" t="str">
        <f aca="false">IF('Score Entry'!D16=4,"Excellent",IF('Score Entry'!D16=3,"Good",IF('Score Entry'!D16=2,"Fair","Poor")))</f>
        <v>Fair</v>
      </c>
      <c r="E9" s="138" t="str">
        <f aca="false">IF('Score Entry'!F16=4,"Excellent",IF('Score Entry'!F16=3,"Good",IF('Score Entry'!F16=2,"Fair","Poor")))</f>
        <v>Fair</v>
      </c>
      <c r="F9" s="138" t="str">
        <f aca="false">IF('Score Entry'!H16=4,"Excellent",IF('Score Entry'!H16=3,"Good",IF('Score Entry'!H16=2,"Fair","Poor")))</f>
        <v>Excellent</v>
      </c>
      <c r="G9" s="138" t="str">
        <f aca="false">IF('Score Entry'!J16=4,"Excellent",IF('Score Entry'!J16=3,"Good",IF('Score Entry'!J16=2,"Fair","Poor")))</f>
        <v>Fair</v>
      </c>
      <c r="H9" s="138" t="str">
        <f aca="false">IF('Score Entry'!L16=4,"Excellent",IF('Score Entry'!L16=3,"Good",IF('Score Entry'!L16=2,"Fair","Poor")))</f>
        <v>Good</v>
      </c>
      <c r="I9" s="138" t="str">
        <f aca="false">IF('Score Entry'!N16=4,"Excellent",IF('Score Entry'!N16=3,"Good",IF('Score Entry'!N16=2,"Fair","Poor")))</f>
        <v>Good</v>
      </c>
      <c r="J9" s="138" t="str">
        <f aca="false">IF('Score Entry'!P16=4,"Excellent",IF('Score Entry'!P16=3,"Good",IF('Score Entry'!P16=2,"Fair","Poor")))</f>
        <v>Poor</v>
      </c>
      <c r="K9" s="68" t="n">
        <f aca="false">'Score Entry'!R16</f>
        <v>61.25</v>
      </c>
      <c r="L9" s="99" t="str">
        <f aca="false">'Score Entry'!T16</f>
        <v>A</v>
      </c>
      <c r="M9" s="139" t="str">
        <f aca="false">IF('Score Entry'!R16&gt;=90,"Excellent presentation — outstanding knowledge, communication and professionalism",IF('Score Entry'!R16&gt;=75,"Very good presentation — strong content and delivery with minor improvements needed",IF('Score Entry'!R16&gt;=60,"Good presentation — adequate knowledge but needs improvement in communication and organization",IF('Score Entry'!R16&gt;=40,"Satisfactory — basic understanding shown; significant improvement needed in delivery and content","Needs major improvement — weak subject knowledge, poor communication and organization"))))</f>
        <v>Good presentation — adequate knowledge but needs improvement in communication and organization</v>
      </c>
    </row>
    <row r="10" customFormat="false" ht="18" hidden="false" customHeight="true" outlineLevel="0" collapsed="false">
      <c r="A10" s="29" t="n">
        <v>6</v>
      </c>
      <c r="B10" s="29" t="str">
        <f aca="false">'Score Entry'!B17</f>
        <v>R006</v>
      </c>
      <c r="C10" s="29" t="str">
        <f aca="false">'Score Entry'!C17</f>
        <v>Anjali Nair</v>
      </c>
      <c r="D10" s="138" t="str">
        <f aca="false">IF('Score Entry'!D17=4,"Excellent",IF('Score Entry'!D17=3,"Good",IF('Score Entry'!D17=2,"Fair","Poor")))</f>
        <v>Poor</v>
      </c>
      <c r="E10" s="138" t="str">
        <f aca="false">IF('Score Entry'!F17=4,"Excellent",IF('Score Entry'!F17=3,"Good",IF('Score Entry'!F17=2,"Fair","Poor")))</f>
        <v>Excellent</v>
      </c>
      <c r="F10" s="138" t="str">
        <f aca="false">IF('Score Entry'!H17=4,"Excellent",IF('Score Entry'!H17=3,"Good",IF('Score Entry'!H17=2,"Fair","Poor")))</f>
        <v>Good</v>
      </c>
      <c r="G10" s="138" t="str">
        <f aca="false">IF('Score Entry'!J17=4,"Excellent",IF('Score Entry'!J17=3,"Good",IF('Score Entry'!J17=2,"Fair","Poor")))</f>
        <v>Good</v>
      </c>
      <c r="H10" s="138" t="str">
        <f aca="false">IF('Score Entry'!L17=4,"Excellent",IF('Score Entry'!L17=3,"Good",IF('Score Entry'!L17=2,"Fair","Poor")))</f>
        <v>Good</v>
      </c>
      <c r="I10" s="138" t="str">
        <f aca="false">IF('Score Entry'!N17=4,"Excellent",IF('Score Entry'!N17=3,"Good",IF('Score Entry'!N17=2,"Fair","Poor")))</f>
        <v>Fair</v>
      </c>
      <c r="J10" s="138" t="str">
        <f aca="false">IF('Score Entry'!P17=4,"Excellent",IF('Score Entry'!P17=3,"Good",IF('Score Entry'!P17=2,"Fair","Poor")))</f>
        <v>Fair</v>
      </c>
      <c r="K10" s="68" t="n">
        <f aca="false">'Score Entry'!R17</f>
        <v>61.25</v>
      </c>
      <c r="L10" s="99" t="str">
        <f aca="false">'Score Entry'!T17</f>
        <v>A</v>
      </c>
      <c r="M10" s="140" t="str">
        <f aca="false">IF('Score Entry'!R17&gt;=90,"Excellent presentation — outstanding knowledge, communication and professionalism",IF('Score Entry'!R17&gt;=75,"Very good presentation — strong content and delivery with minor improvements needed",IF('Score Entry'!R17&gt;=60,"Good presentation — adequate knowledge but needs improvement in communication and organization",IF('Score Entry'!R17&gt;=40,"Satisfactory — basic understanding shown; significant improvement needed in delivery and content","Needs major improvement — weak subject knowledge, poor communication and organization"))))</f>
        <v>Good presentation — adequate knowledge but needs improvement in communication and organization</v>
      </c>
    </row>
    <row r="11" customFormat="false" ht="18" hidden="false" customHeight="true" outlineLevel="0" collapsed="false">
      <c r="A11" s="27" t="n">
        <v>7</v>
      </c>
      <c r="B11" s="27" t="str">
        <f aca="false">'Score Entry'!B18</f>
        <v>R007</v>
      </c>
      <c r="C11" s="27" t="str">
        <f aca="false">'Score Entry'!C18</f>
        <v>Kiran Kumar</v>
      </c>
      <c r="D11" s="138" t="str">
        <f aca="false">IF('Score Entry'!D18=4,"Excellent",IF('Score Entry'!D18=3,"Good",IF('Score Entry'!D18=2,"Fair","Poor")))</f>
        <v>Excellent</v>
      </c>
      <c r="E11" s="138" t="str">
        <f aca="false">IF('Score Entry'!F18=4,"Excellent",IF('Score Entry'!F18=3,"Good",IF('Score Entry'!F18=2,"Fair","Poor")))</f>
        <v>Fair</v>
      </c>
      <c r="F11" s="138" t="str">
        <f aca="false">IF('Score Entry'!H18=4,"Excellent",IF('Score Entry'!H18=3,"Good",IF('Score Entry'!H18=2,"Fair","Poor")))</f>
        <v>Fair</v>
      </c>
      <c r="G11" s="138" t="str">
        <f aca="false">IF('Score Entry'!J18=4,"Excellent",IF('Score Entry'!J18=3,"Good",IF('Score Entry'!J18=2,"Fair","Poor")))</f>
        <v>Fair</v>
      </c>
      <c r="H11" s="138" t="str">
        <f aca="false">IF('Score Entry'!L18=4,"Excellent",IF('Score Entry'!L18=3,"Good",IF('Score Entry'!L18=2,"Fair","Poor")))</f>
        <v>Good</v>
      </c>
      <c r="I11" s="138" t="str">
        <f aca="false">IF('Score Entry'!N18=4,"Excellent",IF('Score Entry'!N18=3,"Good",IF('Score Entry'!N18=2,"Fair","Poor")))</f>
        <v>Fair</v>
      </c>
      <c r="J11" s="138" t="str">
        <f aca="false">IF('Score Entry'!P18=4,"Excellent",IF('Score Entry'!P18=3,"Good",IF('Score Entry'!P18=2,"Fair","Poor")))</f>
        <v>Excellent</v>
      </c>
      <c r="K11" s="68" t="n">
        <f aca="false">'Score Entry'!R18</f>
        <v>70</v>
      </c>
      <c r="L11" s="99" t="str">
        <f aca="false">'Score Entry'!T18</f>
        <v>A</v>
      </c>
      <c r="M11" s="139" t="str">
        <f aca="false">IF('Score Entry'!R18&gt;=90,"Excellent presentation — outstanding knowledge, communication and professionalism",IF('Score Entry'!R18&gt;=75,"Very good presentation — strong content and delivery with minor improvements needed",IF('Score Entry'!R18&gt;=60,"Good presentation — adequate knowledge but needs improvement in communication and organization",IF('Score Entry'!R18&gt;=40,"Satisfactory — basic understanding shown; significant improvement needed in delivery and content","Needs major improvement — weak subject knowledge, poor communication and organization"))))</f>
        <v>Good presentation — adequate knowledge but needs improvement in communication and organization</v>
      </c>
    </row>
    <row r="12" customFormat="false" ht="18" hidden="false" customHeight="true" outlineLevel="0" collapsed="false">
      <c r="A12" s="29" t="n">
        <v>8</v>
      </c>
      <c r="B12" s="29" t="str">
        <f aca="false">'Score Entry'!B19</f>
        <v>R008</v>
      </c>
      <c r="C12" s="29" t="str">
        <f aca="false">'Score Entry'!C19</f>
        <v>Divya Rao</v>
      </c>
      <c r="D12" s="138" t="str">
        <f aca="false">IF('Score Entry'!D19=4,"Excellent",IF('Score Entry'!D19=3,"Good",IF('Score Entry'!D19=2,"Fair","Poor")))</f>
        <v>Fair</v>
      </c>
      <c r="E12" s="138" t="str">
        <f aca="false">IF('Score Entry'!F19=4,"Excellent",IF('Score Entry'!F19=3,"Good",IF('Score Entry'!F19=2,"Fair","Poor")))</f>
        <v>Good</v>
      </c>
      <c r="F12" s="138" t="str">
        <f aca="false">IF('Score Entry'!H19=4,"Excellent",IF('Score Entry'!H19=3,"Good",IF('Score Entry'!H19=2,"Fair","Poor")))</f>
        <v>Fair</v>
      </c>
      <c r="G12" s="138" t="str">
        <f aca="false">IF('Score Entry'!J19=4,"Excellent",IF('Score Entry'!J19=3,"Good",IF('Score Entry'!J19=2,"Fair","Poor")))</f>
        <v>Excellent</v>
      </c>
      <c r="H12" s="138" t="str">
        <f aca="false">IF('Score Entry'!L19=4,"Excellent",IF('Score Entry'!L19=3,"Good",IF('Score Entry'!L19=2,"Fair","Poor")))</f>
        <v>Excellent</v>
      </c>
      <c r="I12" s="138" t="str">
        <f aca="false">IF('Score Entry'!N19=4,"Excellent",IF('Score Entry'!N19=3,"Good",IF('Score Entry'!N19=2,"Fair","Poor")))</f>
        <v>Poor</v>
      </c>
      <c r="J12" s="138" t="str">
        <f aca="false">IF('Score Entry'!P19=4,"Excellent",IF('Score Entry'!P19=3,"Good",IF('Score Entry'!P19=2,"Fair","Poor")))</f>
        <v>Excellent</v>
      </c>
      <c r="K12" s="68" t="n">
        <f aca="false">'Score Entry'!R19</f>
        <v>65</v>
      </c>
      <c r="L12" s="99" t="str">
        <f aca="false">'Score Entry'!T19</f>
        <v>A</v>
      </c>
      <c r="M12" s="140" t="str">
        <f aca="false">IF('Score Entry'!R19&gt;=90,"Excellent presentation — outstanding knowledge, communication and professionalism",IF('Score Entry'!R19&gt;=75,"Very good presentation — strong content and delivery with minor improvements needed",IF('Score Entry'!R19&gt;=60,"Good presentation — adequate knowledge but needs improvement in communication and organization",IF('Score Entry'!R19&gt;=40,"Satisfactory — basic understanding shown; significant improvement needed in delivery and content","Needs major improvement — weak subject knowledge, poor communication and organization"))))</f>
        <v>Good presentation — adequate knowledge but needs improvement in communication and organization</v>
      </c>
    </row>
    <row r="13" customFormat="false" ht="18" hidden="false" customHeight="true" outlineLevel="0" collapsed="false">
      <c r="A13" s="27" t="n">
        <v>9</v>
      </c>
      <c r="B13" s="27" t="str">
        <f aca="false">'Score Entry'!B20</f>
        <v>R009</v>
      </c>
      <c r="C13" s="27" t="str">
        <f aca="false">'Score Entry'!C20</f>
        <v>Arjun Gupta</v>
      </c>
      <c r="D13" s="138" t="str">
        <f aca="false">IF('Score Entry'!D20=4,"Excellent",IF('Score Entry'!D20=3,"Good",IF('Score Entry'!D20=2,"Fair","Poor")))</f>
        <v>Poor</v>
      </c>
      <c r="E13" s="138" t="str">
        <f aca="false">IF('Score Entry'!F20=4,"Excellent",IF('Score Entry'!F20=3,"Good",IF('Score Entry'!F20=2,"Fair","Poor")))</f>
        <v>Good</v>
      </c>
      <c r="F13" s="138" t="str">
        <f aca="false">IF('Score Entry'!H20=4,"Excellent",IF('Score Entry'!H20=3,"Good",IF('Score Entry'!H20=2,"Fair","Poor")))</f>
        <v>Poor</v>
      </c>
      <c r="G13" s="138" t="str">
        <f aca="false">IF('Score Entry'!J20=4,"Excellent",IF('Score Entry'!J20=3,"Good",IF('Score Entry'!J20=2,"Fair","Poor")))</f>
        <v>Good</v>
      </c>
      <c r="H13" s="138" t="str">
        <f aca="false">IF('Score Entry'!L20=4,"Excellent",IF('Score Entry'!L20=3,"Good",IF('Score Entry'!L20=2,"Fair","Poor")))</f>
        <v>Good</v>
      </c>
      <c r="I13" s="138" t="str">
        <f aca="false">IF('Score Entry'!N20=4,"Excellent",IF('Score Entry'!N20=3,"Good",IF('Score Entry'!N20=2,"Fair","Poor")))</f>
        <v>Good</v>
      </c>
      <c r="J13" s="138" t="str">
        <f aca="false">IF('Score Entry'!P20=4,"Excellent",IF('Score Entry'!P20=3,"Good",IF('Score Entry'!P20=2,"Fair","Poor")))</f>
        <v>Good</v>
      </c>
      <c r="K13" s="68" t="n">
        <f aca="false">'Score Entry'!R20</f>
        <v>52.5</v>
      </c>
      <c r="L13" s="99" t="str">
        <f aca="false">'Score Entry'!T20</f>
        <v>B+</v>
      </c>
      <c r="M13" s="139" t="str">
        <f aca="false">IF('Score Entry'!R20&gt;=90,"Excellent presentation — outstanding knowledge, communication and professionalism",IF('Score Entry'!R20&gt;=75,"Very good presentation — strong content and delivery with minor improvements needed",IF('Score Entry'!R20&gt;=60,"Good presentation — adequate knowledge but needs improvement in communication and organization",IF('Score Entry'!R20&gt;=40,"Satisfactory — basic understanding shown; significant improvement needed in delivery and content","Needs major improvement — weak subject knowledge, poor communication and organization"))))</f>
        <v>Satisfactory — basic understanding shown; significant improvement needed in delivery and content</v>
      </c>
    </row>
    <row r="14" customFormat="false" ht="18" hidden="false" customHeight="true" outlineLevel="0" collapsed="false">
      <c r="A14" s="29" t="n">
        <v>10</v>
      </c>
      <c r="B14" s="29" t="str">
        <f aca="false">'Score Entry'!B21</f>
        <v>R010</v>
      </c>
      <c r="C14" s="29" t="str">
        <f aca="false">'Score Entry'!C21</f>
        <v>Pooja Iyer</v>
      </c>
      <c r="D14" s="138" t="str">
        <f aca="false">IF('Score Entry'!D21=4,"Excellent",IF('Score Entry'!D21=3,"Good",IF('Score Entry'!D21=2,"Fair","Poor")))</f>
        <v>Fair</v>
      </c>
      <c r="E14" s="138" t="str">
        <f aca="false">IF('Score Entry'!F21=4,"Excellent",IF('Score Entry'!F21=3,"Good",IF('Score Entry'!F21=2,"Fair","Poor")))</f>
        <v>Poor</v>
      </c>
      <c r="F14" s="138" t="str">
        <f aca="false">IF('Score Entry'!H21=4,"Excellent",IF('Score Entry'!H21=3,"Good",IF('Score Entry'!H21=2,"Fair","Poor")))</f>
        <v>Excellent</v>
      </c>
      <c r="G14" s="138" t="str">
        <f aca="false">IF('Score Entry'!J21=4,"Excellent",IF('Score Entry'!J21=3,"Good",IF('Score Entry'!J21=2,"Fair","Poor")))</f>
        <v>Excellent</v>
      </c>
      <c r="H14" s="138" t="str">
        <f aca="false">IF('Score Entry'!L21=4,"Excellent",IF('Score Entry'!L21=3,"Good",IF('Score Entry'!L21=2,"Fair","Poor")))</f>
        <v>Excellent</v>
      </c>
      <c r="I14" s="138" t="str">
        <f aca="false">IF('Score Entry'!N21=4,"Excellent",IF('Score Entry'!N21=3,"Good",IF('Score Entry'!N21=2,"Fair","Poor")))</f>
        <v>Excellent</v>
      </c>
      <c r="J14" s="138" t="str">
        <f aca="false">IF('Score Entry'!P21=4,"Excellent",IF('Score Entry'!P21=3,"Good",IF('Score Entry'!P21=2,"Fair","Poor")))</f>
        <v>Poor</v>
      </c>
      <c r="K14" s="68" t="n">
        <f aca="false">'Score Entry'!R21</f>
        <v>66.25</v>
      </c>
      <c r="L14" s="99" t="str">
        <f aca="false">'Score Entry'!T21</f>
        <v>A</v>
      </c>
      <c r="M14" s="140" t="str">
        <f aca="false">IF('Score Entry'!R21&gt;=90,"Excellent presentation — outstanding knowledge, communication and professionalism",IF('Score Entry'!R21&gt;=75,"Very good presentation — strong content and delivery with minor improvements needed",IF('Score Entry'!R21&gt;=60,"Good presentation — adequate knowledge but needs improvement in communication and organization",IF('Score Entry'!R21&gt;=40,"Satisfactory — basic understanding shown; significant improvement needed in delivery and content","Needs major improvement — weak subject knowledge, poor communication and organization"))))</f>
        <v>Good presentation — adequate knowledge but needs improvement in communication and organization</v>
      </c>
    </row>
    <row r="15" customFormat="false" ht="18" hidden="false" customHeight="true" outlineLevel="0" collapsed="false">
      <c r="A15" s="27" t="n">
        <v>11</v>
      </c>
      <c r="B15" s="27" t="str">
        <f aca="false">'Score Entry'!B22</f>
        <v>R011</v>
      </c>
      <c r="C15" s="27" t="str">
        <f aca="false">'Score Entry'!C22</f>
        <v>Rahul Verma</v>
      </c>
      <c r="D15" s="138" t="str">
        <f aca="false">IF('Score Entry'!D22=4,"Excellent",IF('Score Entry'!D22=3,"Good",IF('Score Entry'!D22=2,"Fair","Poor")))</f>
        <v>Excellent</v>
      </c>
      <c r="E15" s="138" t="str">
        <f aca="false">IF('Score Entry'!F22=4,"Excellent",IF('Score Entry'!F22=3,"Good",IF('Score Entry'!F22=2,"Fair","Poor")))</f>
        <v>Good</v>
      </c>
      <c r="F15" s="138" t="str">
        <f aca="false">IF('Score Entry'!H22=4,"Excellent",IF('Score Entry'!H22=3,"Good",IF('Score Entry'!H22=2,"Fair","Poor")))</f>
        <v>Good</v>
      </c>
      <c r="G15" s="138" t="str">
        <f aca="false">IF('Score Entry'!J22=4,"Excellent",IF('Score Entry'!J22=3,"Good",IF('Score Entry'!J22=2,"Fair","Poor")))</f>
        <v>Poor</v>
      </c>
      <c r="H15" s="138" t="str">
        <f aca="false">IF('Score Entry'!L22=4,"Excellent",IF('Score Entry'!L22=3,"Good",IF('Score Entry'!L22=2,"Fair","Poor")))</f>
        <v>Good</v>
      </c>
      <c r="I15" s="138" t="str">
        <f aca="false">IF('Score Entry'!N22=4,"Excellent",IF('Score Entry'!N22=3,"Good",IF('Score Entry'!N22=2,"Fair","Poor")))</f>
        <v>Fair</v>
      </c>
      <c r="J15" s="138" t="str">
        <f aca="false">IF('Score Entry'!P22=4,"Excellent",IF('Score Entry'!P22=3,"Good",IF('Score Entry'!P22=2,"Fair","Poor")))</f>
        <v>Excellent</v>
      </c>
      <c r="K15" s="68" t="n">
        <f aca="false">'Score Entry'!R22</f>
        <v>76.25</v>
      </c>
      <c r="L15" s="99" t="str">
        <f aca="false">'Score Entry'!T22</f>
        <v>A+</v>
      </c>
      <c r="M15" s="139" t="str">
        <f aca="false">IF('Score Entry'!R22&gt;=90,"Excellent presentation — outstanding knowledge, communication and professionalism",IF('Score Entry'!R22&gt;=75,"Very good presentation — strong content and delivery with minor improvements needed",IF('Score Entry'!R22&gt;=60,"Good presentation — adequate knowledge but needs improvement in communication and organization",IF('Score Entry'!R22&gt;=40,"Satisfactory — basic understanding shown; significant improvement needed in delivery and content","Needs major improvement — weak subject knowledge, poor communication and organization"))))</f>
        <v>Very good presentation — strong content and delivery with minor improvements needed</v>
      </c>
    </row>
    <row r="16" customFormat="false" ht="18" hidden="false" customHeight="true" outlineLevel="0" collapsed="false">
      <c r="A16" s="29" t="n">
        <v>12</v>
      </c>
      <c r="B16" s="29" t="str">
        <f aca="false">'Score Entry'!B23</f>
        <v>R012</v>
      </c>
      <c r="C16" s="29" t="str">
        <f aca="false">'Score Entry'!C23</f>
        <v>Meera Joshi</v>
      </c>
      <c r="D16" s="138" t="str">
        <f aca="false">IF('Score Entry'!D23=4,"Excellent",IF('Score Entry'!D23=3,"Good",IF('Score Entry'!D23=2,"Fair","Poor")))</f>
        <v>Excellent</v>
      </c>
      <c r="E16" s="138" t="str">
        <f aca="false">IF('Score Entry'!F23=4,"Excellent",IF('Score Entry'!F23=3,"Good",IF('Score Entry'!F23=2,"Fair","Poor")))</f>
        <v>Excellent</v>
      </c>
      <c r="F16" s="138" t="str">
        <f aca="false">IF('Score Entry'!H23=4,"Excellent",IF('Score Entry'!H23=3,"Good",IF('Score Entry'!H23=2,"Fair","Poor")))</f>
        <v>Fair</v>
      </c>
      <c r="G16" s="138" t="str">
        <f aca="false">IF('Score Entry'!J23=4,"Excellent",IF('Score Entry'!J23=3,"Good",IF('Score Entry'!J23=2,"Fair","Poor")))</f>
        <v>Good</v>
      </c>
      <c r="H16" s="138" t="str">
        <f aca="false">IF('Score Entry'!L23=4,"Excellent",IF('Score Entry'!L23=3,"Good",IF('Score Entry'!L23=2,"Fair","Poor")))</f>
        <v>Poor</v>
      </c>
      <c r="I16" s="138" t="str">
        <f aca="false">IF('Score Entry'!N23=4,"Excellent",IF('Score Entry'!N23=3,"Good",IF('Score Entry'!N23=2,"Fair","Poor")))</f>
        <v>Fair</v>
      </c>
      <c r="J16" s="138" t="str">
        <f aca="false">IF('Score Entry'!P23=4,"Excellent",IF('Score Entry'!P23=3,"Good",IF('Score Entry'!P23=2,"Fair","Poor")))</f>
        <v>Good</v>
      </c>
      <c r="K16" s="68" t="n">
        <f aca="false">'Score Entry'!R23</f>
        <v>76.25</v>
      </c>
      <c r="L16" s="99" t="str">
        <f aca="false">'Score Entry'!T23</f>
        <v>A+</v>
      </c>
      <c r="M16" s="140" t="str">
        <f aca="false">IF('Score Entry'!R23&gt;=90,"Excellent presentation — outstanding knowledge, communication and professionalism",IF('Score Entry'!R23&gt;=75,"Very good presentation — strong content and delivery with minor improvements needed",IF('Score Entry'!R23&gt;=60,"Good presentation — adequate knowledge but needs improvement in communication and organization",IF('Score Entry'!R23&gt;=40,"Satisfactory — basic understanding shown; significant improvement needed in delivery and content","Needs major improvement — weak subject knowledge, poor communication and organization"))))</f>
        <v>Very good presentation — strong content and delivery with minor improvements needed</v>
      </c>
    </row>
    <row r="17" customFormat="false" ht="18" hidden="false" customHeight="true" outlineLevel="0" collapsed="false">
      <c r="A17" s="27" t="n">
        <v>13</v>
      </c>
      <c r="B17" s="27" t="str">
        <f aca="false">'Score Entry'!B24</f>
        <v>R013</v>
      </c>
      <c r="C17" s="27" t="str">
        <f aca="false">'Score Entry'!C24</f>
        <v>Suresh Pillai</v>
      </c>
      <c r="D17" s="138" t="str">
        <f aca="false">IF('Score Entry'!D24=4,"Excellent",IF('Score Entry'!D24=3,"Good",IF('Score Entry'!D24=2,"Fair","Poor")))</f>
        <v>Excellent</v>
      </c>
      <c r="E17" s="138" t="str">
        <f aca="false">IF('Score Entry'!F24=4,"Excellent",IF('Score Entry'!F24=3,"Good",IF('Score Entry'!F24=2,"Fair","Poor")))</f>
        <v>Good</v>
      </c>
      <c r="F17" s="138" t="str">
        <f aca="false">IF('Score Entry'!H24=4,"Excellent",IF('Score Entry'!H24=3,"Good",IF('Score Entry'!H24=2,"Fair","Poor")))</f>
        <v>Good</v>
      </c>
      <c r="G17" s="138" t="str">
        <f aca="false">IF('Score Entry'!J24=4,"Excellent",IF('Score Entry'!J24=3,"Good",IF('Score Entry'!J24=2,"Fair","Poor")))</f>
        <v>Poor</v>
      </c>
      <c r="H17" s="138" t="str">
        <f aca="false">IF('Score Entry'!L24=4,"Excellent",IF('Score Entry'!L24=3,"Good",IF('Score Entry'!L24=2,"Fair","Poor")))</f>
        <v>Poor</v>
      </c>
      <c r="I17" s="138" t="str">
        <f aca="false">IF('Score Entry'!N24=4,"Excellent",IF('Score Entry'!N24=3,"Good",IF('Score Entry'!N24=2,"Fair","Poor")))</f>
        <v>Good</v>
      </c>
      <c r="J17" s="138" t="str">
        <f aca="false">IF('Score Entry'!P24=4,"Excellent",IF('Score Entry'!P24=3,"Good",IF('Score Entry'!P24=2,"Fair","Poor")))</f>
        <v>Fair</v>
      </c>
      <c r="K17" s="68" t="n">
        <f aca="false">'Score Entry'!R24</f>
        <v>71.25</v>
      </c>
      <c r="L17" s="99" t="str">
        <f aca="false">'Score Entry'!T24</f>
        <v>A</v>
      </c>
      <c r="M17" s="139" t="str">
        <f aca="false">IF('Score Entry'!R24&gt;=90,"Excellent presentation — outstanding knowledge, communication and professionalism",IF('Score Entry'!R24&gt;=75,"Very good presentation — strong content and delivery with minor improvements needed",IF('Score Entry'!R24&gt;=60,"Good presentation — adequate knowledge but needs improvement in communication and organization",IF('Score Entry'!R24&gt;=40,"Satisfactory — basic understanding shown; significant improvement needed in delivery and content","Needs major improvement — weak subject knowledge, poor communication and organization"))))</f>
        <v>Good presentation — adequate knowledge but needs improvement in communication and organization</v>
      </c>
    </row>
    <row r="18" customFormat="false" ht="18" hidden="false" customHeight="true" outlineLevel="0" collapsed="false">
      <c r="A18" s="29" t="n">
        <v>14</v>
      </c>
      <c r="B18" s="29" t="str">
        <f aca="false">'Score Entry'!B25</f>
        <v>R014</v>
      </c>
      <c r="C18" s="29" t="str">
        <f aca="false">'Score Entry'!C25</f>
        <v>Kavya Menon</v>
      </c>
      <c r="D18" s="138" t="str">
        <f aca="false">IF('Score Entry'!D25=4,"Excellent",IF('Score Entry'!D25=3,"Good",IF('Score Entry'!D25=2,"Fair","Poor")))</f>
        <v>Excellent</v>
      </c>
      <c r="E18" s="138" t="str">
        <f aca="false">IF('Score Entry'!F25=4,"Excellent",IF('Score Entry'!F25=3,"Good",IF('Score Entry'!F25=2,"Fair","Poor")))</f>
        <v>Good</v>
      </c>
      <c r="F18" s="138" t="str">
        <f aca="false">IF('Score Entry'!H25=4,"Excellent",IF('Score Entry'!H25=3,"Good",IF('Score Entry'!H25=2,"Fair","Poor")))</f>
        <v>Excellent</v>
      </c>
      <c r="G18" s="138" t="str">
        <f aca="false">IF('Score Entry'!J25=4,"Excellent",IF('Score Entry'!J25=3,"Good",IF('Score Entry'!J25=2,"Fair","Poor")))</f>
        <v>Good</v>
      </c>
      <c r="H18" s="138" t="str">
        <f aca="false">IF('Score Entry'!L25=4,"Excellent",IF('Score Entry'!L25=3,"Good",IF('Score Entry'!L25=2,"Fair","Poor")))</f>
        <v>Excellent</v>
      </c>
      <c r="I18" s="138" t="str">
        <f aca="false">IF('Score Entry'!N25=4,"Excellent",IF('Score Entry'!N25=3,"Good",IF('Score Entry'!N25=2,"Fair","Poor")))</f>
        <v>Good</v>
      </c>
      <c r="J18" s="138" t="str">
        <f aca="false">IF('Score Entry'!P25=4,"Excellent",IF('Score Entry'!P25=3,"Good",IF('Score Entry'!P25=2,"Fair","Poor")))</f>
        <v>Excellent</v>
      </c>
      <c r="K18" s="68" t="n">
        <f aca="false">'Score Entry'!R25</f>
        <v>90</v>
      </c>
      <c r="L18" s="99" t="str">
        <f aca="false">'Score Entry'!T25</f>
        <v>O</v>
      </c>
      <c r="M18" s="140" t="str">
        <f aca="false">IF('Score Entry'!R25&gt;=90,"Excellent presentation — outstanding knowledge, communication and professionalism",IF('Score Entry'!R25&gt;=75,"Very good presentation — strong content and delivery with minor improvements needed",IF('Score Entry'!R25&gt;=60,"Good presentation — adequate knowledge but needs improvement in communication and organization",IF('Score Entry'!R25&gt;=40,"Satisfactory — basic understanding shown; significant improvement needed in delivery and content","Needs major improvement — weak subject knowledge, poor communication and organization"))))</f>
        <v>Excellent presentation — outstanding knowledge, communication and professionalism</v>
      </c>
    </row>
    <row r="19" customFormat="false" ht="18" hidden="false" customHeight="true" outlineLevel="0" collapsed="false">
      <c r="A19" s="27" t="n">
        <v>15</v>
      </c>
      <c r="B19" s="27" t="str">
        <f aca="false">'Score Entry'!B26</f>
        <v>R015</v>
      </c>
      <c r="C19" s="27" t="str">
        <f aca="false">'Score Entry'!C26</f>
        <v>Aditya Bhat</v>
      </c>
      <c r="D19" s="138" t="str">
        <f aca="false">IF('Score Entry'!D26=4,"Excellent",IF('Score Entry'!D26=3,"Good",IF('Score Entry'!D26=2,"Fair","Poor")))</f>
        <v>Fair</v>
      </c>
      <c r="E19" s="138" t="str">
        <f aca="false">IF('Score Entry'!F26=4,"Excellent",IF('Score Entry'!F26=3,"Good",IF('Score Entry'!F26=2,"Fair","Poor")))</f>
        <v>Fair</v>
      </c>
      <c r="F19" s="138" t="str">
        <f aca="false">IF('Score Entry'!H26=4,"Excellent",IF('Score Entry'!H26=3,"Good",IF('Score Entry'!H26=2,"Fair","Poor")))</f>
        <v>Fair</v>
      </c>
      <c r="G19" s="138" t="str">
        <f aca="false">IF('Score Entry'!J26=4,"Excellent",IF('Score Entry'!J26=3,"Good",IF('Score Entry'!J26=2,"Fair","Poor")))</f>
        <v>Fair</v>
      </c>
      <c r="H19" s="138" t="str">
        <f aca="false">IF('Score Entry'!L26=4,"Excellent",IF('Score Entry'!L26=3,"Good",IF('Score Entry'!L26=2,"Fair","Poor")))</f>
        <v>Good</v>
      </c>
      <c r="I19" s="138" t="str">
        <f aca="false">IF('Score Entry'!N26=4,"Excellent",IF('Score Entry'!N26=3,"Good",IF('Score Entry'!N26=2,"Fair","Poor")))</f>
        <v>Excellent</v>
      </c>
      <c r="J19" s="138" t="str">
        <f aca="false">IF('Score Entry'!P26=4,"Excellent",IF('Score Entry'!P26=3,"Good",IF('Score Entry'!P26=2,"Fair","Poor")))</f>
        <v>Excellent</v>
      </c>
      <c r="K19" s="68" t="n">
        <f aca="false">'Score Entry'!R26</f>
        <v>60</v>
      </c>
      <c r="L19" s="99" t="str">
        <f aca="false">'Score Entry'!T26</f>
        <v>A</v>
      </c>
      <c r="M19" s="139" t="str">
        <f aca="false">IF('Score Entry'!R26&gt;=90,"Excellent presentation — outstanding knowledge, communication and professionalism",IF('Score Entry'!R26&gt;=75,"Very good presentation — strong content and delivery with minor improvements needed",IF('Score Entry'!R26&gt;=60,"Good presentation — adequate knowledge but needs improvement in communication and organization",IF('Score Entry'!R26&gt;=40,"Satisfactory — basic understanding shown; significant improvement needed in delivery and content","Needs major improvement — weak subject knowledge, poor communication and organization"))))</f>
        <v>Good presentation — adequate knowledge but needs improvement in communication and organization</v>
      </c>
    </row>
    <row r="20" customFormat="false" ht="18" hidden="false" customHeight="true" outlineLevel="0" collapsed="false">
      <c r="A20" s="29" t="n">
        <v>16</v>
      </c>
      <c r="B20" s="29" t="str">
        <f aca="false">'Score Entry'!B27</f>
        <v>R016</v>
      </c>
      <c r="C20" s="29" t="str">
        <f aca="false">'Score Entry'!C27</f>
        <v>Lakshmi Das</v>
      </c>
      <c r="D20" s="138" t="str">
        <f aca="false">IF('Score Entry'!D27=4,"Excellent",IF('Score Entry'!D27=3,"Good",IF('Score Entry'!D27=2,"Fair","Poor")))</f>
        <v>Poor</v>
      </c>
      <c r="E20" s="138" t="str">
        <f aca="false">IF('Score Entry'!F27=4,"Excellent",IF('Score Entry'!F27=3,"Good",IF('Score Entry'!F27=2,"Fair","Poor")))</f>
        <v>Poor</v>
      </c>
      <c r="F20" s="138" t="str">
        <f aca="false">IF('Score Entry'!H27=4,"Excellent",IF('Score Entry'!H27=3,"Good",IF('Score Entry'!H27=2,"Fair","Poor")))</f>
        <v>Poor</v>
      </c>
      <c r="G20" s="138" t="str">
        <f aca="false">IF('Score Entry'!J27=4,"Excellent",IF('Score Entry'!J27=3,"Good",IF('Score Entry'!J27=2,"Fair","Poor")))</f>
        <v>Good</v>
      </c>
      <c r="H20" s="138" t="str">
        <f aca="false">IF('Score Entry'!L27=4,"Excellent",IF('Score Entry'!L27=3,"Good",IF('Score Entry'!L27=2,"Fair","Poor")))</f>
        <v>Fair</v>
      </c>
      <c r="I20" s="138" t="str">
        <f aca="false">IF('Score Entry'!N27=4,"Excellent",IF('Score Entry'!N27=3,"Good",IF('Score Entry'!N27=2,"Fair","Poor")))</f>
        <v>Excellent</v>
      </c>
      <c r="J20" s="138" t="str">
        <f aca="false">IF('Score Entry'!P27=4,"Excellent",IF('Score Entry'!P27=3,"Good",IF('Score Entry'!P27=2,"Fair","Poor")))</f>
        <v>Fair</v>
      </c>
      <c r="K20" s="68" t="n">
        <f aca="false">'Score Entry'!R27</f>
        <v>41.25</v>
      </c>
      <c r="L20" s="99" t="str">
        <f aca="false">'Score Entry'!T27</f>
        <v>B</v>
      </c>
      <c r="M20" s="140" t="str">
        <f aca="false">IF('Score Entry'!R27&gt;=90,"Excellent presentation — outstanding knowledge, communication and professionalism",IF('Score Entry'!R27&gt;=75,"Very good presentation — strong content and delivery with minor improvements needed",IF('Score Entry'!R27&gt;=60,"Good presentation — adequate knowledge but needs improvement in communication and organization",IF('Score Entry'!R27&gt;=40,"Satisfactory — basic understanding shown; significant improvement needed in delivery and content","Needs major improvement — weak subject knowledge, poor communication and organization"))))</f>
        <v>Satisfactory — basic understanding shown; significant improvement needed in delivery and content</v>
      </c>
    </row>
    <row r="21" customFormat="false" ht="18" hidden="false" customHeight="true" outlineLevel="0" collapsed="false">
      <c r="A21" s="27" t="n">
        <v>17</v>
      </c>
      <c r="B21" s="27" t="str">
        <f aca="false">'Score Entry'!B28</f>
        <v>R017</v>
      </c>
      <c r="C21" s="27" t="str">
        <f aca="false">'Score Entry'!C28</f>
        <v>Nikhil Tiwari</v>
      </c>
      <c r="D21" s="138" t="str">
        <f aca="false">IF('Score Entry'!D28=4,"Excellent",IF('Score Entry'!D28=3,"Good",IF('Score Entry'!D28=2,"Fair","Poor")))</f>
        <v>Excellent</v>
      </c>
      <c r="E21" s="138" t="str">
        <f aca="false">IF('Score Entry'!F28=4,"Excellent",IF('Score Entry'!F28=3,"Good",IF('Score Entry'!F28=2,"Fair","Poor")))</f>
        <v>Poor</v>
      </c>
      <c r="F21" s="138" t="str">
        <f aca="false">IF('Score Entry'!H28=4,"Excellent",IF('Score Entry'!H28=3,"Good",IF('Score Entry'!H28=2,"Fair","Poor")))</f>
        <v>Excellent</v>
      </c>
      <c r="G21" s="138" t="str">
        <f aca="false">IF('Score Entry'!J28=4,"Excellent",IF('Score Entry'!J28=3,"Good",IF('Score Entry'!J28=2,"Fair","Poor")))</f>
        <v>Fair</v>
      </c>
      <c r="H21" s="138" t="str">
        <f aca="false">IF('Score Entry'!L28=4,"Excellent",IF('Score Entry'!L28=3,"Good",IF('Score Entry'!L28=2,"Fair","Poor")))</f>
        <v>Good</v>
      </c>
      <c r="I21" s="138" t="str">
        <f aca="false">IF('Score Entry'!N28=4,"Excellent",IF('Score Entry'!N28=3,"Good",IF('Score Entry'!N28=2,"Fair","Poor")))</f>
        <v>Fair</v>
      </c>
      <c r="J21" s="138" t="str">
        <f aca="false">IF('Score Entry'!P28=4,"Excellent",IF('Score Entry'!P28=3,"Good",IF('Score Entry'!P28=2,"Fair","Poor")))</f>
        <v>Poor</v>
      </c>
      <c r="K21" s="68" t="n">
        <f aca="false">'Score Entry'!R28</f>
        <v>68.75</v>
      </c>
      <c r="L21" s="99" t="str">
        <f aca="false">'Score Entry'!T28</f>
        <v>A</v>
      </c>
      <c r="M21" s="139" t="str">
        <f aca="false">IF('Score Entry'!R28&gt;=90,"Excellent presentation — outstanding knowledge, communication and professionalism",IF('Score Entry'!R28&gt;=75,"Very good presentation — strong content and delivery with minor improvements needed",IF('Score Entry'!R28&gt;=60,"Good presentation — adequate knowledge but needs improvement in communication and organization",IF('Score Entry'!R28&gt;=40,"Satisfactory — basic understanding shown; significant improvement needed in delivery and content","Needs major improvement — weak subject knowledge, poor communication and organization"))))</f>
        <v>Good presentation — adequate knowledge but needs improvement in communication and organization</v>
      </c>
    </row>
    <row r="22" customFormat="false" ht="18" hidden="false" customHeight="true" outlineLevel="0" collapsed="false">
      <c r="A22" s="29" t="n">
        <v>18</v>
      </c>
      <c r="B22" s="29" t="str">
        <f aca="false">'Score Entry'!B29</f>
        <v>R018</v>
      </c>
      <c r="C22" s="29" t="str">
        <f aca="false">'Score Entry'!C29</f>
        <v>Riya Shah</v>
      </c>
      <c r="D22" s="138" t="str">
        <f aca="false">IF('Score Entry'!D29=4,"Excellent",IF('Score Entry'!D29=3,"Good",IF('Score Entry'!D29=2,"Fair","Poor")))</f>
        <v>Fair</v>
      </c>
      <c r="E22" s="138" t="str">
        <f aca="false">IF('Score Entry'!F29=4,"Excellent",IF('Score Entry'!F29=3,"Good",IF('Score Entry'!F29=2,"Fair","Poor")))</f>
        <v>Excellent</v>
      </c>
      <c r="F22" s="138" t="str">
        <f aca="false">IF('Score Entry'!H29=4,"Excellent",IF('Score Entry'!H29=3,"Good",IF('Score Entry'!H29=2,"Fair","Poor")))</f>
        <v>Excellent</v>
      </c>
      <c r="G22" s="138" t="str">
        <f aca="false">IF('Score Entry'!J29=4,"Excellent",IF('Score Entry'!J29=3,"Good",IF('Score Entry'!J29=2,"Fair","Poor")))</f>
        <v>Fair</v>
      </c>
      <c r="H22" s="138" t="str">
        <f aca="false">IF('Score Entry'!L29=4,"Excellent",IF('Score Entry'!L29=3,"Good",IF('Score Entry'!L29=2,"Fair","Poor")))</f>
        <v>Excellent</v>
      </c>
      <c r="I22" s="138" t="str">
        <f aca="false">IF('Score Entry'!N29=4,"Excellent",IF('Score Entry'!N29=3,"Good",IF('Score Entry'!N29=2,"Fair","Poor")))</f>
        <v>Poor</v>
      </c>
      <c r="J22" s="138" t="str">
        <f aca="false">IF('Score Entry'!P29=4,"Excellent",IF('Score Entry'!P29=3,"Good",IF('Score Entry'!P29=2,"Fair","Poor")))</f>
        <v>Good</v>
      </c>
      <c r="K22" s="68" t="n">
        <f aca="false">'Score Entry'!R29</f>
        <v>71.25</v>
      </c>
      <c r="L22" s="99" t="str">
        <f aca="false">'Score Entry'!T29</f>
        <v>A</v>
      </c>
      <c r="M22" s="140" t="str">
        <f aca="false">IF('Score Entry'!R29&gt;=90,"Excellent presentation — outstanding knowledge, communication and professionalism",IF('Score Entry'!R29&gt;=75,"Very good presentation — strong content and delivery with minor improvements needed",IF('Score Entry'!R29&gt;=60,"Good presentation — adequate knowledge but needs improvement in communication and organization",IF('Score Entry'!R29&gt;=40,"Satisfactory — basic understanding shown; significant improvement needed in delivery and content","Needs major improvement — weak subject knowledge, poor communication and organization"))))</f>
        <v>Good presentation — adequate knowledge but needs improvement in communication and organization</v>
      </c>
    </row>
    <row r="23" customFormat="false" ht="18" hidden="false" customHeight="true" outlineLevel="0" collapsed="false">
      <c r="A23" s="27" t="n">
        <v>19</v>
      </c>
      <c r="B23" s="27" t="str">
        <f aca="false">'Score Entry'!B30</f>
        <v>R019</v>
      </c>
      <c r="C23" s="27" t="str">
        <f aca="false">'Score Entry'!C30</f>
        <v>Manish Yadav</v>
      </c>
      <c r="D23" s="138" t="str">
        <f aca="false">IF('Score Entry'!D30=4,"Excellent",IF('Score Entry'!D30=3,"Good",IF('Score Entry'!D30=2,"Fair","Poor")))</f>
        <v>Excellent</v>
      </c>
      <c r="E23" s="138" t="str">
        <f aca="false">IF('Score Entry'!F30=4,"Excellent",IF('Score Entry'!F30=3,"Good",IF('Score Entry'!F30=2,"Fair","Poor")))</f>
        <v>Good</v>
      </c>
      <c r="F23" s="138" t="str">
        <f aca="false">IF('Score Entry'!H30=4,"Excellent",IF('Score Entry'!H30=3,"Good",IF('Score Entry'!H30=2,"Fair","Poor")))</f>
        <v>Poor</v>
      </c>
      <c r="G23" s="138" t="str">
        <f aca="false">IF('Score Entry'!J30=4,"Excellent",IF('Score Entry'!J30=3,"Good",IF('Score Entry'!J30=2,"Fair","Poor")))</f>
        <v>Excellent</v>
      </c>
      <c r="H23" s="138" t="str">
        <f aca="false">IF('Score Entry'!L30=4,"Excellent",IF('Score Entry'!L30=3,"Good",IF('Score Entry'!L30=2,"Fair","Poor")))</f>
        <v>Good</v>
      </c>
      <c r="I23" s="138" t="str">
        <f aca="false">IF('Score Entry'!N30=4,"Excellent",IF('Score Entry'!N30=3,"Good",IF('Score Entry'!N30=2,"Fair","Poor")))</f>
        <v>Excellent</v>
      </c>
      <c r="J23" s="138" t="str">
        <f aca="false">IF('Score Entry'!P30=4,"Excellent",IF('Score Entry'!P30=3,"Good",IF('Score Entry'!P30=2,"Fair","Poor")))</f>
        <v>Excellent</v>
      </c>
      <c r="K23" s="68" t="n">
        <f aca="false">'Score Entry'!R30</f>
        <v>81.25</v>
      </c>
      <c r="L23" s="99" t="str">
        <f aca="false">'Score Entry'!T30</f>
        <v>A+</v>
      </c>
      <c r="M23" s="139" t="str">
        <f aca="false">IF('Score Entry'!R30&gt;=90,"Excellent presentation — outstanding knowledge, communication and professionalism",IF('Score Entry'!R30&gt;=75,"Very good presentation — strong content and delivery with minor improvements needed",IF('Score Entry'!R30&gt;=60,"Good presentation — adequate knowledge but needs improvement in communication and organization",IF('Score Entry'!R30&gt;=40,"Satisfactory — basic understanding shown; significant improvement needed in delivery and content","Needs major improvement — weak subject knowledge, poor communication and organization"))))</f>
        <v>Very good presentation — strong content and delivery with minor improvements needed</v>
      </c>
    </row>
    <row r="24" customFormat="false" ht="18" hidden="false" customHeight="true" outlineLevel="0" collapsed="false">
      <c r="A24" s="29" t="n">
        <v>20</v>
      </c>
      <c r="B24" s="29" t="str">
        <f aca="false">'Score Entry'!B31</f>
        <v>R020</v>
      </c>
      <c r="C24" s="29" t="str">
        <f aca="false">'Score Entry'!C31</f>
        <v>Deepa Nambiar</v>
      </c>
      <c r="D24" s="138" t="str">
        <f aca="false">IF('Score Entry'!D31=4,"Excellent",IF('Score Entry'!D31=3,"Good",IF('Score Entry'!D31=2,"Fair","Poor")))</f>
        <v>Good</v>
      </c>
      <c r="E24" s="138" t="str">
        <f aca="false">IF('Score Entry'!F31=4,"Excellent",IF('Score Entry'!F31=3,"Good",IF('Score Entry'!F31=2,"Fair","Poor")))</f>
        <v>Poor</v>
      </c>
      <c r="F24" s="138" t="str">
        <f aca="false">IF('Score Entry'!H31=4,"Excellent",IF('Score Entry'!H31=3,"Good",IF('Score Entry'!H31=2,"Fair","Poor")))</f>
        <v>Poor</v>
      </c>
      <c r="G24" s="138" t="str">
        <f aca="false">IF('Score Entry'!J31=4,"Excellent",IF('Score Entry'!J31=3,"Good",IF('Score Entry'!J31=2,"Fair","Poor")))</f>
        <v>Fair</v>
      </c>
      <c r="H24" s="138" t="str">
        <f aca="false">IF('Score Entry'!L31=4,"Excellent",IF('Score Entry'!L31=3,"Good",IF('Score Entry'!L31=2,"Fair","Poor")))</f>
        <v>Excellent</v>
      </c>
      <c r="I24" s="138" t="str">
        <f aca="false">IF('Score Entry'!N31=4,"Excellent",IF('Score Entry'!N31=3,"Good",IF('Score Entry'!N31=2,"Fair","Poor")))</f>
        <v>Fair</v>
      </c>
      <c r="J24" s="138" t="str">
        <f aca="false">IF('Score Entry'!P31=4,"Excellent",IF('Score Entry'!P31=3,"Good",IF('Score Entry'!P31=2,"Fair","Poor")))</f>
        <v>Poor</v>
      </c>
      <c r="K24" s="68" t="n">
        <f aca="false">'Score Entry'!R31</f>
        <v>52.5</v>
      </c>
      <c r="L24" s="99" t="str">
        <f aca="false">'Score Entry'!T31</f>
        <v>B+</v>
      </c>
      <c r="M24" s="140" t="str">
        <f aca="false">IF('Score Entry'!R31&gt;=90,"Excellent presentation — outstanding knowledge, communication and professionalism",IF('Score Entry'!R31&gt;=75,"Very good presentation — strong content and delivery with minor improvements needed",IF('Score Entry'!R31&gt;=60,"Good presentation — adequate knowledge but needs improvement in communication and organization",IF('Score Entry'!R31&gt;=40,"Satisfactory — basic understanding shown; significant improvement needed in delivery and content","Needs major improvement — weak subject knowledge, poor communication and organization"))))</f>
        <v>Satisfactory — basic understanding shown; significant improvement needed in delivery and content</v>
      </c>
    </row>
    <row r="25" customFormat="false" ht="18" hidden="false" customHeight="true" outlineLevel="0" collapsed="false">
      <c r="A25" s="27" t="n">
        <v>21</v>
      </c>
      <c r="B25" s="27" t="str">
        <f aca="false">'Score Entry'!B32</f>
        <v>R021</v>
      </c>
      <c r="C25" s="27" t="str">
        <f aca="false">'Score Entry'!C32</f>
        <v>Siddharth Roy</v>
      </c>
      <c r="D25" s="138" t="str">
        <f aca="false">IF('Score Entry'!D32=4,"Excellent",IF('Score Entry'!D32=3,"Good",IF('Score Entry'!D32=2,"Fair","Poor")))</f>
        <v>Poor</v>
      </c>
      <c r="E25" s="138" t="str">
        <f aca="false">IF('Score Entry'!F32=4,"Excellent",IF('Score Entry'!F32=3,"Good",IF('Score Entry'!F32=2,"Fair","Poor")))</f>
        <v>Poor</v>
      </c>
      <c r="F25" s="138" t="str">
        <f aca="false">IF('Score Entry'!H32=4,"Excellent",IF('Score Entry'!H32=3,"Good",IF('Score Entry'!H32=2,"Fair","Poor")))</f>
        <v>Good</v>
      </c>
      <c r="G25" s="138" t="str">
        <f aca="false">IF('Score Entry'!J32=4,"Excellent",IF('Score Entry'!J32=3,"Good",IF('Score Entry'!J32=2,"Fair","Poor")))</f>
        <v>Good</v>
      </c>
      <c r="H25" s="138" t="str">
        <f aca="false">IF('Score Entry'!L32=4,"Excellent",IF('Score Entry'!L32=3,"Good",IF('Score Entry'!L32=2,"Fair","Poor")))</f>
        <v>Poor</v>
      </c>
      <c r="I25" s="138" t="str">
        <f aca="false">IF('Score Entry'!N32=4,"Excellent",IF('Score Entry'!N32=3,"Good",IF('Score Entry'!N32=2,"Fair","Poor")))</f>
        <v>Poor</v>
      </c>
      <c r="J25" s="138" t="str">
        <f aca="false">IF('Score Entry'!P32=4,"Excellent",IF('Score Entry'!P32=3,"Good",IF('Score Entry'!P32=2,"Fair","Poor")))</f>
        <v>Excellent</v>
      </c>
      <c r="K25" s="68" t="n">
        <f aca="false">'Score Entry'!R32</f>
        <v>41.25</v>
      </c>
      <c r="L25" s="99" t="str">
        <f aca="false">'Score Entry'!T32</f>
        <v>B</v>
      </c>
      <c r="M25" s="139" t="str">
        <f aca="false">IF('Score Entry'!R32&gt;=90,"Excellent presentation — outstanding knowledge, communication and professionalism",IF('Score Entry'!R32&gt;=75,"Very good presentation — strong content and delivery with minor improvements needed",IF('Score Entry'!R32&gt;=60,"Good presentation — adequate knowledge but needs improvement in communication and organization",IF('Score Entry'!R32&gt;=40,"Satisfactory — basic understanding shown; significant improvement needed in delivery and content","Needs major improvement — weak subject knowledge, poor communication and organization"))))</f>
        <v>Satisfactory — basic understanding shown; significant improvement needed in delivery and content</v>
      </c>
    </row>
    <row r="26" customFormat="false" ht="18" hidden="false" customHeight="true" outlineLevel="0" collapsed="false">
      <c r="A26" s="29" t="n">
        <v>22</v>
      </c>
      <c r="B26" s="29" t="str">
        <f aca="false">'Score Entry'!B33</f>
        <v>R022</v>
      </c>
      <c r="C26" s="29" t="str">
        <f aca="false">'Score Entry'!C33</f>
        <v>Revathi Kumar</v>
      </c>
      <c r="D26" s="138" t="str">
        <f aca="false">IF('Score Entry'!D33=4,"Excellent",IF('Score Entry'!D33=3,"Good",IF('Score Entry'!D33=2,"Fair","Poor")))</f>
        <v>Fair</v>
      </c>
      <c r="E26" s="138" t="str">
        <f aca="false">IF('Score Entry'!F33=4,"Excellent",IF('Score Entry'!F33=3,"Good",IF('Score Entry'!F33=2,"Fair","Poor")))</f>
        <v>Poor</v>
      </c>
      <c r="F26" s="138" t="str">
        <f aca="false">IF('Score Entry'!H33=4,"Excellent",IF('Score Entry'!H33=3,"Good",IF('Score Entry'!H33=2,"Fair","Poor")))</f>
        <v>Excellent</v>
      </c>
      <c r="G26" s="138" t="str">
        <f aca="false">IF('Score Entry'!J33=4,"Excellent",IF('Score Entry'!J33=3,"Good",IF('Score Entry'!J33=2,"Fair","Poor")))</f>
        <v>Poor</v>
      </c>
      <c r="H26" s="138" t="str">
        <f aca="false">IF('Score Entry'!L33=4,"Excellent",IF('Score Entry'!L33=3,"Good",IF('Score Entry'!L33=2,"Fair","Poor")))</f>
        <v>Poor</v>
      </c>
      <c r="I26" s="138" t="str">
        <f aca="false">IF('Score Entry'!N33=4,"Excellent",IF('Score Entry'!N33=3,"Good",IF('Score Entry'!N33=2,"Fair","Poor")))</f>
        <v>Good</v>
      </c>
      <c r="J26" s="138" t="str">
        <f aca="false">IF('Score Entry'!P33=4,"Excellent",IF('Score Entry'!P33=3,"Good",IF('Score Entry'!P33=2,"Fair","Poor")))</f>
        <v>Excellent</v>
      </c>
      <c r="K26" s="68" t="n">
        <f aca="false">'Score Entry'!R33</f>
        <v>52.5</v>
      </c>
      <c r="L26" s="99" t="str">
        <f aca="false">'Score Entry'!T33</f>
        <v>B+</v>
      </c>
      <c r="M26" s="140" t="str">
        <f aca="false">IF('Score Entry'!R33&gt;=90,"Excellent presentation — outstanding knowledge, communication and professionalism",IF('Score Entry'!R33&gt;=75,"Very good presentation — strong content and delivery with minor improvements needed",IF('Score Entry'!R33&gt;=60,"Good presentation — adequate knowledge but needs improvement in communication and organization",IF('Score Entry'!R33&gt;=40,"Satisfactory — basic understanding shown; significant improvement needed in delivery and content","Needs major improvement — weak subject knowledge, poor communication and organization"))))</f>
        <v>Satisfactory — basic understanding shown; significant improvement needed in delivery and content</v>
      </c>
    </row>
    <row r="27" customFormat="false" ht="18" hidden="false" customHeight="true" outlineLevel="0" collapsed="false">
      <c r="A27" s="27" t="n">
        <v>23</v>
      </c>
      <c r="B27" s="27" t="str">
        <f aca="false">'Score Entry'!B34</f>
        <v>R023</v>
      </c>
      <c r="C27" s="27" t="str">
        <f aca="false">'Score Entry'!C34</f>
        <v>Aakash Jain</v>
      </c>
      <c r="D27" s="138" t="str">
        <f aca="false">IF('Score Entry'!D34=4,"Excellent",IF('Score Entry'!D34=3,"Good",IF('Score Entry'!D34=2,"Fair","Poor")))</f>
        <v>Poor</v>
      </c>
      <c r="E27" s="138" t="str">
        <f aca="false">IF('Score Entry'!F34=4,"Excellent",IF('Score Entry'!F34=3,"Good",IF('Score Entry'!F34=2,"Fair","Poor")))</f>
        <v>Excellent</v>
      </c>
      <c r="F27" s="138" t="str">
        <f aca="false">IF('Score Entry'!H34=4,"Excellent",IF('Score Entry'!H34=3,"Good",IF('Score Entry'!H34=2,"Fair","Poor")))</f>
        <v>Fair</v>
      </c>
      <c r="G27" s="138" t="str">
        <f aca="false">IF('Score Entry'!J34=4,"Excellent",IF('Score Entry'!J34=3,"Good",IF('Score Entry'!J34=2,"Fair","Poor")))</f>
        <v>Good</v>
      </c>
      <c r="H27" s="138" t="str">
        <f aca="false">IF('Score Entry'!L34=4,"Excellent",IF('Score Entry'!L34=3,"Good",IF('Score Entry'!L34=2,"Fair","Poor")))</f>
        <v>Fair</v>
      </c>
      <c r="I27" s="138" t="str">
        <f aca="false">IF('Score Entry'!N34=4,"Excellent",IF('Score Entry'!N34=3,"Good",IF('Score Entry'!N34=2,"Fair","Poor")))</f>
        <v>Fair</v>
      </c>
      <c r="J27" s="138" t="str">
        <f aca="false">IF('Score Entry'!P34=4,"Excellent",IF('Score Entry'!P34=3,"Good",IF('Score Entry'!P34=2,"Fair","Poor")))</f>
        <v>Good</v>
      </c>
      <c r="K27" s="68" t="n">
        <f aca="false">'Score Entry'!R34</f>
        <v>56.25</v>
      </c>
      <c r="L27" s="99" t="str">
        <f aca="false">'Score Entry'!T34</f>
        <v>B+</v>
      </c>
      <c r="M27" s="139" t="str">
        <f aca="false">IF('Score Entry'!R34&gt;=90,"Excellent presentation — outstanding knowledge, communication and professionalism",IF('Score Entry'!R34&gt;=75,"Very good presentation — strong content and delivery with minor improvements needed",IF('Score Entry'!R34&gt;=60,"Good presentation — adequate knowledge but needs improvement in communication and organization",IF('Score Entry'!R34&gt;=40,"Satisfactory — basic understanding shown; significant improvement needed in delivery and content","Needs major improvement — weak subject knowledge, poor communication and organization"))))</f>
        <v>Satisfactory — basic understanding shown; significant improvement needed in delivery and content</v>
      </c>
    </row>
    <row r="28" customFormat="false" ht="18" hidden="false" customHeight="true" outlineLevel="0" collapsed="false">
      <c r="A28" s="29" t="n">
        <v>24</v>
      </c>
      <c r="B28" s="29" t="str">
        <f aca="false">'Score Entry'!B35</f>
        <v>R024</v>
      </c>
      <c r="C28" s="29" t="str">
        <f aca="false">'Score Entry'!C35</f>
        <v>Bhavana Singh</v>
      </c>
      <c r="D28" s="138" t="str">
        <f aca="false">IF('Score Entry'!D35=4,"Excellent",IF('Score Entry'!D35=3,"Good",IF('Score Entry'!D35=2,"Fair","Poor")))</f>
        <v>Good</v>
      </c>
      <c r="E28" s="138" t="str">
        <f aca="false">IF('Score Entry'!F35=4,"Excellent",IF('Score Entry'!F35=3,"Good",IF('Score Entry'!F35=2,"Fair","Poor")))</f>
        <v>Poor</v>
      </c>
      <c r="F28" s="138" t="str">
        <f aca="false">IF('Score Entry'!H35=4,"Excellent",IF('Score Entry'!H35=3,"Good",IF('Score Entry'!H35=2,"Fair","Poor")))</f>
        <v>Excellent</v>
      </c>
      <c r="G28" s="138" t="str">
        <f aca="false">IF('Score Entry'!J35=4,"Excellent",IF('Score Entry'!J35=3,"Good",IF('Score Entry'!J35=2,"Fair","Poor")))</f>
        <v>Excellent</v>
      </c>
      <c r="H28" s="138" t="str">
        <f aca="false">IF('Score Entry'!L35=4,"Excellent",IF('Score Entry'!L35=3,"Good",IF('Score Entry'!L35=2,"Fair","Poor")))</f>
        <v>Poor</v>
      </c>
      <c r="I28" s="138" t="str">
        <f aca="false">IF('Score Entry'!N35=4,"Excellent",IF('Score Entry'!N35=3,"Good",IF('Score Entry'!N35=2,"Fair","Poor")))</f>
        <v>Good</v>
      </c>
      <c r="J28" s="138" t="str">
        <f aca="false">IF('Score Entry'!P35=4,"Excellent",IF('Score Entry'!P35=3,"Good",IF('Score Entry'!P35=2,"Fair","Poor")))</f>
        <v>Poor</v>
      </c>
      <c r="K28" s="68" t="n">
        <f aca="false">'Score Entry'!R35</f>
        <v>63.75</v>
      </c>
      <c r="L28" s="99" t="str">
        <f aca="false">'Score Entry'!T35</f>
        <v>A</v>
      </c>
      <c r="M28" s="140" t="str">
        <f aca="false">IF('Score Entry'!R35&gt;=90,"Excellent presentation — outstanding knowledge, communication and professionalism",IF('Score Entry'!R35&gt;=75,"Very good presentation — strong content and delivery with minor improvements needed",IF('Score Entry'!R35&gt;=60,"Good presentation — adequate knowledge but needs improvement in communication and organization",IF('Score Entry'!R35&gt;=40,"Satisfactory — basic understanding shown; significant improvement needed in delivery and content","Needs major improvement — weak subject knowledge, poor communication and organization"))))</f>
        <v>Good presentation — adequate knowledge but needs improvement in communication and organization</v>
      </c>
    </row>
    <row r="29" customFormat="false" ht="18" hidden="false" customHeight="true" outlineLevel="0" collapsed="false">
      <c r="A29" s="27" t="n">
        <v>25</v>
      </c>
      <c r="B29" s="27" t="str">
        <f aca="false">'Score Entry'!B36</f>
        <v>R025</v>
      </c>
      <c r="C29" s="27" t="str">
        <f aca="false">'Score Entry'!C36</f>
        <v>Chetan Rao</v>
      </c>
      <c r="D29" s="138" t="str">
        <f aca="false">IF('Score Entry'!D36=4,"Excellent",IF('Score Entry'!D36=3,"Good",IF('Score Entry'!D36=2,"Fair","Poor")))</f>
        <v>Poor</v>
      </c>
      <c r="E29" s="138" t="str">
        <f aca="false">IF('Score Entry'!F36=4,"Excellent",IF('Score Entry'!F36=3,"Good",IF('Score Entry'!F36=2,"Fair","Poor")))</f>
        <v>Poor</v>
      </c>
      <c r="F29" s="138" t="str">
        <f aca="false">IF('Score Entry'!H36=4,"Excellent",IF('Score Entry'!H36=3,"Good",IF('Score Entry'!H36=2,"Fair","Poor")))</f>
        <v>Good</v>
      </c>
      <c r="G29" s="138" t="str">
        <f aca="false">IF('Score Entry'!J36=4,"Excellent",IF('Score Entry'!J36=3,"Good",IF('Score Entry'!J36=2,"Fair","Poor")))</f>
        <v>Poor</v>
      </c>
      <c r="H29" s="138" t="str">
        <f aca="false">IF('Score Entry'!L36=4,"Excellent",IF('Score Entry'!L36=3,"Good",IF('Score Entry'!L36=2,"Fair","Poor")))</f>
        <v>Fair</v>
      </c>
      <c r="I29" s="138" t="str">
        <f aca="false">IF('Score Entry'!N36=4,"Excellent",IF('Score Entry'!N36=3,"Good",IF('Score Entry'!N36=2,"Fair","Poor")))</f>
        <v>Fair</v>
      </c>
      <c r="J29" s="138" t="str">
        <f aca="false">IF('Score Entry'!P36=4,"Excellent",IF('Score Entry'!P36=3,"Good",IF('Score Entry'!P36=2,"Fair","Poor")))</f>
        <v>Poor</v>
      </c>
      <c r="K29" s="68" t="n">
        <f aca="false">'Score Entry'!R36</f>
        <v>37.5</v>
      </c>
      <c r="L29" s="99" t="str">
        <f aca="false">'Score Entry'!T36</f>
        <v>F</v>
      </c>
      <c r="M29" s="139" t="str">
        <f aca="false">IF('Score Entry'!R36&gt;=90,"Excellent presentation — outstanding knowledge, communication and professionalism",IF('Score Entry'!R36&gt;=75,"Very good presentation — strong content and delivery with minor improvements needed",IF('Score Entry'!R36&gt;=60,"Good presentation — adequate knowledge but needs improvement in communication and organization",IF('Score Entry'!R36&gt;=40,"Satisfactory — basic understanding shown; significant improvement needed in delivery and content","Needs major improvement — weak subject knowledge, poor communication and organization"))))</f>
        <v>Needs major improvement — weak subject knowledge, poor communication and organization</v>
      </c>
    </row>
    <row r="30" customFormat="false" ht="18" hidden="false" customHeight="true" outlineLevel="0" collapsed="false">
      <c r="A30" s="29" t="n">
        <v>26</v>
      </c>
      <c r="B30" s="29" t="str">
        <f aca="false">'Score Entry'!B37</f>
        <v>R026</v>
      </c>
      <c r="C30" s="29" t="str">
        <f aca="false">'Score Entry'!C37</f>
        <v>Divya Nair</v>
      </c>
      <c r="D30" s="138" t="str">
        <f aca="false">IF('Score Entry'!D37=4,"Excellent",IF('Score Entry'!D37=3,"Good",IF('Score Entry'!D37=2,"Fair","Poor")))</f>
        <v>Excellent</v>
      </c>
      <c r="E30" s="138" t="str">
        <f aca="false">IF('Score Entry'!F37=4,"Excellent",IF('Score Entry'!F37=3,"Good",IF('Score Entry'!F37=2,"Fair","Poor")))</f>
        <v>Excellent</v>
      </c>
      <c r="F30" s="138" t="str">
        <f aca="false">IF('Score Entry'!H37=4,"Excellent",IF('Score Entry'!H37=3,"Good",IF('Score Entry'!H37=2,"Fair","Poor")))</f>
        <v>Good</v>
      </c>
      <c r="G30" s="138" t="str">
        <f aca="false">IF('Score Entry'!J37=4,"Excellent",IF('Score Entry'!J37=3,"Good",IF('Score Entry'!J37=2,"Fair","Poor")))</f>
        <v>Poor</v>
      </c>
      <c r="H30" s="138" t="str">
        <f aca="false">IF('Score Entry'!L37=4,"Excellent",IF('Score Entry'!L37=3,"Good",IF('Score Entry'!L37=2,"Fair","Poor")))</f>
        <v>Poor</v>
      </c>
      <c r="I30" s="138" t="str">
        <f aca="false">IF('Score Entry'!N37=4,"Excellent",IF('Score Entry'!N37=3,"Good",IF('Score Entry'!N37=2,"Fair","Poor")))</f>
        <v>Excellent</v>
      </c>
      <c r="J30" s="138" t="str">
        <f aca="false">IF('Score Entry'!P37=4,"Excellent",IF('Score Entry'!P37=3,"Good",IF('Score Entry'!P37=2,"Fair","Poor")))</f>
        <v>Poor</v>
      </c>
      <c r="K30" s="68" t="n">
        <f aca="false">'Score Entry'!R37</f>
        <v>77.5</v>
      </c>
      <c r="L30" s="99" t="str">
        <f aca="false">'Score Entry'!T37</f>
        <v>A+</v>
      </c>
      <c r="M30" s="140" t="str">
        <f aca="false">IF('Score Entry'!R37&gt;=90,"Excellent presentation — outstanding knowledge, communication and professionalism",IF('Score Entry'!R37&gt;=75,"Very good presentation — strong content and delivery with minor improvements needed",IF('Score Entry'!R37&gt;=60,"Good presentation — adequate knowledge but needs improvement in communication and organization",IF('Score Entry'!R37&gt;=40,"Satisfactory — basic understanding shown; significant improvement needed in delivery and content","Needs major improvement — weak subject knowledge, poor communication and organization"))))</f>
        <v>Very good presentation — strong content and delivery with minor improvements needed</v>
      </c>
    </row>
    <row r="31" customFormat="false" ht="18" hidden="false" customHeight="true" outlineLevel="0" collapsed="false">
      <c r="A31" s="27" t="n">
        <v>27</v>
      </c>
      <c r="B31" s="27" t="str">
        <f aca="false">'Score Entry'!B38</f>
        <v>R027</v>
      </c>
      <c r="C31" s="27" t="str">
        <f aca="false">'Score Entry'!C38</f>
        <v>Eshan Mehta</v>
      </c>
      <c r="D31" s="138" t="str">
        <f aca="false">IF('Score Entry'!D38=4,"Excellent",IF('Score Entry'!D38=3,"Good",IF('Score Entry'!D38=2,"Fair","Poor")))</f>
        <v>Fair</v>
      </c>
      <c r="E31" s="138" t="str">
        <f aca="false">IF('Score Entry'!F38=4,"Excellent",IF('Score Entry'!F38=3,"Good",IF('Score Entry'!F38=2,"Fair","Poor")))</f>
        <v>Excellent</v>
      </c>
      <c r="F31" s="138" t="str">
        <f aca="false">IF('Score Entry'!H38=4,"Excellent",IF('Score Entry'!H38=3,"Good",IF('Score Entry'!H38=2,"Fair","Poor")))</f>
        <v>Excellent</v>
      </c>
      <c r="G31" s="138" t="str">
        <f aca="false">IF('Score Entry'!J38=4,"Excellent",IF('Score Entry'!J38=3,"Good",IF('Score Entry'!J38=2,"Fair","Poor")))</f>
        <v>Poor</v>
      </c>
      <c r="H31" s="138" t="str">
        <f aca="false">IF('Score Entry'!L38=4,"Excellent",IF('Score Entry'!L38=3,"Good",IF('Score Entry'!L38=2,"Fair","Poor")))</f>
        <v>Good</v>
      </c>
      <c r="I31" s="138" t="str">
        <f aca="false">IF('Score Entry'!N38=4,"Excellent",IF('Score Entry'!N38=3,"Good",IF('Score Entry'!N38=2,"Fair","Poor")))</f>
        <v>Excellent</v>
      </c>
      <c r="J31" s="138" t="str">
        <f aca="false">IF('Score Entry'!P38=4,"Excellent",IF('Score Entry'!P38=3,"Good",IF('Score Entry'!P38=2,"Fair","Poor")))</f>
        <v>Poor</v>
      </c>
      <c r="K31" s="68" t="n">
        <f aca="false">'Score Entry'!R38</f>
        <v>71.25</v>
      </c>
      <c r="L31" s="99" t="str">
        <f aca="false">'Score Entry'!T38</f>
        <v>A</v>
      </c>
      <c r="M31" s="139" t="str">
        <f aca="false">IF('Score Entry'!R38&gt;=90,"Excellent presentation — outstanding knowledge, communication and professionalism",IF('Score Entry'!R38&gt;=75,"Very good presentation — strong content and delivery with minor improvements needed",IF('Score Entry'!R38&gt;=60,"Good presentation — adequate knowledge but needs improvement in communication and organization",IF('Score Entry'!R38&gt;=40,"Satisfactory — basic understanding shown; significant improvement needed in delivery and content","Needs major improvement — weak subject knowledge, poor communication and organization"))))</f>
        <v>Good presentation — adequate knowledge but needs improvement in communication and organization</v>
      </c>
    </row>
    <row r="32" customFormat="false" ht="18" hidden="false" customHeight="true" outlineLevel="0" collapsed="false">
      <c r="A32" s="29" t="n">
        <v>28</v>
      </c>
      <c r="B32" s="29" t="str">
        <f aca="false">'Score Entry'!B39</f>
        <v>R028</v>
      </c>
      <c r="C32" s="29" t="str">
        <f aca="false">'Score Entry'!C39</f>
        <v>Farah Khan</v>
      </c>
      <c r="D32" s="138" t="str">
        <f aca="false">IF('Score Entry'!D39=4,"Excellent",IF('Score Entry'!D39=3,"Good",IF('Score Entry'!D39=2,"Fair","Poor")))</f>
        <v>Poor</v>
      </c>
      <c r="E32" s="138" t="str">
        <f aca="false">IF('Score Entry'!F39=4,"Excellent",IF('Score Entry'!F39=3,"Good",IF('Score Entry'!F39=2,"Fair","Poor")))</f>
        <v>Poor</v>
      </c>
      <c r="F32" s="138" t="str">
        <f aca="false">IF('Score Entry'!H39=4,"Excellent",IF('Score Entry'!H39=3,"Good",IF('Score Entry'!H39=2,"Fair","Poor")))</f>
        <v>Poor</v>
      </c>
      <c r="G32" s="138" t="str">
        <f aca="false">IF('Score Entry'!J39=4,"Excellent",IF('Score Entry'!J39=3,"Good",IF('Score Entry'!J39=2,"Fair","Poor")))</f>
        <v>Poor</v>
      </c>
      <c r="H32" s="138" t="str">
        <f aca="false">IF('Score Entry'!L39=4,"Excellent",IF('Score Entry'!L39=3,"Good",IF('Score Entry'!L39=2,"Fair","Poor")))</f>
        <v>Excellent</v>
      </c>
      <c r="I32" s="138" t="str">
        <f aca="false">IF('Score Entry'!N39=4,"Excellent",IF('Score Entry'!N39=3,"Good",IF('Score Entry'!N39=2,"Fair","Poor")))</f>
        <v>Good</v>
      </c>
      <c r="J32" s="138" t="str">
        <f aca="false">IF('Score Entry'!P39=4,"Excellent",IF('Score Entry'!P39=3,"Good",IF('Score Entry'!P39=2,"Fair","Poor")))</f>
        <v>Good</v>
      </c>
      <c r="K32" s="68" t="n">
        <f aca="false">'Score Entry'!R39</f>
        <v>40</v>
      </c>
      <c r="L32" s="99" t="str">
        <f aca="false">'Score Entry'!T39</f>
        <v>B</v>
      </c>
      <c r="M32" s="140" t="str">
        <f aca="false">IF('Score Entry'!R39&gt;=90,"Excellent presentation — outstanding knowledge, communication and professionalism",IF('Score Entry'!R39&gt;=75,"Very good presentation — strong content and delivery with minor improvements needed",IF('Score Entry'!R39&gt;=60,"Good presentation — adequate knowledge but needs improvement in communication and organization",IF('Score Entry'!R39&gt;=40,"Satisfactory — basic understanding shown; significant improvement needed in delivery and content","Needs major improvement — weak subject knowledge, poor communication and organization"))))</f>
        <v>Satisfactory — basic understanding shown; significant improvement needed in delivery and content</v>
      </c>
    </row>
    <row r="33" customFormat="false" ht="18" hidden="false" customHeight="true" outlineLevel="0" collapsed="false">
      <c r="A33" s="27" t="n">
        <v>29</v>
      </c>
      <c r="B33" s="27" t="str">
        <f aca="false">'Score Entry'!B40</f>
        <v>R029</v>
      </c>
      <c r="C33" s="27" t="str">
        <f aca="false">'Score Entry'!C40</f>
        <v>Ganesh Rao</v>
      </c>
      <c r="D33" s="138" t="str">
        <f aca="false">IF('Score Entry'!D40=4,"Excellent",IF('Score Entry'!D40=3,"Good",IF('Score Entry'!D40=2,"Fair","Poor")))</f>
        <v>Fair</v>
      </c>
      <c r="E33" s="138" t="str">
        <f aca="false">IF('Score Entry'!F40=4,"Excellent",IF('Score Entry'!F40=3,"Good",IF('Score Entry'!F40=2,"Fair","Poor")))</f>
        <v>Excellent</v>
      </c>
      <c r="F33" s="138" t="str">
        <f aca="false">IF('Score Entry'!H40=4,"Excellent",IF('Score Entry'!H40=3,"Good",IF('Score Entry'!H40=2,"Fair","Poor")))</f>
        <v>Poor</v>
      </c>
      <c r="G33" s="138" t="str">
        <f aca="false">IF('Score Entry'!J40=4,"Excellent",IF('Score Entry'!J40=3,"Good",IF('Score Entry'!J40=2,"Fair","Poor")))</f>
        <v>Fair</v>
      </c>
      <c r="H33" s="138" t="str">
        <f aca="false">IF('Score Entry'!L40=4,"Excellent",IF('Score Entry'!L40=3,"Good",IF('Score Entry'!L40=2,"Fair","Poor")))</f>
        <v>Fair</v>
      </c>
      <c r="I33" s="138" t="str">
        <f aca="false">IF('Score Entry'!N40=4,"Excellent",IF('Score Entry'!N40=3,"Good",IF('Score Entry'!N40=2,"Fair","Poor")))</f>
        <v>Good</v>
      </c>
      <c r="J33" s="138" t="str">
        <f aca="false">IF('Score Entry'!P40=4,"Excellent",IF('Score Entry'!P40=3,"Good",IF('Score Entry'!P40=2,"Fair","Poor")))</f>
        <v>Excellent</v>
      </c>
      <c r="K33" s="68" t="n">
        <f aca="false">'Score Entry'!R40</f>
        <v>61.25</v>
      </c>
      <c r="L33" s="99" t="str">
        <f aca="false">'Score Entry'!T40</f>
        <v>A</v>
      </c>
      <c r="M33" s="139" t="str">
        <f aca="false">IF('Score Entry'!R40&gt;=90,"Excellent presentation — outstanding knowledge, communication and professionalism",IF('Score Entry'!R40&gt;=75,"Very good presentation — strong content and delivery with minor improvements needed",IF('Score Entry'!R40&gt;=60,"Good presentation — adequate knowledge but needs improvement in communication and organization",IF('Score Entry'!R40&gt;=40,"Satisfactory — basic understanding shown; significant improvement needed in delivery and content","Needs major improvement — weak subject knowledge, poor communication and organization"))))</f>
        <v>Good presentation — adequate knowledge but needs improvement in communication and organization</v>
      </c>
    </row>
    <row r="34" customFormat="false" ht="18" hidden="false" customHeight="true" outlineLevel="0" collapsed="false">
      <c r="A34" s="29" t="n">
        <v>30</v>
      </c>
      <c r="B34" s="29" t="str">
        <f aca="false">'Score Entry'!B41</f>
        <v>R030</v>
      </c>
      <c r="C34" s="29" t="str">
        <f aca="false">'Score Entry'!C41</f>
        <v>Hema Pillai</v>
      </c>
      <c r="D34" s="138" t="str">
        <f aca="false">IF('Score Entry'!D41=4,"Excellent",IF('Score Entry'!D41=3,"Good",IF('Score Entry'!D41=2,"Fair","Poor")))</f>
        <v>Good</v>
      </c>
      <c r="E34" s="138" t="str">
        <f aca="false">IF('Score Entry'!F41=4,"Excellent",IF('Score Entry'!F41=3,"Good",IF('Score Entry'!F41=2,"Fair","Poor")))</f>
        <v>Excellent</v>
      </c>
      <c r="F34" s="138" t="str">
        <f aca="false">IF('Score Entry'!H41=4,"Excellent",IF('Score Entry'!H41=3,"Good",IF('Score Entry'!H41=2,"Fair","Poor")))</f>
        <v>Poor</v>
      </c>
      <c r="G34" s="138" t="str">
        <f aca="false">IF('Score Entry'!J41=4,"Excellent",IF('Score Entry'!J41=3,"Good",IF('Score Entry'!J41=2,"Fair","Poor")))</f>
        <v>Fair</v>
      </c>
      <c r="H34" s="138" t="str">
        <f aca="false">IF('Score Entry'!L41=4,"Excellent",IF('Score Entry'!L41=3,"Good",IF('Score Entry'!L41=2,"Fair","Poor")))</f>
        <v>Good</v>
      </c>
      <c r="I34" s="138" t="str">
        <f aca="false">IF('Score Entry'!N41=4,"Excellent",IF('Score Entry'!N41=3,"Good",IF('Score Entry'!N41=2,"Fair","Poor")))</f>
        <v>Excellent</v>
      </c>
      <c r="J34" s="138" t="str">
        <f aca="false">IF('Score Entry'!P41=4,"Excellent",IF('Score Entry'!P41=3,"Good",IF('Score Entry'!P41=2,"Fair","Poor")))</f>
        <v>Good</v>
      </c>
      <c r="K34" s="68" t="n">
        <f aca="false">'Score Entry'!R41</f>
        <v>72.5</v>
      </c>
      <c r="L34" s="99" t="str">
        <f aca="false">'Score Entry'!T41</f>
        <v>A</v>
      </c>
      <c r="M34" s="140" t="str">
        <f aca="false">IF('Score Entry'!R41&gt;=90,"Excellent presentation — outstanding knowledge, communication and professionalism",IF('Score Entry'!R41&gt;=75,"Very good presentation — strong content and delivery with minor improvements needed",IF('Score Entry'!R41&gt;=60,"Good presentation — adequate knowledge but needs improvement in communication and organization",IF('Score Entry'!R41&gt;=40,"Satisfactory — basic understanding shown; significant improvement needed in delivery and content","Needs major improvement — weak subject knowledge, poor communication and organization"))))</f>
        <v>Good presentation — adequate knowledge but needs improvement in communication and organization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2026-05-12T13:27:55Z</dcterms:created>
  <dc:creator>openpyxl</dc:creator>
  <dc:description/>
  <dc:language>en-US</dc:language>
  <cp:lastModifiedBy/>
  <dcterms:modified xsi:type="dcterms:W3CDTF">2026-05-12T13:27:55Z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