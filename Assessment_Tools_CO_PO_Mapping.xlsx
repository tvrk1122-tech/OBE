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idelines" sheetId="1" state="visible" r:id="rId3"/>
    <sheet name="CS301" sheetId="2" state="visible" r:id="rId4"/>
    <sheet name="CS302" sheetId="3" state="visible" r:id="rId5"/>
    <sheet name="CO-PO Mapping" sheetId="4" state="visible" r:id="rId6"/>
    <sheet name="CS303" sheetId="5" state="visible" r:id="rId7"/>
    <sheet name="Assessment Summary" sheetId="6" state="visible" r:id="rId8"/>
    <sheet name="CS304" sheetId="7" state="visible" r:id="rId9"/>
    <sheet name="CS305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<sst xmlns="http://schemas.openxmlformats.org/spreadsheetml/2006/main" count="1160" uniqueCount="207">
  <si>
    <t xml:space="preserve">CO–PO MAPPING: NUMBER OF ASSESSMENT TOOLS METHOD  —  Auto-Calculation Workbook</t>
  </si>
  <si>
    <t xml:space="preserve">Based on: NBA OBE Guidelines  |  Method B: Assessment Tools Count Method</t>
  </si>
  <si>
    <t xml:space="preserve">MAPPING LEVEL CRITERIA  (from CO-PO Mapping Guidelines Document — Section B)</t>
  </si>
  <si>
    <t xml:space="preserve">Level</t>
  </si>
  <si>
    <t xml:space="preserve">Symbol</t>
  </si>
  <si>
    <t xml:space="preserve">No. of Assessment Tools</t>
  </si>
  <si>
    <t xml:space="preserve">Meaning</t>
  </si>
  <si>
    <t xml:space="preserve">Evidence Strength</t>
  </si>
  <si>
    <t xml:space="preserve">No Mapping</t>
  </si>
  <si>
    <t xml:space="preserve">—</t>
  </si>
  <si>
    <t xml:space="preserve">0 tools</t>
  </si>
  <si>
    <t xml:space="preserve">CO has no measurable link to PO</t>
  </si>
  <si>
    <t xml:space="preserve">No evidence</t>
  </si>
  <si>
    <t xml:space="preserve">Low</t>
  </si>
  <si>
    <t xml:space="preserve">1</t>
  </si>
  <si>
    <t xml:space="preserve">1 or 2 tools</t>
  </si>
  <si>
    <t xml:space="preserve">Limited evaluation exists</t>
  </si>
  <si>
    <t xml:space="preserve">Weak evidence — e.g. only assignment + mid exam</t>
  </si>
  <si>
    <t xml:space="preserve">Medium</t>
  </si>
  <si>
    <t xml:space="preserve">2</t>
  </si>
  <si>
    <t xml:space="preserve">3 tools</t>
  </si>
  <si>
    <t xml:space="preserve">Moderate evaluation coverage</t>
  </si>
  <si>
    <t xml:space="preserve">E.g. Mid exam + Assignment + Lab assessment</t>
  </si>
  <si>
    <t xml:space="preserve">High</t>
  </si>
  <si>
    <t xml:space="preserve">3</t>
  </si>
  <si>
    <t xml:space="preserve">4 or more tools</t>
  </si>
  <si>
    <t xml:space="preserve">Strong and comprehensive evaluation</t>
  </si>
  <si>
    <t xml:space="preserve">E.g. Mid + Asgn + Seminar + Project + Lab viva</t>
  </si>
  <si>
    <t xml:space="preserve">FORMULA USED IN THIS WORKBOOK</t>
  </si>
  <si>
    <t xml:space="preserve">Step</t>
  </si>
  <si>
    <t xml:space="preserve">Formula / Logic</t>
  </si>
  <si>
    <t xml:space="preserve">Notes</t>
  </si>
  <si>
    <t xml:space="preserve">Tool Count</t>
  </si>
  <si>
    <t xml:space="preserve">COUNTIF(tool_row, 1)  — counts cells marked 1 (Used)</t>
  </si>
  <si>
    <t xml:space="preserve">Enter 1=Used or 0=Not Used in each tool column</t>
  </si>
  <si>
    <t xml:space="preserve">Mapping Level</t>
  </si>
  <si>
    <t xml:space="preserve">IF(count &gt;= 4, 3,  IF(count &gt;= 3, 2,  IF(count &gt;= 1, 1,  0)))</t>
  </si>
  <si>
    <t xml:space="preserve">0=No Mapping, 1=Low, 2=Medium, 3=High</t>
  </si>
  <si>
    <t xml:space="preserve">IF(level = 0, "—",  level)</t>
  </si>
  <si>
    <t xml:space="preserve">Displayed in CO-PO matrix</t>
  </si>
  <si>
    <t xml:space="preserve">PO-wise Level</t>
  </si>
  <si>
    <t xml:space="preserve">IF(CO relevant to PO  AND  level &gt; 0,  level,  "—")</t>
  </si>
  <si>
    <t xml:space="preserve">CO must be relevant to PO to show mapping</t>
  </si>
  <si>
    <t xml:space="preserve">Course Average</t>
  </si>
  <si>
    <t xml:space="preserve">AVERAGEIF(PO column range, "&lt;&gt;—")</t>
  </si>
  <si>
    <t xml:space="preserve">Summary across all COs in a course</t>
  </si>
  <si>
    <t xml:space="preserve">ASSESSMENT TOOLS USED IN THIS WORKBOOK (12 Tools)</t>
  </si>
  <si>
    <t xml:space="preserve">ID</t>
  </si>
  <si>
    <t xml:space="preserve">Tool Name</t>
  </si>
  <si>
    <t xml:space="preserve">Type</t>
  </si>
  <si>
    <t xml:space="preserve">Purpose / Related PO</t>
  </si>
  <si>
    <t xml:space="preserve">T01</t>
  </si>
  <si>
    <t xml:space="preserve">Mid-Term Test</t>
  </si>
  <si>
    <t xml:space="preserve">Direct</t>
  </si>
  <si>
    <t xml:space="preserve">PO1, PO2 — Conceptual understanding, analytical ability</t>
  </si>
  <si>
    <t xml:space="preserve">T02</t>
  </si>
  <si>
    <t xml:space="preserve">End-Term Test</t>
  </si>
  <si>
    <t xml:space="preserve">PO1, PO2 — Complete syllabus understanding</t>
  </si>
  <si>
    <t xml:space="preserve">T03</t>
  </si>
  <si>
    <t xml:space="preserve">Class Test</t>
  </si>
  <si>
    <t xml:space="preserve">PO1 — Continuous assessment, quick evaluation</t>
  </si>
  <si>
    <t xml:space="preserve">T04</t>
  </si>
  <si>
    <t xml:space="preserve">Surprise Test</t>
  </si>
  <si>
    <t xml:space="preserve">PO1 — Preparedness, regular learning habits</t>
  </si>
  <si>
    <t xml:space="preserve">T05</t>
  </si>
  <si>
    <t xml:space="preserve">Oral Examination (Viva)</t>
  </si>
  <si>
    <t xml:space="preserve">PO10, PO9 — Communication, conceptual clarity</t>
  </si>
  <si>
    <t xml:space="preserve">T06</t>
  </si>
  <si>
    <t xml:space="preserve">Continuous Internal Assessment (CIA)</t>
  </si>
  <si>
    <t xml:space="preserve">PO1, PO2 — Assignments, quizzes, tutorials</t>
  </si>
  <si>
    <t xml:space="preserve">T07</t>
  </si>
  <si>
    <t xml:space="preserve">Lab Practical Assessment</t>
  </si>
  <si>
    <t xml:space="preserve">PO4, PO5 — Experimentation, tool handling, implementation</t>
  </si>
  <si>
    <t xml:space="preserve">T08</t>
  </si>
  <si>
    <t xml:space="preserve">University Theory Exam</t>
  </si>
  <si>
    <t xml:space="preserve">PO1, PO2 — Standardized, external validation</t>
  </si>
  <si>
    <t xml:space="preserve">T09</t>
  </si>
  <si>
    <t xml:space="preserve">Practical Oral Exam</t>
  </si>
  <si>
    <t xml:space="preserve">PO5 — Lab viva, implementation understanding</t>
  </si>
  <si>
    <t xml:space="preserve">T10</t>
  </si>
  <si>
    <t xml:space="preserve">Seminar / Presentation</t>
  </si>
  <si>
    <t xml:space="preserve">PO10, PO9 — Technical communication, presentation</t>
  </si>
  <si>
    <t xml:space="preserve">T11</t>
  </si>
  <si>
    <t xml:space="preserve">Mini / Major Project</t>
  </si>
  <si>
    <t xml:space="preserve">PO3, PO9, PO10, PO11 — Design, teamwork, innovation</t>
  </si>
  <si>
    <t xml:space="preserve">T12</t>
  </si>
  <si>
    <t xml:space="preserve">Course Exit Survey</t>
  </si>
  <si>
    <t xml:space="preserve">Indirect</t>
  </si>
  <si>
    <t xml:space="preserve">All POs — Student perception, indirect CO achievement</t>
  </si>
  <si>
    <t xml:space="preserve">HOW TO USE THIS WORKBOOK</t>
  </si>
  <si>
    <t xml:space="preserve">1.  Open any Course sheet (CS301–CS305)  →  Mark 1 (Used) or 0 (Not Used) in each tool column per CO  [Yellow cells]</t>
  </si>
  <si>
    <t xml:space="preserve">2.  Tool Count auto-calculates: = COUNTIF(row, 1)  →  counts how many tools are used</t>
  </si>
  <si>
    <t xml:space="preserve">3.  Mapping Level auto-calculates: 0 tools=No Map, 1–2=Low(1), 3=Medium(2), 4+=High(3)</t>
  </si>
  <si>
    <t xml:space="preserve">4.  CO-PO Mapping columns auto-show the level only for POs that the CO is relevant to</t>
  </si>
  <si>
    <t xml:space="preserve">5.  Open 'CO-PO Mapping' sheet  →  All values auto-linked from all 5 course sheets</t>
  </si>
  <si>
    <t xml:space="preserve">6.  Open 'Assessment Summary' sheet  →  See which tools are most/least used across courses</t>
  </si>
  <si>
    <t xml:space="preserve">7.  Change any 0→1 or 1→0 in yellow cells  →  All levels, symbols, and summaries update instantly</t>
  </si>
  <si>
    <t xml:space="preserve">ASSESSMENT TOOLS CO–PO MAPPING — Data Structures &amp; Algorithms (CS301)</t>
  </si>
  <si>
    <t xml:space="preserve">Method B: Mark 1=Used / 0=Not Used in YELLOW cells per tool per CO  |  Tool Count auto-sums  |  Level: 0=—  1–2=1(Low)  3=2(Medium)  4+=3(High)</t>
  </si>
  <si>
    <t xml:space="preserve">Tool Types →</t>
  </si>
  <si>
    <t xml:space="preserve">Count</t>
  </si>
  <si>
    <t xml:space="preserve">PO Mapping Levels</t>
  </si>
  <si>
    <t xml:space="preserve">PSO Mapping</t>
  </si>
  <si>
    <t xml:space="preserve">CO</t>
  </si>
  <si>
    <t xml:space="preserve">CO Topic</t>
  </si>
  <si>
    <t xml:space="preserve">Mid Test</t>
  </si>
  <si>
    <t xml:space="preserve">End Test</t>
  </si>
  <si>
    <t xml:space="preserve">Oral/Viva</t>
  </si>
  <si>
    <t xml:space="preserve">CIA</t>
  </si>
  <si>
    <t xml:space="preserve">Lab Practical</t>
  </si>
  <si>
    <t xml:space="preserve">Univ. Exam</t>
  </si>
  <si>
    <t xml:space="preserve">Practical Oral</t>
  </si>
  <si>
    <t xml:space="preserve">Seminar</t>
  </si>
  <si>
    <t xml:space="preserve">Project</t>
  </si>
  <si>
    <t xml:space="preserve">Exit Survey</t>
  </si>
  <si>
    <t xml:space="preserve">Total
Tools</t>
  </si>
  <si>
    <t xml:space="preserve">Mapping
Level</t>
  </si>
  <si>
    <t xml:space="preserve">Symbol
(—/1/2/3)</t>
  </si>
  <si>
    <t xml:space="preserve">PO1</t>
  </si>
  <si>
    <t xml:space="preserve">PO2</t>
  </si>
  <si>
    <t xml:space="preserve">PO3</t>
  </si>
  <si>
    <t xml:space="preserve">PO4</t>
  </si>
  <si>
    <t xml:space="preserve">PO5</t>
  </si>
  <si>
    <t xml:space="preserve">PO6</t>
  </si>
  <si>
    <t xml:space="preserve">PO7</t>
  </si>
  <si>
    <t xml:space="preserve">PO8</t>
  </si>
  <si>
    <t xml:space="preserve">PO9</t>
  </si>
  <si>
    <t xml:space="preserve">PO10</t>
  </si>
  <si>
    <t xml:space="preserve">PO11</t>
  </si>
  <si>
    <t xml:space="preserve">PO12</t>
  </si>
  <si>
    <t xml:space="preserve">PSO1</t>
  </si>
  <si>
    <t xml:space="preserve">PSO2</t>
  </si>
  <si>
    <t xml:space="preserve">PSO3</t>
  </si>
  <si>
    <t xml:space="preserve">Tool ID →</t>
  </si>
  <si>
    <t xml:space="preserve">↓  Enter  1 = Tool Used   /   0 = Not Used  in YELLOW cells below  ↓</t>
  </si>
  <si>
    <t xml:space="preserve">CO1</t>
  </si>
  <si>
    <t xml:space="preserve">Arrays, Linked Lists, Stacks, Queues</t>
  </si>
  <si>
    <t xml:space="preserve">CO2</t>
  </si>
  <si>
    <t xml:space="preserve">Trees, Binary Search Trees, Heaps</t>
  </si>
  <si>
    <t xml:space="preserve">CO3</t>
  </si>
  <si>
    <t xml:space="preserve">Graphs: BFS, DFS, Shortest Paths</t>
  </si>
  <si>
    <t xml:space="preserve">CO4</t>
  </si>
  <si>
    <t xml:space="preserve">Sorting &amp; Searching Algorithms</t>
  </si>
  <si>
    <t xml:space="preserve">CO5</t>
  </si>
  <si>
    <t xml:space="preserve">Hashing, Complexity Analysis</t>
  </si>
  <si>
    <t xml:space="preserve">TOOL USAGE COUNT (across all COs)</t>
  </si>
  <si>
    <t xml:space="preserve">AVERAGE MAPPING LEVEL PER PO</t>
  </si>
  <si>
    <t xml:space="preserve">ASSESSMENT TOOLS CO–PO MAPPING — Database Management Systems (CS302)</t>
  </si>
  <si>
    <t xml:space="preserve">ER Model, Relational Algebra</t>
  </si>
  <si>
    <t xml:space="preserve">SQL — DDL, DML, Queries</t>
  </si>
  <si>
    <t xml:space="preserve">Normalization: 1NF–BCNF</t>
  </si>
  <si>
    <t xml:space="preserve">Transaction Management &amp; Concurrency</t>
  </si>
  <si>
    <t xml:space="preserve">Indexing &amp; Query Optimization</t>
  </si>
  <si>
    <t xml:space="preserve">CO–PO MAPPING MATRIX  (Assessment Tools Count Method)  —  Auto-linked from course sheets</t>
  </si>
  <si>
    <t xml:space="preserve">Level: — = No Mapping  |  1 = Low (1–2 tools)  |  2 = Medium (3 tools)  |  3 = High (4+ tools)  |  — in PO column = CO not relevant to that PO</t>
  </si>
  <si>
    <t xml:space="preserve">LEGEND →</t>
  </si>
  <si>
    <t xml:space="preserve">— No Mapping (0 tools)</t>
  </si>
  <si>
    <t xml:space="preserve">1 Low (1–2 tools)</t>
  </si>
  <si>
    <t xml:space="preserve">2 Medium (3 tools)</t>
  </si>
  <si>
    <t xml:space="preserve">3 High (4+ tools)</t>
  </si>
  <si>
    <t xml:space="preserve">#</t>
  </si>
  <si>
    <t xml:space="preserve">Course</t>
  </si>
  <si>
    <t xml:space="preserve">Code</t>
  </si>
  <si>
    <t xml:space="preserve">Tools
Used</t>
  </si>
  <si>
    <t xml:space="preserve">PROGRAMME OUTCOMES (PO1–PO12)</t>
  </si>
  <si>
    <t xml:space="preserve">PSOs</t>
  </si>
  <si>
    <t xml:space="preserve">Data Structures &amp; Algorithms</t>
  </si>
  <si>
    <t xml:space="preserve">CS301</t>
  </si>
  <si>
    <t xml:space="preserve">Database Management Systems</t>
  </si>
  <si>
    <t xml:space="preserve">CS302</t>
  </si>
  <si>
    <t xml:space="preserve">Computer Networks</t>
  </si>
  <si>
    <t xml:space="preserve">CS303</t>
  </si>
  <si>
    <t xml:space="preserve">Operating Systems</t>
  </si>
  <si>
    <t xml:space="preserve">CS304</t>
  </si>
  <si>
    <t xml:space="preserve">Machine Learning</t>
  </si>
  <si>
    <t xml:space="preserve">CS305</t>
  </si>
  <si>
    <t xml:space="preserve">CO6</t>
  </si>
  <si>
    <t xml:space="preserve">DEPT AVERAGE (all courses)</t>
  </si>
  <si>
    <t xml:space="preserve">ASSESSMENT TOOLS CO–PO MAPPING — Computer Networks (CS303)</t>
  </si>
  <si>
    <t xml:space="preserve">OSI &amp; TCP/IP Model, Protocols</t>
  </si>
  <si>
    <t xml:space="preserve">Data Link Layer, MAC, Error Control</t>
  </si>
  <si>
    <t xml:space="preserve">Network Layer: IP, Routing Algorithms</t>
  </si>
  <si>
    <t xml:space="preserve">Transport Layer: TCP, UDP, Flow Control</t>
  </si>
  <si>
    <t xml:space="preserve">Application Layer: DNS, HTTP, FTP</t>
  </si>
  <si>
    <t xml:space="preserve">ASSESSMENT TOOLS USAGE SUMMARY — ALL COURSES</t>
  </si>
  <si>
    <t xml:space="preserve">This sheet shows how many COs use each assessment tool per course. All values auto-linked from course sheets.</t>
  </si>
  <si>
    <t xml:space="preserve">Tool ID</t>
  </si>
  <si>
    <t xml:space="preserve">TOTAL</t>
  </si>
  <si>
    <t xml:space="preserve">COs
Using</t>
  </si>
  <si>
    <t xml:space="preserve">% of COs</t>
  </si>
  <si>
    <t xml:space="preserve">All COs
Using</t>
  </si>
  <si>
    <t xml:space="preserve">Avg %</t>
  </si>
  <si>
    <t xml:space="preserve">Continuous Internal Assess.</t>
  </si>
  <si>
    <t xml:space="preserve">TOOLS PER CO (Average)</t>
  </si>
  <si>
    <t xml:space="preserve">ASSESSMENT TOOLS CO–PO MAPPING — Operating Systems (CS304)</t>
  </si>
  <si>
    <t xml:space="preserve">Processes, Threads, CPU Scheduling</t>
  </si>
  <si>
    <t xml:space="preserve">Synchronization, Deadlock Handling</t>
  </si>
  <si>
    <t xml:space="preserve">Memory Management: Paging, Segmentation</t>
  </si>
  <si>
    <t xml:space="preserve">File System Organization &amp; Management</t>
  </si>
  <si>
    <t xml:space="preserve">I/O Management &amp; Disk Scheduling</t>
  </si>
  <si>
    <t xml:space="preserve">ASSESSMENT TOOLS CO–PO MAPPING — Machine Learning (CS305)</t>
  </si>
  <si>
    <t xml:space="preserve">Supervised Learning: Regression, SVM</t>
  </si>
  <si>
    <t xml:space="preserve">Classification: Decision Trees, KNN</t>
  </si>
  <si>
    <t xml:space="preserve">Neural Networks &amp; Deep Learning</t>
  </si>
  <si>
    <t xml:space="preserve">Unsupervised Learning: Clustering, PCA</t>
  </si>
  <si>
    <t xml:space="preserve">Model Evaluation, Optimization Techniques</t>
  </si>
  <si>
    <t xml:space="preserve">Applied ML Projects &amp; Case Studies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</si>
</sst>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@"/>
    <numFmt numFmtId="167" formatCode="0.0"/>
    <numFmt numFmtId="168" formatCode="0%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404040"/>
      <name val="Arial"/>
      <family val="0"/>
      <charset val="1"/>
    </font>
    <font>
      <b val="true"/>
      <sz val="12"/>
      <color rgb="FFC00000"/>
      <name val="Arial"/>
      <family val="0"/>
      <charset val="1"/>
    </font>
    <font>
      <sz val="9"/>
      <color rgb="FF40404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9"/>
      <color rgb="FF1F3864"/>
      <name val="Arial"/>
      <family val="0"/>
      <charset val="1"/>
    </font>
    <font>
      <i val="true"/>
      <sz val="9"/>
      <color rgb="FF404040"/>
      <name val="Arial"/>
      <family val="0"/>
      <charset val="1"/>
    </font>
    <font>
      <b val="true"/>
      <sz val="9"/>
      <color rgb="FF7030A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8"/>
      <color rgb="FFFFFFFF"/>
      <name val="Arial"/>
      <family val="0"/>
      <charset val="1"/>
    </font>
    <font>
      <sz val="8"/>
      <color rgb="FF404040"/>
      <name val="Arial"/>
      <family val="0"/>
      <charset val="1"/>
    </font>
    <font>
      <b val="true"/>
      <sz val="8"/>
      <color rgb="FF404040"/>
      <name val="Arial"/>
      <family val="0"/>
      <charset val="1"/>
    </font>
    <font>
      <i val="true"/>
      <sz val="8"/>
      <color rgb="FF404040"/>
      <name val="Arial"/>
      <family val="0"/>
      <charset val="1"/>
    </font>
    <font>
      <i val="true"/>
      <sz val="8"/>
      <color rgb="FFC00000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0"/>
      <color rgb="FFAAAAAA"/>
      <name val="Arial"/>
      <family val="0"/>
      <charset val="1"/>
    </font>
    <font>
      <b val="true"/>
      <sz val="11"/>
      <color rgb="FF375623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404040"/>
      <name val="Arial"/>
      <family val="0"/>
      <charset val="1"/>
    </font>
    <font>
      <sz val="10"/>
      <color rgb="FFCCCCCC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9"/>
      <color rgb="FF375623"/>
      <name val="Arial"/>
      <family val="0"/>
      <charset val="1"/>
    </font>
    <font>
      <i val="true"/>
      <sz val="9"/>
      <color rgb="FFFFFFFF"/>
      <name val="Arial"/>
      <family val="0"/>
      <charset val="1"/>
    </font>
    <font>
      <sz val="9"/>
      <color rgb="FF7030A0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7030A0"/>
        <bgColor rgb="FF993366"/>
      </patternFill>
    </fill>
    <fill>
      <patternFill patternType="solid">
        <fgColor rgb="FF404040"/>
        <bgColor rgb="FF375623"/>
      </patternFill>
    </fill>
    <fill>
      <patternFill patternType="solid">
        <fgColor rgb="FFF2F2F2"/>
        <bgColor rgb="FFFFF8DC"/>
      </patternFill>
    </fill>
    <fill>
      <patternFill patternType="solid">
        <fgColor rgb="FFFCE4D6"/>
        <bgColor rgb="FFFFF2CC"/>
      </patternFill>
    </fill>
    <fill>
      <patternFill patternType="solid">
        <fgColor rgb="FFFFF8DC"/>
        <bgColor rgb="FFFFF2CC"/>
      </patternFill>
    </fill>
    <fill>
      <patternFill patternType="solid">
        <fgColor rgb="FFE2EFDA"/>
        <bgColor rgb="FFDEEAF1"/>
      </patternFill>
    </fill>
    <fill>
      <patternFill patternType="solid">
        <fgColor rgb="FF00695C"/>
        <bgColor rgb="FF008080"/>
      </patternFill>
    </fill>
    <fill>
      <patternFill patternType="solid">
        <fgColor rgb="FFFFFFFF"/>
        <bgColor rgb="FFFFF8DC"/>
      </patternFill>
    </fill>
    <fill>
      <patternFill patternType="solid">
        <fgColor rgb="FF375623"/>
        <bgColor rgb="FF404040"/>
      </patternFill>
    </fill>
    <fill>
      <patternFill patternType="solid">
        <fgColor rgb="FFBDD7EE"/>
        <bgColor rgb="FFCCCCCC"/>
      </patternFill>
    </fill>
    <fill>
      <patternFill patternType="solid">
        <fgColor rgb="FFE2D9F3"/>
        <bgColor rgb="FFDEEAF1"/>
      </patternFill>
    </fill>
    <fill>
      <patternFill patternType="solid">
        <fgColor rgb="FFFFF2CC"/>
        <bgColor rgb="FFFFF8DC"/>
      </patternFill>
    </fill>
    <fill>
      <patternFill patternType="solid">
        <fgColor rgb="FFDEEAF1"/>
        <bgColor rgb="FFE2EFDA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thin">
        <color rgb="FF595959"/>
      </top>
      <bottom style="medium"/>
      <diagonal/>
    </border>
    <border diagonalUp="false" diagonalDown="false">
      <left style="medium"/>
      <right style="medium"/>
      <top style="thin">
        <color rgb="FF595959"/>
      </top>
      <bottom style="medium"/>
      <diagonal/>
    </border>
    <border diagonalUp="false" diagonalDown="false">
      <left style="medium"/>
      <right style="medium"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1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4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5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6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6" fillId="11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1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9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1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695C"/>
      <rgbColor rgb="FFCCCCCC"/>
      <rgbColor rgb="FF808080"/>
      <rgbColor rgb="FF9999FF"/>
      <rgbColor rgb="FF7030A0"/>
      <rgbColor rgb="FFFFF8DC"/>
      <rgbColor rgb="FFDEEA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2CC"/>
      <rgbColor rgb="FFE2D9F3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AAAAAA"/>
      <rgbColor rgb="FF1F3864"/>
      <rgbColor rgb="FF339966"/>
      <rgbColor rgb="FF003300"/>
      <rgbColor rgb="FF375623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  <col collapsed="false" customWidth="true" hidden="false" outlineLevel="0" max="3" min="3" style="1" width="16"/>
    <col collapsed="false" customWidth="true" hidden="false" outlineLevel="0" max="4" min="4" style="1" width="28"/>
    <col collapsed="false" customWidth="true" hidden="false" outlineLevel="0" max="9" min="5" style="1" width="16"/>
  </cols>
  <sheetData>
    <row r="1" customFormat="false" ht="45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</row>
    <row r="3" customFormat="false" ht="6" hidden="false" customHeight="true" outlineLevel="0" collapsed="false"/>
    <row r="4" customFormat="false" ht="21.75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  <c r="I4" s="4"/>
    </row>
    <row r="5" customFormat="false" ht="19.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</row>
    <row r="6" customFormat="false" ht="19.5" hidden="false" customHeight="true" outlineLevel="0" collapsed="false">
      <c r="A6" s="6" t="s">
        <v>8</v>
      </c>
      <c r="B6" s="7" t="s">
        <v>9</v>
      </c>
      <c r="C6" s="6" t="s">
        <v>10</v>
      </c>
      <c r="D6" s="8" t="s">
        <v>11</v>
      </c>
      <c r="E6" s="9" t="s">
        <v>12</v>
      </c>
      <c r="F6" s="9"/>
      <c r="G6" s="9"/>
      <c r="H6" s="9"/>
      <c r="I6" s="9"/>
    </row>
    <row r="7" customFormat="false" ht="19.5" hidden="false" customHeight="true" outlineLevel="0" collapsed="false">
      <c r="A7" s="10" t="s">
        <v>13</v>
      </c>
      <c r="B7" s="11" t="s">
        <v>14</v>
      </c>
      <c r="C7" s="10" t="s">
        <v>15</v>
      </c>
      <c r="D7" s="12" t="s">
        <v>16</v>
      </c>
      <c r="E7" s="13" t="s">
        <v>17</v>
      </c>
      <c r="F7" s="13"/>
      <c r="G7" s="13"/>
      <c r="H7" s="13"/>
      <c r="I7" s="13"/>
    </row>
    <row r="8" customFormat="false" ht="19.5" hidden="false" customHeight="true" outlineLevel="0" collapsed="false">
      <c r="A8" s="14" t="s">
        <v>18</v>
      </c>
      <c r="B8" s="15" t="s">
        <v>19</v>
      </c>
      <c r="C8" s="14" t="s">
        <v>20</v>
      </c>
      <c r="D8" s="16" t="s">
        <v>21</v>
      </c>
      <c r="E8" s="17" t="s">
        <v>22</v>
      </c>
      <c r="F8" s="17"/>
      <c r="G8" s="17"/>
      <c r="H8" s="17"/>
      <c r="I8" s="17"/>
    </row>
    <row r="9" customFormat="false" ht="19.5" hidden="false" customHeight="true" outlineLevel="0" collapsed="false">
      <c r="A9" s="18" t="s">
        <v>23</v>
      </c>
      <c r="B9" s="19" t="s">
        <v>24</v>
      </c>
      <c r="C9" s="18" t="s">
        <v>25</v>
      </c>
      <c r="D9" s="20" t="s">
        <v>26</v>
      </c>
      <c r="E9" s="21" t="s">
        <v>27</v>
      </c>
      <c r="F9" s="21"/>
      <c r="G9" s="21"/>
      <c r="H9" s="21"/>
      <c r="I9" s="21"/>
    </row>
    <row r="11" customFormat="false" ht="21.75" hidden="false" customHeight="true" outlineLevel="0" collapsed="false">
      <c r="A11" s="22" t="s">
        <v>28</v>
      </c>
      <c r="B11" s="22"/>
      <c r="C11" s="22"/>
      <c r="D11" s="22"/>
      <c r="E11" s="22"/>
      <c r="F11" s="22"/>
      <c r="G11" s="22"/>
      <c r="H11" s="22"/>
      <c r="I11" s="22"/>
    </row>
    <row r="12" customFormat="false" ht="18" hidden="false" customHeight="true" outlineLevel="0" collapsed="false">
      <c r="A12" s="5" t="s">
        <v>29</v>
      </c>
      <c r="B12" s="5" t="s">
        <v>30</v>
      </c>
      <c r="C12" s="5" t="s">
        <v>31</v>
      </c>
    </row>
    <row r="13" customFormat="false" ht="19.5" hidden="false" customHeight="true" outlineLevel="0" collapsed="false">
      <c r="A13" s="23" t="s">
        <v>32</v>
      </c>
      <c r="B13" s="24" t="s">
        <v>33</v>
      </c>
      <c r="C13" s="25" t="s">
        <v>34</v>
      </c>
      <c r="D13" s="25"/>
      <c r="E13" s="25"/>
      <c r="F13" s="25"/>
      <c r="G13" s="25"/>
      <c r="H13" s="25"/>
      <c r="I13" s="25"/>
    </row>
    <row r="14" customFormat="false" ht="19.5" hidden="false" customHeight="true" outlineLevel="0" collapsed="false">
      <c r="A14" s="26" t="s">
        <v>35</v>
      </c>
      <c r="B14" s="27" t="s">
        <v>36</v>
      </c>
      <c r="C14" s="28" t="s">
        <v>37</v>
      </c>
      <c r="D14" s="28"/>
      <c r="E14" s="28"/>
      <c r="F14" s="28"/>
      <c r="G14" s="28"/>
      <c r="H14" s="28"/>
      <c r="I14" s="28"/>
    </row>
    <row r="15" customFormat="false" ht="19.5" hidden="false" customHeight="true" outlineLevel="0" collapsed="false">
      <c r="A15" s="23" t="s">
        <v>4</v>
      </c>
      <c r="B15" s="24" t="s">
        <v>38</v>
      </c>
      <c r="C15" s="25" t="s">
        <v>39</v>
      </c>
      <c r="D15" s="25"/>
      <c r="E15" s="25"/>
      <c r="F15" s="25"/>
      <c r="G15" s="25"/>
      <c r="H15" s="25"/>
      <c r="I15" s="25"/>
    </row>
    <row r="16" customFormat="false" ht="19.5" hidden="false" customHeight="true" outlineLevel="0" collapsed="false">
      <c r="A16" s="26" t="s">
        <v>40</v>
      </c>
      <c r="B16" s="27" t="s">
        <v>41</v>
      </c>
      <c r="C16" s="28" t="s">
        <v>42</v>
      </c>
      <c r="D16" s="28"/>
      <c r="E16" s="28"/>
      <c r="F16" s="28"/>
      <c r="G16" s="28"/>
      <c r="H16" s="28"/>
      <c r="I16" s="28"/>
    </row>
    <row r="17" customFormat="false" ht="19.5" hidden="false" customHeight="true" outlineLevel="0" collapsed="false">
      <c r="A17" s="23" t="s">
        <v>43</v>
      </c>
      <c r="B17" s="24" t="s">
        <v>44</v>
      </c>
      <c r="C17" s="25" t="s">
        <v>45</v>
      </c>
      <c r="D17" s="25"/>
      <c r="E17" s="25"/>
      <c r="F17" s="25"/>
      <c r="G17" s="25"/>
      <c r="H17" s="25"/>
      <c r="I17" s="25"/>
    </row>
    <row r="19" customFormat="false" ht="21.75" hidden="false" customHeight="true" outlineLevel="0" collapsed="false">
      <c r="A19" s="29" t="s">
        <v>46</v>
      </c>
      <c r="B19" s="29"/>
      <c r="C19" s="29"/>
      <c r="D19" s="29"/>
      <c r="E19" s="29"/>
      <c r="F19" s="29"/>
      <c r="G19" s="29"/>
      <c r="H19" s="29"/>
      <c r="I19" s="29"/>
    </row>
    <row r="20" customFormat="false" ht="18" hidden="false" customHeight="true" outlineLevel="0" collapsed="false">
      <c r="A20" s="5" t="s">
        <v>47</v>
      </c>
      <c r="B20" s="5" t="s">
        <v>48</v>
      </c>
      <c r="C20" s="5" t="s">
        <v>49</v>
      </c>
      <c r="D20" s="5" t="s">
        <v>50</v>
      </c>
    </row>
    <row r="21" customFormat="false" ht="18" hidden="false" customHeight="true" outlineLevel="0" collapsed="false">
      <c r="A21" s="30" t="s">
        <v>51</v>
      </c>
      <c r="B21" s="31" t="s">
        <v>52</v>
      </c>
      <c r="C21" s="23" t="s">
        <v>53</v>
      </c>
      <c r="D21" s="9" t="s">
        <v>54</v>
      </c>
      <c r="E21" s="9"/>
      <c r="F21" s="9"/>
      <c r="G21" s="9"/>
      <c r="H21" s="9"/>
      <c r="I21" s="9"/>
    </row>
    <row r="22" customFormat="false" ht="18" hidden="false" customHeight="true" outlineLevel="0" collapsed="false">
      <c r="A22" s="30" t="s">
        <v>55</v>
      </c>
      <c r="B22" s="32" t="s">
        <v>56</v>
      </c>
      <c r="C22" s="26" t="s">
        <v>53</v>
      </c>
      <c r="D22" s="33" t="s">
        <v>57</v>
      </c>
      <c r="E22" s="33"/>
      <c r="F22" s="33"/>
      <c r="G22" s="33"/>
      <c r="H22" s="33"/>
      <c r="I22" s="33"/>
    </row>
    <row r="23" customFormat="false" ht="18" hidden="false" customHeight="true" outlineLevel="0" collapsed="false">
      <c r="A23" s="30" t="s">
        <v>58</v>
      </c>
      <c r="B23" s="31" t="s">
        <v>59</v>
      </c>
      <c r="C23" s="23" t="s">
        <v>53</v>
      </c>
      <c r="D23" s="9" t="s">
        <v>60</v>
      </c>
      <c r="E23" s="9"/>
      <c r="F23" s="9"/>
      <c r="G23" s="9"/>
      <c r="H23" s="9"/>
      <c r="I23" s="9"/>
    </row>
    <row r="24" customFormat="false" ht="18" hidden="false" customHeight="true" outlineLevel="0" collapsed="false">
      <c r="A24" s="30" t="s">
        <v>61</v>
      </c>
      <c r="B24" s="32" t="s">
        <v>62</v>
      </c>
      <c r="C24" s="26" t="s">
        <v>53</v>
      </c>
      <c r="D24" s="33" t="s">
        <v>63</v>
      </c>
      <c r="E24" s="33"/>
      <c r="F24" s="33"/>
      <c r="G24" s="33"/>
      <c r="H24" s="33"/>
      <c r="I24" s="33"/>
    </row>
    <row r="25" customFormat="false" ht="18" hidden="false" customHeight="true" outlineLevel="0" collapsed="false">
      <c r="A25" s="30" t="s">
        <v>64</v>
      </c>
      <c r="B25" s="31" t="s">
        <v>65</v>
      </c>
      <c r="C25" s="23" t="s">
        <v>53</v>
      </c>
      <c r="D25" s="9" t="s">
        <v>66</v>
      </c>
      <c r="E25" s="9"/>
      <c r="F25" s="9"/>
      <c r="G25" s="9"/>
      <c r="H25" s="9"/>
      <c r="I25" s="9"/>
    </row>
    <row r="26" customFormat="false" ht="18" hidden="false" customHeight="true" outlineLevel="0" collapsed="false">
      <c r="A26" s="30" t="s">
        <v>67</v>
      </c>
      <c r="B26" s="32" t="s">
        <v>68</v>
      </c>
      <c r="C26" s="26" t="s">
        <v>53</v>
      </c>
      <c r="D26" s="33" t="s">
        <v>69</v>
      </c>
      <c r="E26" s="33"/>
      <c r="F26" s="33"/>
      <c r="G26" s="33"/>
      <c r="H26" s="33"/>
      <c r="I26" s="33"/>
    </row>
    <row r="27" customFormat="false" ht="18" hidden="false" customHeight="true" outlineLevel="0" collapsed="false">
      <c r="A27" s="30" t="s">
        <v>70</v>
      </c>
      <c r="B27" s="31" t="s">
        <v>71</v>
      </c>
      <c r="C27" s="23" t="s">
        <v>53</v>
      </c>
      <c r="D27" s="9" t="s">
        <v>72</v>
      </c>
      <c r="E27" s="9"/>
      <c r="F27" s="9"/>
      <c r="G27" s="9"/>
      <c r="H27" s="9"/>
      <c r="I27" s="9"/>
    </row>
    <row r="28" customFormat="false" ht="18" hidden="false" customHeight="true" outlineLevel="0" collapsed="false">
      <c r="A28" s="30" t="s">
        <v>73</v>
      </c>
      <c r="B28" s="32" t="s">
        <v>74</v>
      </c>
      <c r="C28" s="26" t="s">
        <v>53</v>
      </c>
      <c r="D28" s="33" t="s">
        <v>75</v>
      </c>
      <c r="E28" s="33"/>
      <c r="F28" s="33"/>
      <c r="G28" s="33"/>
      <c r="H28" s="33"/>
      <c r="I28" s="33"/>
    </row>
    <row r="29" customFormat="false" ht="18" hidden="false" customHeight="true" outlineLevel="0" collapsed="false">
      <c r="A29" s="30" t="s">
        <v>76</v>
      </c>
      <c r="B29" s="31" t="s">
        <v>77</v>
      </c>
      <c r="C29" s="23" t="s">
        <v>53</v>
      </c>
      <c r="D29" s="9" t="s">
        <v>78</v>
      </c>
      <c r="E29" s="9"/>
      <c r="F29" s="9"/>
      <c r="G29" s="9"/>
      <c r="H29" s="9"/>
      <c r="I29" s="9"/>
    </row>
    <row r="30" customFormat="false" ht="18" hidden="false" customHeight="true" outlineLevel="0" collapsed="false">
      <c r="A30" s="30" t="s">
        <v>79</v>
      </c>
      <c r="B30" s="32" t="s">
        <v>80</v>
      </c>
      <c r="C30" s="26" t="s">
        <v>53</v>
      </c>
      <c r="D30" s="33" t="s">
        <v>81</v>
      </c>
      <c r="E30" s="33"/>
      <c r="F30" s="33"/>
      <c r="G30" s="33"/>
      <c r="H30" s="33"/>
      <c r="I30" s="33"/>
    </row>
    <row r="31" customFormat="false" ht="18" hidden="false" customHeight="true" outlineLevel="0" collapsed="false">
      <c r="A31" s="30" t="s">
        <v>82</v>
      </c>
      <c r="B31" s="31" t="s">
        <v>83</v>
      </c>
      <c r="C31" s="23" t="s">
        <v>53</v>
      </c>
      <c r="D31" s="9" t="s">
        <v>84</v>
      </c>
      <c r="E31" s="9"/>
      <c r="F31" s="9"/>
      <c r="G31" s="9"/>
      <c r="H31" s="9"/>
      <c r="I31" s="9"/>
    </row>
    <row r="32" customFormat="false" ht="18" hidden="false" customHeight="true" outlineLevel="0" collapsed="false">
      <c r="A32" s="34" t="s">
        <v>85</v>
      </c>
      <c r="B32" s="32" t="s">
        <v>86</v>
      </c>
      <c r="C32" s="35" t="s">
        <v>87</v>
      </c>
      <c r="D32" s="33" t="s">
        <v>88</v>
      </c>
      <c r="E32" s="33"/>
      <c r="F32" s="33"/>
      <c r="G32" s="33"/>
      <c r="H32" s="33"/>
      <c r="I32" s="33"/>
    </row>
    <row r="34" customFormat="false" ht="21.75" hidden="false" customHeight="true" outlineLevel="0" collapsed="false">
      <c r="A34" s="36" t="s">
        <v>89</v>
      </c>
      <c r="B34" s="36"/>
      <c r="C34" s="36"/>
      <c r="D34" s="36"/>
      <c r="E34" s="36"/>
      <c r="F34" s="36"/>
      <c r="G34" s="36"/>
      <c r="H34" s="36"/>
      <c r="I34" s="36"/>
    </row>
    <row r="35" customFormat="false" ht="18" hidden="false" customHeight="true" outlineLevel="0" collapsed="false">
      <c r="A35" s="37" t="s">
        <v>90</v>
      </c>
      <c r="B35" s="37"/>
      <c r="C35" s="37"/>
      <c r="D35" s="37"/>
      <c r="E35" s="37"/>
      <c r="F35" s="37"/>
      <c r="G35" s="37"/>
      <c r="H35" s="37"/>
      <c r="I35" s="37"/>
    </row>
    <row r="36" customFormat="false" ht="18" hidden="false" customHeight="true" outlineLevel="0" collapsed="false">
      <c r="A36" s="38" t="s">
        <v>91</v>
      </c>
      <c r="B36" s="38"/>
      <c r="C36" s="38"/>
      <c r="D36" s="38"/>
      <c r="E36" s="38"/>
      <c r="F36" s="38"/>
      <c r="G36" s="38"/>
      <c r="H36" s="38"/>
      <c r="I36" s="38"/>
    </row>
    <row r="37" customFormat="false" ht="18" hidden="false" customHeight="true" outlineLevel="0" collapsed="false">
      <c r="A37" s="37" t="s">
        <v>92</v>
      </c>
      <c r="B37" s="37"/>
      <c r="C37" s="37"/>
      <c r="D37" s="37"/>
      <c r="E37" s="37"/>
      <c r="F37" s="37"/>
      <c r="G37" s="37"/>
      <c r="H37" s="37"/>
      <c r="I37" s="37"/>
    </row>
    <row r="38" customFormat="false" ht="18" hidden="false" customHeight="true" outlineLevel="0" collapsed="false">
      <c r="A38" s="38" t="s">
        <v>93</v>
      </c>
      <c r="B38" s="38"/>
      <c r="C38" s="38"/>
      <c r="D38" s="38"/>
      <c r="E38" s="38"/>
      <c r="F38" s="38"/>
      <c r="G38" s="38"/>
      <c r="H38" s="38"/>
      <c r="I38" s="38"/>
    </row>
    <row r="39" customFormat="false" ht="18" hidden="false" customHeight="true" outlineLevel="0" collapsed="false">
      <c r="A39" s="37" t="s">
        <v>94</v>
      </c>
      <c r="B39" s="37"/>
      <c r="C39" s="37"/>
      <c r="D39" s="37"/>
      <c r="E39" s="37"/>
      <c r="F39" s="37"/>
      <c r="G39" s="37"/>
      <c r="H39" s="37"/>
      <c r="I39" s="37"/>
    </row>
    <row r="40" customFormat="false" ht="18" hidden="false" customHeight="true" outlineLevel="0" collapsed="false">
      <c r="A40" s="38" t="s">
        <v>95</v>
      </c>
      <c r="B40" s="38"/>
      <c r="C40" s="38"/>
      <c r="D40" s="38"/>
      <c r="E40" s="38"/>
      <c r="F40" s="38"/>
      <c r="G40" s="38"/>
      <c r="H40" s="38"/>
      <c r="I40" s="38"/>
    </row>
    <row r="41" customFormat="false" ht="18" hidden="false" customHeight="true" outlineLevel="0" collapsed="false">
      <c r="A41" s="37" t="s">
        <v>96</v>
      </c>
      <c r="B41" s="37"/>
      <c r="C41" s="37"/>
      <c r="D41" s="37"/>
      <c r="E41" s="37"/>
      <c r="F41" s="37"/>
      <c r="G41" s="37"/>
      <c r="H41" s="37"/>
      <c r="I41" s="37"/>
    </row>
  </sheetData>
  <mergeCells count="34">
    <mergeCell ref="A1:I1"/>
    <mergeCell ref="A2:I2"/>
    <mergeCell ref="A4:I4"/>
    <mergeCell ref="E6:I6"/>
    <mergeCell ref="E7:I7"/>
    <mergeCell ref="E8:I8"/>
    <mergeCell ref="E9:I9"/>
    <mergeCell ref="A11:I11"/>
    <mergeCell ref="C13:I13"/>
    <mergeCell ref="C14:I14"/>
    <mergeCell ref="C15:I15"/>
    <mergeCell ref="C16:I16"/>
    <mergeCell ref="C17:I17"/>
    <mergeCell ref="A19:I19"/>
    <mergeCell ref="D21:I21"/>
    <mergeCell ref="D22:I22"/>
    <mergeCell ref="D23:I23"/>
    <mergeCell ref="D24:I24"/>
    <mergeCell ref="D25:I25"/>
    <mergeCell ref="D26:I26"/>
    <mergeCell ref="D27:I27"/>
    <mergeCell ref="D28:I28"/>
    <mergeCell ref="D29:I29"/>
    <mergeCell ref="D30:I30"/>
    <mergeCell ref="D31:I31"/>
    <mergeCell ref="D32:I32"/>
    <mergeCell ref="A34:I34"/>
    <mergeCell ref="A35:I35"/>
    <mergeCell ref="A36:I36"/>
    <mergeCell ref="A37:I37"/>
    <mergeCell ref="A38:I38"/>
    <mergeCell ref="A39:I39"/>
    <mergeCell ref="A40:I40"/>
    <mergeCell ref="A41:I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32"/>
    <col collapsed="false" customWidth="true" hidden="false" outlineLevel="0" max="14" min="3" style="1" width="10"/>
    <col collapsed="false" customWidth="true" hidden="false" outlineLevel="0" max="17" min="15" style="1" width="9"/>
    <col collapsed="false" customWidth="true" hidden="false" outlineLevel="0" max="32" min="18" style="1" width="8"/>
  </cols>
  <sheetData>
    <row r="1" customFormat="false" ht="36" hidden="false" customHeight="true" outlineLevel="0" collapsed="false">
      <c r="A1" s="39" t="s">
        <v>97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</row>
    <row r="2" customFormat="false" ht="13.5" hidden="false" customHeight="true" outlineLevel="0" collapsed="false">
      <c r="A2" s="40" t="s">
        <v>98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</row>
    <row r="3" customFormat="false" ht="4.5" hidden="false" customHeight="true" outlineLevel="0" collapsed="false"/>
    <row r="4" customFormat="false" ht="18" hidden="false" customHeight="true" outlineLevel="0" collapsed="false">
      <c r="A4" s="41" t="s">
        <v>99</v>
      </c>
      <c r="B4" s="41"/>
      <c r="C4" s="42" t="s">
        <v>53</v>
      </c>
      <c r="D4" s="42" t="s">
        <v>53</v>
      </c>
      <c r="E4" s="42" t="s">
        <v>53</v>
      </c>
      <c r="F4" s="42" t="s">
        <v>53</v>
      </c>
      <c r="G4" s="42" t="s">
        <v>53</v>
      </c>
      <c r="H4" s="42" t="s">
        <v>53</v>
      </c>
      <c r="I4" s="42" t="s">
        <v>53</v>
      </c>
      <c r="J4" s="42" t="s">
        <v>53</v>
      </c>
      <c r="K4" s="42" t="s">
        <v>53</v>
      </c>
      <c r="L4" s="42" t="s">
        <v>53</v>
      </c>
      <c r="M4" s="42" t="s">
        <v>53</v>
      </c>
      <c r="N4" s="43" t="s">
        <v>87</v>
      </c>
      <c r="O4" s="44" t="s">
        <v>100</v>
      </c>
      <c r="P4" s="30" t="s">
        <v>3</v>
      </c>
      <c r="Q4" s="45" t="s">
        <v>4</v>
      </c>
      <c r="R4" s="46" t="s">
        <v>101</v>
      </c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7" t="s">
        <v>102</v>
      </c>
      <c r="AE4" s="47"/>
      <c r="AF4" s="47"/>
    </row>
    <row r="5" customFormat="false" ht="21.75" hidden="false" customHeight="true" outlineLevel="0" collapsed="false">
      <c r="A5" s="5" t="s">
        <v>103</v>
      </c>
      <c r="B5" s="5" t="s">
        <v>104</v>
      </c>
      <c r="C5" s="48" t="s">
        <v>105</v>
      </c>
      <c r="D5" s="48" t="s">
        <v>106</v>
      </c>
      <c r="E5" s="48" t="s">
        <v>59</v>
      </c>
      <c r="F5" s="48" t="s">
        <v>62</v>
      </c>
      <c r="G5" s="48" t="s">
        <v>107</v>
      </c>
      <c r="H5" s="48" t="s">
        <v>108</v>
      </c>
      <c r="I5" s="48" t="s">
        <v>109</v>
      </c>
      <c r="J5" s="48" t="s">
        <v>110</v>
      </c>
      <c r="K5" s="48" t="s">
        <v>111</v>
      </c>
      <c r="L5" s="48" t="s">
        <v>112</v>
      </c>
      <c r="M5" s="48" t="s">
        <v>113</v>
      </c>
      <c r="N5" s="49" t="s">
        <v>114</v>
      </c>
      <c r="O5" s="50" t="s">
        <v>115</v>
      </c>
      <c r="P5" s="51" t="s">
        <v>116</v>
      </c>
      <c r="Q5" s="52" t="s">
        <v>117</v>
      </c>
      <c r="R5" s="30" t="s">
        <v>118</v>
      </c>
      <c r="S5" s="30" t="s">
        <v>119</v>
      </c>
      <c r="T5" s="30" t="s">
        <v>120</v>
      </c>
      <c r="U5" s="30" t="s">
        <v>121</v>
      </c>
      <c r="V5" s="30" t="s">
        <v>122</v>
      </c>
      <c r="W5" s="30" t="s">
        <v>123</v>
      </c>
      <c r="X5" s="30" t="s">
        <v>124</v>
      </c>
      <c r="Y5" s="30" t="s">
        <v>125</v>
      </c>
      <c r="Z5" s="30" t="s">
        <v>126</v>
      </c>
      <c r="AA5" s="30" t="s">
        <v>127</v>
      </c>
      <c r="AB5" s="30" t="s">
        <v>128</v>
      </c>
      <c r="AC5" s="30" t="s">
        <v>129</v>
      </c>
      <c r="AD5" s="34" t="s">
        <v>130</v>
      </c>
      <c r="AE5" s="34" t="s">
        <v>131</v>
      </c>
      <c r="AF5" s="34" t="s">
        <v>132</v>
      </c>
    </row>
    <row r="6" customFormat="false" ht="15.75" hidden="false" customHeight="true" outlineLevel="0" collapsed="false">
      <c r="A6" s="53"/>
      <c r="B6" s="54" t="s">
        <v>133</v>
      </c>
      <c r="C6" s="55" t="s">
        <v>51</v>
      </c>
      <c r="D6" s="55" t="s">
        <v>55</v>
      </c>
      <c r="E6" s="55" t="s">
        <v>58</v>
      </c>
      <c r="F6" s="55" t="s">
        <v>61</v>
      </c>
      <c r="G6" s="55" t="s">
        <v>64</v>
      </c>
      <c r="H6" s="55" t="s">
        <v>67</v>
      </c>
      <c r="I6" s="55" t="s">
        <v>70</v>
      </c>
      <c r="J6" s="55" t="s">
        <v>73</v>
      </c>
      <c r="K6" s="55" t="s">
        <v>76</v>
      </c>
      <c r="L6" s="55" t="s">
        <v>79</v>
      </c>
      <c r="M6" s="55" t="s">
        <v>82</v>
      </c>
      <c r="N6" s="55" t="s">
        <v>85</v>
      </c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</row>
    <row r="7" customFormat="false" ht="13.5" hidden="false" customHeight="true" outlineLevel="0" collapsed="false">
      <c r="A7" s="56" t="s">
        <v>134</v>
      </c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</row>
    <row r="8" customFormat="false" ht="19.5" hidden="false" customHeight="true" outlineLevel="0" collapsed="false">
      <c r="A8" s="57" t="s">
        <v>135</v>
      </c>
      <c r="B8" s="31" t="s">
        <v>136</v>
      </c>
      <c r="C8" s="58" t="n">
        <v>1</v>
      </c>
      <c r="D8" s="58" t="n">
        <v>1</v>
      </c>
      <c r="E8" s="59" t="n">
        <v>0</v>
      </c>
      <c r="F8" s="59" t="n">
        <v>0</v>
      </c>
      <c r="G8" s="59" t="n">
        <v>0</v>
      </c>
      <c r="H8" s="58" t="n">
        <v>1</v>
      </c>
      <c r="I8" s="59" t="n">
        <v>0</v>
      </c>
      <c r="J8" s="58" t="n">
        <v>1</v>
      </c>
      <c r="K8" s="59" t="n">
        <v>0</v>
      </c>
      <c r="L8" s="59" t="n">
        <v>0</v>
      </c>
      <c r="M8" s="59" t="n">
        <v>0</v>
      </c>
      <c r="N8" s="58" t="n">
        <v>1</v>
      </c>
      <c r="O8" s="60" t="n">
        <f aca="false">COUNTIF(C8:N8,1)</f>
        <v>5</v>
      </c>
      <c r="P8" s="61" t="n">
        <f aca="false">IF(O8&gt;=4,3,IF(O8&gt;=3,2,IF(O8&gt;=1,1,0)))</f>
        <v>3</v>
      </c>
      <c r="Q8" s="62" t="str">
        <f aca="false">IF(P8=0,"—",TEXT(P8,"0"))</f>
        <v>3</v>
      </c>
      <c r="R8" s="63" t="str">
        <f aca="false">IF(P8=0,"—",TEXT(P8,"0"))</f>
        <v>3</v>
      </c>
      <c r="S8" s="63" t="str">
        <f aca="false">IF(P8=0,"—",TEXT(P8,"0"))</f>
        <v>3</v>
      </c>
      <c r="T8" s="63" t="str">
        <f aca="false">IF(P8=0,"—",TEXT(P8,"0"))</f>
        <v>3</v>
      </c>
      <c r="U8" s="64" t="s">
        <v>9</v>
      </c>
      <c r="V8" s="64" t="s">
        <v>9</v>
      </c>
      <c r="W8" s="64" t="s">
        <v>9</v>
      </c>
      <c r="X8" s="64" t="s">
        <v>9</v>
      </c>
      <c r="Y8" s="64" t="s">
        <v>9</v>
      </c>
      <c r="Z8" s="64" t="s">
        <v>9</v>
      </c>
      <c r="AA8" s="64" t="s">
        <v>9</v>
      </c>
      <c r="AB8" s="64" t="s">
        <v>9</v>
      </c>
      <c r="AC8" s="63" t="str">
        <f aca="false">IF(P8=0,"—",TEXT(P8,"0"))</f>
        <v>3</v>
      </c>
      <c r="AD8" s="64" t="s">
        <v>9</v>
      </c>
      <c r="AE8" s="64" t="s">
        <v>9</v>
      </c>
      <c r="AF8" s="64" t="s">
        <v>9</v>
      </c>
    </row>
    <row r="9" customFormat="false" ht="19.5" hidden="false" customHeight="true" outlineLevel="0" collapsed="false">
      <c r="A9" s="57" t="s">
        <v>137</v>
      </c>
      <c r="B9" s="32" t="s">
        <v>138</v>
      </c>
      <c r="C9" s="58" t="n">
        <v>1</v>
      </c>
      <c r="D9" s="58" t="n">
        <v>1</v>
      </c>
      <c r="E9" s="59" t="n">
        <v>0</v>
      </c>
      <c r="F9" s="59" t="n">
        <v>0</v>
      </c>
      <c r="G9" s="59" t="n">
        <v>0</v>
      </c>
      <c r="H9" s="58" t="n">
        <v>1</v>
      </c>
      <c r="I9" s="58" t="n">
        <v>1</v>
      </c>
      <c r="J9" s="58" t="n">
        <v>1</v>
      </c>
      <c r="K9" s="59" t="n">
        <v>0</v>
      </c>
      <c r="L9" s="59" t="n">
        <v>0</v>
      </c>
      <c r="M9" s="59" t="n">
        <v>0</v>
      </c>
      <c r="N9" s="58" t="n">
        <v>1</v>
      </c>
      <c r="O9" s="60" t="n">
        <f aca="false">COUNTIF(C9:N9,1)</f>
        <v>6</v>
      </c>
      <c r="P9" s="61" t="n">
        <f aca="false">IF(O9&gt;=4,3,IF(O9&gt;=3,2,IF(O9&gt;=1,1,0)))</f>
        <v>3</v>
      </c>
      <c r="Q9" s="62" t="str">
        <f aca="false">IF(P9=0,"—",TEXT(P9,"0"))</f>
        <v>3</v>
      </c>
      <c r="R9" s="65" t="str">
        <f aca="false">IF(P9=0,"—",TEXT(P9,"0"))</f>
        <v>3</v>
      </c>
      <c r="S9" s="65" t="str">
        <f aca="false">IF(P9=0,"—",TEXT(P9,"0"))</f>
        <v>3</v>
      </c>
      <c r="T9" s="65" t="str">
        <f aca="false">IF(P9=0,"—",TEXT(P9,"0"))</f>
        <v>3</v>
      </c>
      <c r="U9" s="65" t="str">
        <f aca="false">IF(P9=0,"—",TEXT(P9,"0"))</f>
        <v>3</v>
      </c>
      <c r="V9" s="66" t="s">
        <v>9</v>
      </c>
      <c r="W9" s="66" t="s">
        <v>9</v>
      </c>
      <c r="X9" s="66" t="s">
        <v>9</v>
      </c>
      <c r="Y9" s="66" t="s">
        <v>9</v>
      </c>
      <c r="Z9" s="66" t="s">
        <v>9</v>
      </c>
      <c r="AA9" s="66" t="s">
        <v>9</v>
      </c>
      <c r="AB9" s="66" t="s">
        <v>9</v>
      </c>
      <c r="AC9" s="65" t="str">
        <f aca="false">IF(P9=0,"—",TEXT(P9,"0"))</f>
        <v>3</v>
      </c>
      <c r="AD9" s="66" t="s">
        <v>9</v>
      </c>
      <c r="AE9" s="66" t="s">
        <v>9</v>
      </c>
      <c r="AF9" s="66" t="s">
        <v>9</v>
      </c>
    </row>
    <row r="10" customFormat="false" ht="19.5" hidden="false" customHeight="true" outlineLevel="0" collapsed="false">
      <c r="A10" s="57" t="s">
        <v>139</v>
      </c>
      <c r="B10" s="31" t="s">
        <v>140</v>
      </c>
      <c r="C10" s="58" t="n">
        <v>1</v>
      </c>
      <c r="D10" s="58" t="n">
        <v>1</v>
      </c>
      <c r="E10" s="58" t="n">
        <v>1</v>
      </c>
      <c r="F10" s="59" t="n">
        <v>0</v>
      </c>
      <c r="G10" s="59" t="n">
        <v>0</v>
      </c>
      <c r="H10" s="58" t="n">
        <v>1</v>
      </c>
      <c r="I10" s="58" t="n">
        <v>1</v>
      </c>
      <c r="J10" s="58" t="n">
        <v>1</v>
      </c>
      <c r="K10" s="59" t="n">
        <v>0</v>
      </c>
      <c r="L10" s="59" t="n">
        <v>0</v>
      </c>
      <c r="M10" s="59" t="n">
        <v>0</v>
      </c>
      <c r="N10" s="59" t="n">
        <v>0</v>
      </c>
      <c r="O10" s="60" t="n">
        <f aca="false">COUNTIF(C10:N10,1)</f>
        <v>6</v>
      </c>
      <c r="P10" s="61" t="n">
        <f aca="false">IF(O10&gt;=4,3,IF(O10&gt;=3,2,IF(O10&gt;=1,1,0)))</f>
        <v>3</v>
      </c>
      <c r="Q10" s="62" t="str">
        <f aca="false">IF(P10=0,"—",TEXT(P10,"0"))</f>
        <v>3</v>
      </c>
      <c r="R10" s="63" t="str">
        <f aca="false">IF(P10=0,"—",TEXT(P10,"0"))</f>
        <v>3</v>
      </c>
      <c r="S10" s="63" t="str">
        <f aca="false">IF(P10=0,"—",TEXT(P10,"0"))</f>
        <v>3</v>
      </c>
      <c r="T10" s="63" t="str">
        <f aca="false">IF(P10=0,"—",TEXT(P10,"0"))</f>
        <v>3</v>
      </c>
      <c r="U10" s="63" t="str">
        <f aca="false">IF(P10=0,"—",TEXT(P10,"0"))</f>
        <v>3</v>
      </c>
      <c r="V10" s="63" t="str">
        <f aca="false">IF(P10=0,"—",TEXT(P10,"0"))</f>
        <v>3</v>
      </c>
      <c r="W10" s="64" t="s">
        <v>9</v>
      </c>
      <c r="X10" s="64" t="s">
        <v>9</v>
      </c>
      <c r="Y10" s="64" t="s">
        <v>9</v>
      </c>
      <c r="Z10" s="64" t="s">
        <v>9</v>
      </c>
      <c r="AA10" s="64" t="s">
        <v>9</v>
      </c>
      <c r="AB10" s="64" t="s">
        <v>9</v>
      </c>
      <c r="AC10" s="63" t="str">
        <f aca="false">IF(P10=0,"—",TEXT(P10,"0"))</f>
        <v>3</v>
      </c>
      <c r="AD10" s="64" t="s">
        <v>9</v>
      </c>
      <c r="AE10" s="64" t="s">
        <v>9</v>
      </c>
      <c r="AF10" s="64" t="s">
        <v>9</v>
      </c>
    </row>
    <row r="11" customFormat="false" ht="19.5" hidden="false" customHeight="true" outlineLevel="0" collapsed="false">
      <c r="A11" s="57" t="s">
        <v>141</v>
      </c>
      <c r="B11" s="32" t="s">
        <v>142</v>
      </c>
      <c r="C11" s="58" t="n">
        <v>1</v>
      </c>
      <c r="D11" s="58" t="n">
        <v>1</v>
      </c>
      <c r="E11" s="59" t="n">
        <v>0</v>
      </c>
      <c r="F11" s="58" t="n">
        <v>1</v>
      </c>
      <c r="G11" s="59" t="n">
        <v>0</v>
      </c>
      <c r="H11" s="58" t="n">
        <v>1</v>
      </c>
      <c r="I11" s="59" t="n">
        <v>0</v>
      </c>
      <c r="J11" s="58" t="n">
        <v>1</v>
      </c>
      <c r="K11" s="59" t="n">
        <v>0</v>
      </c>
      <c r="L11" s="59" t="n">
        <v>0</v>
      </c>
      <c r="M11" s="59" t="n">
        <v>0</v>
      </c>
      <c r="N11" s="58" t="n">
        <v>1</v>
      </c>
      <c r="O11" s="60" t="n">
        <f aca="false">COUNTIF(C11:N11,1)</f>
        <v>6</v>
      </c>
      <c r="P11" s="61" t="n">
        <f aca="false">IF(O11&gt;=4,3,IF(O11&gt;=3,2,IF(O11&gt;=1,1,0)))</f>
        <v>3</v>
      </c>
      <c r="Q11" s="62" t="str">
        <f aca="false">IF(P11=0,"—",TEXT(P11,"0"))</f>
        <v>3</v>
      </c>
      <c r="R11" s="65" t="str">
        <f aca="false">IF(P11=0,"—",TEXT(P11,"0"))</f>
        <v>3</v>
      </c>
      <c r="S11" s="65" t="str">
        <f aca="false">IF(P11=0,"—",TEXT(P11,"0"))</f>
        <v>3</v>
      </c>
      <c r="T11" s="65" t="str">
        <f aca="false">IF(P11=0,"—",TEXT(P11,"0"))</f>
        <v>3</v>
      </c>
      <c r="U11" s="66" t="s">
        <v>9</v>
      </c>
      <c r="V11" s="66" t="s">
        <v>9</v>
      </c>
      <c r="W11" s="66" t="s">
        <v>9</v>
      </c>
      <c r="X11" s="66" t="s">
        <v>9</v>
      </c>
      <c r="Y11" s="66" t="s">
        <v>9</v>
      </c>
      <c r="Z11" s="66" t="s">
        <v>9</v>
      </c>
      <c r="AA11" s="66" t="s">
        <v>9</v>
      </c>
      <c r="AB11" s="66" t="s">
        <v>9</v>
      </c>
      <c r="AC11" s="65" t="str">
        <f aca="false">IF(P11=0,"—",TEXT(P11,"0"))</f>
        <v>3</v>
      </c>
      <c r="AD11" s="66" t="s">
        <v>9</v>
      </c>
      <c r="AE11" s="66" t="s">
        <v>9</v>
      </c>
      <c r="AF11" s="66" t="s">
        <v>9</v>
      </c>
    </row>
    <row r="12" customFormat="false" ht="19.5" hidden="false" customHeight="true" outlineLevel="0" collapsed="false">
      <c r="A12" s="57" t="s">
        <v>143</v>
      </c>
      <c r="B12" s="31" t="s">
        <v>144</v>
      </c>
      <c r="C12" s="58" t="n">
        <v>1</v>
      </c>
      <c r="D12" s="58" t="n">
        <v>1</v>
      </c>
      <c r="E12" s="59" t="n">
        <v>0</v>
      </c>
      <c r="F12" s="59" t="n">
        <v>0</v>
      </c>
      <c r="G12" s="58" t="n">
        <v>1</v>
      </c>
      <c r="H12" s="58" t="n">
        <v>1</v>
      </c>
      <c r="I12" s="59" t="n">
        <v>0</v>
      </c>
      <c r="J12" s="58" t="n">
        <v>1</v>
      </c>
      <c r="K12" s="59" t="n">
        <v>0</v>
      </c>
      <c r="L12" s="58" t="n">
        <v>1</v>
      </c>
      <c r="M12" s="59" t="n">
        <v>0</v>
      </c>
      <c r="N12" s="58" t="n">
        <v>1</v>
      </c>
      <c r="O12" s="60" t="n">
        <f aca="false">COUNTIF(C12:N12,1)</f>
        <v>7</v>
      </c>
      <c r="P12" s="61" t="n">
        <f aca="false">IF(O12&gt;=4,3,IF(O12&gt;=3,2,IF(O12&gt;=1,1,0)))</f>
        <v>3</v>
      </c>
      <c r="Q12" s="62" t="str">
        <f aca="false">IF(P12=0,"—",TEXT(P12,"0"))</f>
        <v>3</v>
      </c>
      <c r="R12" s="63" t="str">
        <f aca="false">IF(P12=0,"—",TEXT(P12,"0"))</f>
        <v>3</v>
      </c>
      <c r="S12" s="63" t="str">
        <f aca="false">IF(P12=0,"—",TEXT(P12,"0"))</f>
        <v>3</v>
      </c>
      <c r="T12" s="64" t="s">
        <v>9</v>
      </c>
      <c r="U12" s="64" t="s">
        <v>9</v>
      </c>
      <c r="V12" s="64" t="s">
        <v>9</v>
      </c>
      <c r="W12" s="64" t="s">
        <v>9</v>
      </c>
      <c r="X12" s="64" t="s">
        <v>9</v>
      </c>
      <c r="Y12" s="64" t="s">
        <v>9</v>
      </c>
      <c r="Z12" s="64" t="s">
        <v>9</v>
      </c>
      <c r="AA12" s="64" t="s">
        <v>9</v>
      </c>
      <c r="AB12" s="64" t="s">
        <v>9</v>
      </c>
      <c r="AC12" s="63" t="str">
        <f aca="false">IF(P12=0,"—",TEXT(P12,"0"))</f>
        <v>3</v>
      </c>
      <c r="AD12" s="64" t="s">
        <v>9</v>
      </c>
      <c r="AE12" s="64" t="s">
        <v>9</v>
      </c>
      <c r="AF12" s="64" t="s">
        <v>9</v>
      </c>
    </row>
    <row r="14" customFormat="false" ht="21.75" hidden="false" customHeight="true" outlineLevel="0" collapsed="false">
      <c r="A14" s="67" t="s">
        <v>145</v>
      </c>
      <c r="B14" s="67"/>
      <c r="C14" s="68" t="n">
        <f aca="false">COUNTIF(C8:C12,1)</f>
        <v>5</v>
      </c>
      <c r="D14" s="68" t="n">
        <f aca="false">COUNTIF(D8:D12,1)</f>
        <v>5</v>
      </c>
      <c r="E14" s="68" t="n">
        <f aca="false">COUNTIF(E8:E12,1)</f>
        <v>1</v>
      </c>
      <c r="F14" s="68" t="n">
        <f aca="false">COUNTIF(F8:F12,1)</f>
        <v>1</v>
      </c>
      <c r="G14" s="68" t="n">
        <f aca="false">COUNTIF(G8:G12,1)</f>
        <v>1</v>
      </c>
      <c r="H14" s="68" t="n">
        <f aca="false">COUNTIF(H8:H12,1)</f>
        <v>5</v>
      </c>
      <c r="I14" s="68" t="n">
        <f aca="false">COUNTIF(I8:I12,1)</f>
        <v>2</v>
      </c>
      <c r="J14" s="68" t="n">
        <f aca="false">COUNTIF(J8:J12,1)</f>
        <v>5</v>
      </c>
      <c r="K14" s="68" t="n">
        <f aca="false">COUNTIF(K8:K12,1)</f>
        <v>0</v>
      </c>
      <c r="L14" s="68" t="n">
        <f aca="false">COUNTIF(L8:L12,1)</f>
        <v>1</v>
      </c>
      <c r="M14" s="68" t="n">
        <f aca="false">COUNTIF(M8:M12,1)</f>
        <v>0</v>
      </c>
      <c r="N14" s="68" t="n">
        <f aca="false">COUNTIF(N8:N12,1)</f>
        <v>4</v>
      </c>
      <c r="O14" s="68" t="n">
        <f aca="false">SUM(O8:O12)</f>
        <v>30</v>
      </c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</row>
    <row r="15" customFormat="false" ht="21.75" hidden="false" customHeight="true" outlineLevel="0" collapsed="false">
      <c r="A15" s="46" t="s">
        <v>146</v>
      </c>
      <c r="B15" s="46"/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1" t="n">
        <f aca="false">IFERROR(AVERAGE(O8:O12),0)</f>
        <v>6</v>
      </c>
      <c r="P15" s="71" t="n">
        <f aca="false">IFERROR(AVERAGE(P8:P12),0)</f>
        <v>3</v>
      </c>
      <c r="Q15" s="70"/>
      <c r="R15" s="71" t="str">
        <f aca="false">IFERROR(AVERAGEIF(R8:R12,"&lt;&gt;—"),"")</f>
        <v/>
      </c>
      <c r="S15" s="71" t="str">
        <f aca="false">IFERROR(AVERAGEIF(S8:S12,"&lt;&gt;—"),"")</f>
        <v/>
      </c>
      <c r="T15" s="71" t="str">
        <f aca="false">IFERROR(AVERAGEIF(T8:T12,"&lt;&gt;—"),"")</f>
        <v/>
      </c>
      <c r="U15" s="71" t="str">
        <f aca="false">IFERROR(AVERAGEIF(U8:U12,"&lt;&gt;—"),"")</f>
        <v/>
      </c>
      <c r="V15" s="71" t="str">
        <f aca="false">IFERROR(AVERAGEIF(V8:V12,"&lt;&gt;—"),"")</f>
        <v/>
      </c>
      <c r="W15" s="71" t="str">
        <f aca="false">IFERROR(AVERAGEIF(W8:W12,"&lt;&gt;—"),"")</f>
        <v/>
      </c>
      <c r="X15" s="71" t="str">
        <f aca="false">IFERROR(AVERAGEIF(X8:X12,"&lt;&gt;—"),"")</f>
        <v/>
      </c>
      <c r="Y15" s="71" t="str">
        <f aca="false">IFERROR(AVERAGEIF(Y8:Y12,"&lt;&gt;—"),"")</f>
        <v/>
      </c>
      <c r="Z15" s="71" t="str">
        <f aca="false">IFERROR(AVERAGEIF(Z8:Z12,"&lt;&gt;—"),"")</f>
        <v/>
      </c>
      <c r="AA15" s="71" t="str">
        <f aca="false">IFERROR(AVERAGEIF(AA8:AA12,"&lt;&gt;—"),"")</f>
        <v/>
      </c>
      <c r="AB15" s="71" t="str">
        <f aca="false">IFERROR(AVERAGEIF(AB8:AB12,"&lt;&gt;—"),"")</f>
        <v/>
      </c>
      <c r="AC15" s="71" t="str">
        <f aca="false">IFERROR(AVERAGEIF(AC8:AC12,"&lt;&gt;—"),"")</f>
        <v/>
      </c>
      <c r="AD15" s="71" t="str">
        <f aca="false">IFERROR(AVERAGEIF(AD8:AD12,"&lt;&gt;—"),"")</f>
        <v/>
      </c>
      <c r="AE15" s="71" t="str">
        <f aca="false">IFERROR(AVERAGEIF(AE8:AE12,"&lt;&gt;—"),"")</f>
        <v/>
      </c>
      <c r="AF15" s="71" t="str">
        <f aca="false">IFERROR(AVERAGEIF(AF8:AF12,"&lt;&gt;—"),"")</f>
        <v/>
      </c>
    </row>
  </sheetData>
  <mergeCells count="8">
    <mergeCell ref="A1:AF1"/>
    <mergeCell ref="A2:AF2"/>
    <mergeCell ref="A4:B4"/>
    <mergeCell ref="R4:AC4"/>
    <mergeCell ref="AD4:AF4"/>
    <mergeCell ref="A7:AF7"/>
    <mergeCell ref="A14:B14"/>
    <mergeCell ref="A15:B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32"/>
    <col collapsed="false" customWidth="true" hidden="false" outlineLevel="0" max="14" min="3" style="1" width="10"/>
    <col collapsed="false" customWidth="true" hidden="false" outlineLevel="0" max="17" min="15" style="1" width="9"/>
    <col collapsed="false" customWidth="true" hidden="false" outlineLevel="0" max="32" min="18" style="1" width="8"/>
  </cols>
  <sheetData>
    <row r="1" customFormat="false" ht="36" hidden="false" customHeight="true" outlineLevel="0" collapsed="false">
      <c r="A1" s="39" t="s">
        <v>147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</row>
    <row r="2" customFormat="false" ht="13.5" hidden="false" customHeight="true" outlineLevel="0" collapsed="false">
      <c r="A2" s="40" t="s">
        <v>98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</row>
    <row r="3" customFormat="false" ht="4.5" hidden="false" customHeight="true" outlineLevel="0" collapsed="false"/>
    <row r="4" customFormat="false" ht="18" hidden="false" customHeight="true" outlineLevel="0" collapsed="false">
      <c r="A4" s="41" t="s">
        <v>99</v>
      </c>
      <c r="B4" s="41"/>
      <c r="C4" s="42" t="s">
        <v>53</v>
      </c>
      <c r="D4" s="42" t="s">
        <v>53</v>
      </c>
      <c r="E4" s="42" t="s">
        <v>53</v>
      </c>
      <c r="F4" s="42" t="s">
        <v>53</v>
      </c>
      <c r="G4" s="42" t="s">
        <v>53</v>
      </c>
      <c r="H4" s="42" t="s">
        <v>53</v>
      </c>
      <c r="I4" s="42" t="s">
        <v>53</v>
      </c>
      <c r="J4" s="42" t="s">
        <v>53</v>
      </c>
      <c r="K4" s="42" t="s">
        <v>53</v>
      </c>
      <c r="L4" s="42" t="s">
        <v>53</v>
      </c>
      <c r="M4" s="42" t="s">
        <v>53</v>
      </c>
      <c r="N4" s="43" t="s">
        <v>87</v>
      </c>
      <c r="O4" s="44" t="s">
        <v>100</v>
      </c>
      <c r="P4" s="30" t="s">
        <v>3</v>
      </c>
      <c r="Q4" s="45" t="s">
        <v>4</v>
      </c>
      <c r="R4" s="46" t="s">
        <v>101</v>
      </c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7" t="s">
        <v>102</v>
      </c>
      <c r="AE4" s="47"/>
      <c r="AF4" s="47"/>
    </row>
    <row r="5" customFormat="false" ht="21.75" hidden="false" customHeight="true" outlineLevel="0" collapsed="false">
      <c r="A5" s="5" t="s">
        <v>103</v>
      </c>
      <c r="B5" s="5" t="s">
        <v>104</v>
      </c>
      <c r="C5" s="48" t="s">
        <v>105</v>
      </c>
      <c r="D5" s="48" t="s">
        <v>106</v>
      </c>
      <c r="E5" s="48" t="s">
        <v>59</v>
      </c>
      <c r="F5" s="48" t="s">
        <v>62</v>
      </c>
      <c r="G5" s="48" t="s">
        <v>107</v>
      </c>
      <c r="H5" s="48" t="s">
        <v>108</v>
      </c>
      <c r="I5" s="48" t="s">
        <v>109</v>
      </c>
      <c r="J5" s="48" t="s">
        <v>110</v>
      </c>
      <c r="K5" s="48" t="s">
        <v>111</v>
      </c>
      <c r="L5" s="48" t="s">
        <v>112</v>
      </c>
      <c r="M5" s="48" t="s">
        <v>113</v>
      </c>
      <c r="N5" s="49" t="s">
        <v>114</v>
      </c>
      <c r="O5" s="50" t="s">
        <v>115</v>
      </c>
      <c r="P5" s="51" t="s">
        <v>116</v>
      </c>
      <c r="Q5" s="52" t="s">
        <v>117</v>
      </c>
      <c r="R5" s="30" t="s">
        <v>118</v>
      </c>
      <c r="S5" s="30" t="s">
        <v>119</v>
      </c>
      <c r="T5" s="30" t="s">
        <v>120</v>
      </c>
      <c r="U5" s="30" t="s">
        <v>121</v>
      </c>
      <c r="V5" s="30" t="s">
        <v>122</v>
      </c>
      <c r="W5" s="30" t="s">
        <v>123</v>
      </c>
      <c r="X5" s="30" t="s">
        <v>124</v>
      </c>
      <c r="Y5" s="30" t="s">
        <v>125</v>
      </c>
      <c r="Z5" s="30" t="s">
        <v>126</v>
      </c>
      <c r="AA5" s="30" t="s">
        <v>127</v>
      </c>
      <c r="AB5" s="30" t="s">
        <v>128</v>
      </c>
      <c r="AC5" s="30" t="s">
        <v>129</v>
      </c>
      <c r="AD5" s="34" t="s">
        <v>130</v>
      </c>
      <c r="AE5" s="34" t="s">
        <v>131</v>
      </c>
      <c r="AF5" s="34" t="s">
        <v>132</v>
      </c>
    </row>
    <row r="6" customFormat="false" ht="15.75" hidden="false" customHeight="true" outlineLevel="0" collapsed="false">
      <c r="A6" s="53"/>
      <c r="B6" s="54" t="s">
        <v>133</v>
      </c>
      <c r="C6" s="55" t="s">
        <v>51</v>
      </c>
      <c r="D6" s="55" t="s">
        <v>55</v>
      </c>
      <c r="E6" s="55" t="s">
        <v>58</v>
      </c>
      <c r="F6" s="55" t="s">
        <v>61</v>
      </c>
      <c r="G6" s="55" t="s">
        <v>64</v>
      </c>
      <c r="H6" s="55" t="s">
        <v>67</v>
      </c>
      <c r="I6" s="55" t="s">
        <v>70</v>
      </c>
      <c r="J6" s="55" t="s">
        <v>73</v>
      </c>
      <c r="K6" s="55" t="s">
        <v>76</v>
      </c>
      <c r="L6" s="55" t="s">
        <v>79</v>
      </c>
      <c r="M6" s="55" t="s">
        <v>82</v>
      </c>
      <c r="N6" s="55" t="s">
        <v>85</v>
      </c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</row>
    <row r="7" customFormat="false" ht="13.5" hidden="false" customHeight="true" outlineLevel="0" collapsed="false">
      <c r="A7" s="56" t="s">
        <v>134</v>
      </c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</row>
    <row r="8" customFormat="false" ht="19.5" hidden="false" customHeight="true" outlineLevel="0" collapsed="false">
      <c r="A8" s="57" t="s">
        <v>135</v>
      </c>
      <c r="B8" s="31" t="s">
        <v>148</v>
      </c>
      <c r="C8" s="58" t="n">
        <v>1</v>
      </c>
      <c r="D8" s="58" t="n">
        <v>1</v>
      </c>
      <c r="E8" s="59" t="n">
        <v>0</v>
      </c>
      <c r="F8" s="59" t="n">
        <v>0</v>
      </c>
      <c r="G8" s="59" t="n">
        <v>0</v>
      </c>
      <c r="H8" s="58" t="n">
        <v>1</v>
      </c>
      <c r="I8" s="59" t="n">
        <v>0</v>
      </c>
      <c r="J8" s="58" t="n">
        <v>1</v>
      </c>
      <c r="K8" s="59" t="n">
        <v>0</v>
      </c>
      <c r="L8" s="59" t="n">
        <v>0</v>
      </c>
      <c r="M8" s="59" t="n">
        <v>0</v>
      </c>
      <c r="N8" s="58" t="n">
        <v>1</v>
      </c>
      <c r="O8" s="60" t="n">
        <f aca="false">COUNTIF(C8:N8,1)</f>
        <v>5</v>
      </c>
      <c r="P8" s="61" t="n">
        <f aca="false">IF(O8&gt;=4,3,IF(O8&gt;=3,2,IF(O8&gt;=1,1,0)))</f>
        <v>3</v>
      </c>
      <c r="Q8" s="62" t="str">
        <f aca="false">IF(P8=0,"—",TEXT(P8,"0"))</f>
        <v>3</v>
      </c>
      <c r="R8" s="63" t="str">
        <f aca="false">IF(P8=0,"—",TEXT(P8,"0"))</f>
        <v>3</v>
      </c>
      <c r="S8" s="63" t="str">
        <f aca="false">IF(P8=0,"—",TEXT(P8,"0"))</f>
        <v>3</v>
      </c>
      <c r="T8" s="63" t="str">
        <f aca="false">IF(P8=0,"—",TEXT(P8,"0"))</f>
        <v>3</v>
      </c>
      <c r="U8" s="64" t="s">
        <v>9</v>
      </c>
      <c r="V8" s="64" t="s">
        <v>9</v>
      </c>
      <c r="W8" s="64" t="s">
        <v>9</v>
      </c>
      <c r="X8" s="64" t="s">
        <v>9</v>
      </c>
      <c r="Y8" s="64" t="s">
        <v>9</v>
      </c>
      <c r="Z8" s="64" t="s">
        <v>9</v>
      </c>
      <c r="AA8" s="64" t="s">
        <v>9</v>
      </c>
      <c r="AB8" s="64" t="s">
        <v>9</v>
      </c>
      <c r="AC8" s="63" t="str">
        <f aca="false">IF(P8=0,"—",TEXT(P8,"0"))</f>
        <v>3</v>
      </c>
      <c r="AD8" s="64" t="s">
        <v>9</v>
      </c>
      <c r="AE8" s="64" t="s">
        <v>9</v>
      </c>
      <c r="AF8" s="64" t="s">
        <v>9</v>
      </c>
    </row>
    <row r="9" customFormat="false" ht="19.5" hidden="false" customHeight="true" outlineLevel="0" collapsed="false">
      <c r="A9" s="57" t="s">
        <v>137</v>
      </c>
      <c r="B9" s="32" t="s">
        <v>149</v>
      </c>
      <c r="C9" s="58" t="n">
        <v>1</v>
      </c>
      <c r="D9" s="58" t="n">
        <v>1</v>
      </c>
      <c r="E9" s="59" t="n">
        <v>0</v>
      </c>
      <c r="F9" s="59" t="n">
        <v>0</v>
      </c>
      <c r="G9" s="58" t="n">
        <v>1</v>
      </c>
      <c r="H9" s="58" t="n">
        <v>1</v>
      </c>
      <c r="I9" s="58" t="n">
        <v>1</v>
      </c>
      <c r="J9" s="58" t="n">
        <v>1</v>
      </c>
      <c r="K9" s="58" t="n">
        <v>1</v>
      </c>
      <c r="L9" s="59" t="n">
        <v>0</v>
      </c>
      <c r="M9" s="59" t="n">
        <v>0</v>
      </c>
      <c r="N9" s="58" t="n">
        <v>1</v>
      </c>
      <c r="O9" s="60" t="n">
        <f aca="false">COUNTIF(C9:N9,1)</f>
        <v>8</v>
      </c>
      <c r="P9" s="61" t="n">
        <f aca="false">IF(O9&gt;=4,3,IF(O9&gt;=3,2,IF(O9&gt;=1,1,0)))</f>
        <v>3</v>
      </c>
      <c r="Q9" s="62" t="str">
        <f aca="false">IF(P9=0,"—",TEXT(P9,"0"))</f>
        <v>3</v>
      </c>
      <c r="R9" s="65" t="str">
        <f aca="false">IF(P9=0,"—",TEXT(P9,"0"))</f>
        <v>3</v>
      </c>
      <c r="S9" s="65" t="str">
        <f aca="false">IF(P9=0,"—",TEXT(P9,"0"))</f>
        <v>3</v>
      </c>
      <c r="T9" s="65" t="str">
        <f aca="false">IF(P9=0,"—",TEXT(P9,"0"))</f>
        <v>3</v>
      </c>
      <c r="U9" s="66" t="s">
        <v>9</v>
      </c>
      <c r="V9" s="65" t="str">
        <f aca="false">IF(P9=0,"—",TEXT(P9,"0"))</f>
        <v>3</v>
      </c>
      <c r="W9" s="66" t="s">
        <v>9</v>
      </c>
      <c r="X9" s="66" t="s">
        <v>9</v>
      </c>
      <c r="Y9" s="66" t="s">
        <v>9</v>
      </c>
      <c r="Z9" s="66" t="s">
        <v>9</v>
      </c>
      <c r="AA9" s="66" t="s">
        <v>9</v>
      </c>
      <c r="AB9" s="66" t="s">
        <v>9</v>
      </c>
      <c r="AC9" s="65" t="str">
        <f aca="false">IF(P9=0,"—",TEXT(P9,"0"))</f>
        <v>3</v>
      </c>
      <c r="AD9" s="66" t="s">
        <v>9</v>
      </c>
      <c r="AE9" s="66" t="s">
        <v>9</v>
      </c>
      <c r="AF9" s="66" t="s">
        <v>9</v>
      </c>
    </row>
    <row r="10" customFormat="false" ht="19.5" hidden="false" customHeight="true" outlineLevel="0" collapsed="false">
      <c r="A10" s="57" t="s">
        <v>139</v>
      </c>
      <c r="B10" s="31" t="s">
        <v>150</v>
      </c>
      <c r="C10" s="58" t="n">
        <v>1</v>
      </c>
      <c r="D10" s="58" t="n">
        <v>1</v>
      </c>
      <c r="E10" s="58" t="n">
        <v>1</v>
      </c>
      <c r="F10" s="59" t="n">
        <v>0</v>
      </c>
      <c r="G10" s="59" t="n">
        <v>0</v>
      </c>
      <c r="H10" s="58" t="n">
        <v>1</v>
      </c>
      <c r="I10" s="59" t="n">
        <v>0</v>
      </c>
      <c r="J10" s="58" t="n">
        <v>1</v>
      </c>
      <c r="K10" s="59" t="n">
        <v>0</v>
      </c>
      <c r="L10" s="59" t="n">
        <v>0</v>
      </c>
      <c r="M10" s="59" t="n">
        <v>0</v>
      </c>
      <c r="N10" s="59" t="n">
        <v>0</v>
      </c>
      <c r="O10" s="60" t="n">
        <f aca="false">COUNTIF(C10:N10,1)</f>
        <v>5</v>
      </c>
      <c r="P10" s="61" t="n">
        <f aca="false">IF(O10&gt;=4,3,IF(O10&gt;=3,2,IF(O10&gt;=1,1,0)))</f>
        <v>3</v>
      </c>
      <c r="Q10" s="62" t="str">
        <f aca="false">IF(P10=0,"—",TEXT(P10,"0"))</f>
        <v>3</v>
      </c>
      <c r="R10" s="63" t="str">
        <f aca="false">IF(P10=0,"—",TEXT(P10,"0"))</f>
        <v>3</v>
      </c>
      <c r="S10" s="63" t="str">
        <f aca="false">IF(P10=0,"—",TEXT(P10,"0"))</f>
        <v>3</v>
      </c>
      <c r="T10" s="63" t="str">
        <f aca="false">IF(P10=0,"—",TEXT(P10,"0"))</f>
        <v>3</v>
      </c>
      <c r="U10" s="64" t="s">
        <v>9</v>
      </c>
      <c r="V10" s="64" t="s">
        <v>9</v>
      </c>
      <c r="W10" s="64" t="s">
        <v>9</v>
      </c>
      <c r="X10" s="64" t="s">
        <v>9</v>
      </c>
      <c r="Y10" s="64" t="s">
        <v>9</v>
      </c>
      <c r="Z10" s="64" t="s">
        <v>9</v>
      </c>
      <c r="AA10" s="64" t="s">
        <v>9</v>
      </c>
      <c r="AB10" s="64" t="s">
        <v>9</v>
      </c>
      <c r="AC10" s="63" t="str">
        <f aca="false">IF(P10=0,"—",TEXT(P10,"0"))</f>
        <v>3</v>
      </c>
      <c r="AD10" s="64" t="s">
        <v>9</v>
      </c>
      <c r="AE10" s="64" t="s">
        <v>9</v>
      </c>
      <c r="AF10" s="64" t="s">
        <v>9</v>
      </c>
    </row>
    <row r="11" customFormat="false" ht="19.5" hidden="false" customHeight="true" outlineLevel="0" collapsed="false">
      <c r="A11" s="57" t="s">
        <v>141</v>
      </c>
      <c r="B11" s="32" t="s">
        <v>151</v>
      </c>
      <c r="C11" s="58" t="n">
        <v>1</v>
      </c>
      <c r="D11" s="58" t="n">
        <v>1</v>
      </c>
      <c r="E11" s="59" t="n">
        <v>0</v>
      </c>
      <c r="F11" s="59" t="n">
        <v>0</v>
      </c>
      <c r="G11" s="59" t="n">
        <v>0</v>
      </c>
      <c r="H11" s="58" t="n">
        <v>1</v>
      </c>
      <c r="I11" s="59" t="n">
        <v>0</v>
      </c>
      <c r="J11" s="58" t="n">
        <v>1</v>
      </c>
      <c r="K11" s="59" t="n">
        <v>0</v>
      </c>
      <c r="L11" s="58" t="n">
        <v>1</v>
      </c>
      <c r="M11" s="59" t="n">
        <v>0</v>
      </c>
      <c r="N11" s="58" t="n">
        <v>1</v>
      </c>
      <c r="O11" s="60" t="n">
        <f aca="false">COUNTIF(C11:N11,1)</f>
        <v>6</v>
      </c>
      <c r="P11" s="61" t="n">
        <f aca="false">IF(O11&gt;=4,3,IF(O11&gt;=3,2,IF(O11&gt;=1,1,0)))</f>
        <v>3</v>
      </c>
      <c r="Q11" s="62" t="str">
        <f aca="false">IF(P11=0,"—",TEXT(P11,"0"))</f>
        <v>3</v>
      </c>
      <c r="R11" s="65" t="str">
        <f aca="false">IF(P11=0,"—",TEXT(P11,"0"))</f>
        <v>3</v>
      </c>
      <c r="S11" s="65" t="str">
        <f aca="false">IF(P11=0,"—",TEXT(P11,"0"))</f>
        <v>3</v>
      </c>
      <c r="T11" s="65" t="str">
        <f aca="false">IF(P11=0,"—",TEXT(P11,"0"))</f>
        <v>3</v>
      </c>
      <c r="U11" s="65" t="str">
        <f aca="false">IF(P11=0,"—",TEXT(P11,"0"))</f>
        <v>3</v>
      </c>
      <c r="V11" s="66" t="s">
        <v>9</v>
      </c>
      <c r="W11" s="66" t="s">
        <v>9</v>
      </c>
      <c r="X11" s="66" t="s">
        <v>9</v>
      </c>
      <c r="Y11" s="66" t="s">
        <v>9</v>
      </c>
      <c r="Z11" s="66" t="s">
        <v>9</v>
      </c>
      <c r="AA11" s="66" t="s">
        <v>9</v>
      </c>
      <c r="AB11" s="66" t="s">
        <v>9</v>
      </c>
      <c r="AC11" s="65" t="str">
        <f aca="false">IF(P11=0,"—",TEXT(P11,"0"))</f>
        <v>3</v>
      </c>
      <c r="AD11" s="66" t="s">
        <v>9</v>
      </c>
      <c r="AE11" s="66" t="s">
        <v>9</v>
      </c>
      <c r="AF11" s="66" t="s">
        <v>9</v>
      </c>
    </row>
    <row r="12" customFormat="false" ht="19.5" hidden="false" customHeight="true" outlineLevel="0" collapsed="false">
      <c r="A12" s="57" t="s">
        <v>143</v>
      </c>
      <c r="B12" s="31" t="s">
        <v>152</v>
      </c>
      <c r="C12" s="58" t="n">
        <v>1</v>
      </c>
      <c r="D12" s="58" t="n">
        <v>1</v>
      </c>
      <c r="E12" s="59" t="n">
        <v>0</v>
      </c>
      <c r="F12" s="59" t="n">
        <v>0</v>
      </c>
      <c r="G12" s="59" t="n">
        <v>0</v>
      </c>
      <c r="H12" s="58" t="n">
        <v>1</v>
      </c>
      <c r="I12" s="58" t="n">
        <v>1</v>
      </c>
      <c r="J12" s="58" t="n">
        <v>1</v>
      </c>
      <c r="K12" s="59" t="n">
        <v>0</v>
      </c>
      <c r="L12" s="59" t="n">
        <v>0</v>
      </c>
      <c r="M12" s="58" t="n">
        <v>1</v>
      </c>
      <c r="N12" s="58" t="n">
        <v>1</v>
      </c>
      <c r="O12" s="60" t="n">
        <f aca="false">COUNTIF(C12:N12,1)</f>
        <v>7</v>
      </c>
      <c r="P12" s="61" t="n">
        <f aca="false">IF(O12&gt;=4,3,IF(O12&gt;=3,2,IF(O12&gt;=1,1,0)))</f>
        <v>3</v>
      </c>
      <c r="Q12" s="62" t="str">
        <f aca="false">IF(P12=0,"—",TEXT(P12,"0"))</f>
        <v>3</v>
      </c>
      <c r="R12" s="63" t="str">
        <f aca="false">IF(P12=0,"—",TEXT(P12,"0"))</f>
        <v>3</v>
      </c>
      <c r="S12" s="63" t="str">
        <f aca="false">IF(P12=0,"—",TEXT(P12,"0"))</f>
        <v>3</v>
      </c>
      <c r="T12" s="64" t="s">
        <v>9</v>
      </c>
      <c r="U12" s="63" t="str">
        <f aca="false">IF(P12=0,"—",TEXT(P12,"0"))</f>
        <v>3</v>
      </c>
      <c r="V12" s="63" t="str">
        <f aca="false">IF(P12=0,"—",TEXT(P12,"0"))</f>
        <v>3</v>
      </c>
      <c r="W12" s="64" t="s">
        <v>9</v>
      </c>
      <c r="X12" s="64" t="s">
        <v>9</v>
      </c>
      <c r="Y12" s="64" t="s">
        <v>9</v>
      </c>
      <c r="Z12" s="64" t="s">
        <v>9</v>
      </c>
      <c r="AA12" s="64" t="s">
        <v>9</v>
      </c>
      <c r="AB12" s="64" t="s">
        <v>9</v>
      </c>
      <c r="AC12" s="63" t="str">
        <f aca="false">IF(P12=0,"—",TEXT(P12,"0"))</f>
        <v>3</v>
      </c>
      <c r="AD12" s="64" t="s">
        <v>9</v>
      </c>
      <c r="AE12" s="64" t="s">
        <v>9</v>
      </c>
      <c r="AF12" s="64" t="s">
        <v>9</v>
      </c>
    </row>
    <row r="14" customFormat="false" ht="21.75" hidden="false" customHeight="true" outlineLevel="0" collapsed="false">
      <c r="A14" s="67" t="s">
        <v>145</v>
      </c>
      <c r="B14" s="67"/>
      <c r="C14" s="68" t="n">
        <f aca="false">COUNTIF(C8:C12,1)</f>
        <v>5</v>
      </c>
      <c r="D14" s="68" t="n">
        <f aca="false">COUNTIF(D8:D12,1)</f>
        <v>5</v>
      </c>
      <c r="E14" s="68" t="n">
        <f aca="false">COUNTIF(E8:E12,1)</f>
        <v>1</v>
      </c>
      <c r="F14" s="68" t="n">
        <f aca="false">COUNTIF(F8:F12,1)</f>
        <v>0</v>
      </c>
      <c r="G14" s="68" t="n">
        <f aca="false">COUNTIF(G8:G12,1)</f>
        <v>1</v>
      </c>
      <c r="H14" s="68" t="n">
        <f aca="false">COUNTIF(H8:H12,1)</f>
        <v>5</v>
      </c>
      <c r="I14" s="68" t="n">
        <f aca="false">COUNTIF(I8:I12,1)</f>
        <v>2</v>
      </c>
      <c r="J14" s="68" t="n">
        <f aca="false">COUNTIF(J8:J12,1)</f>
        <v>5</v>
      </c>
      <c r="K14" s="68" t="n">
        <f aca="false">COUNTIF(K8:K12,1)</f>
        <v>1</v>
      </c>
      <c r="L14" s="68" t="n">
        <f aca="false">COUNTIF(L8:L12,1)</f>
        <v>1</v>
      </c>
      <c r="M14" s="68" t="n">
        <f aca="false">COUNTIF(M8:M12,1)</f>
        <v>1</v>
      </c>
      <c r="N14" s="68" t="n">
        <f aca="false">COUNTIF(N8:N12,1)</f>
        <v>4</v>
      </c>
      <c r="O14" s="68" t="n">
        <f aca="false">SUM(O8:O12)</f>
        <v>31</v>
      </c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</row>
    <row r="15" customFormat="false" ht="21.75" hidden="false" customHeight="true" outlineLevel="0" collapsed="false">
      <c r="A15" s="46" t="s">
        <v>146</v>
      </c>
      <c r="B15" s="46"/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1" t="n">
        <f aca="false">IFERROR(AVERAGE(O8:O12),0)</f>
        <v>6.2</v>
      </c>
      <c r="P15" s="71" t="n">
        <f aca="false">IFERROR(AVERAGE(P8:P12),0)</f>
        <v>3</v>
      </c>
      <c r="Q15" s="70"/>
      <c r="R15" s="71" t="str">
        <f aca="false">IFERROR(AVERAGEIF(R8:R12,"&lt;&gt;—"),"")</f>
        <v/>
      </c>
      <c r="S15" s="71" t="str">
        <f aca="false">IFERROR(AVERAGEIF(S8:S12,"&lt;&gt;—"),"")</f>
        <v/>
      </c>
      <c r="T15" s="71" t="str">
        <f aca="false">IFERROR(AVERAGEIF(T8:T12,"&lt;&gt;—"),"")</f>
        <v/>
      </c>
      <c r="U15" s="71" t="str">
        <f aca="false">IFERROR(AVERAGEIF(U8:U12,"&lt;&gt;—"),"")</f>
        <v/>
      </c>
      <c r="V15" s="71" t="str">
        <f aca="false">IFERROR(AVERAGEIF(V8:V12,"&lt;&gt;—"),"")</f>
        <v/>
      </c>
      <c r="W15" s="71" t="str">
        <f aca="false">IFERROR(AVERAGEIF(W8:W12,"&lt;&gt;—"),"")</f>
        <v/>
      </c>
      <c r="X15" s="71" t="str">
        <f aca="false">IFERROR(AVERAGEIF(X8:X12,"&lt;&gt;—"),"")</f>
        <v/>
      </c>
      <c r="Y15" s="71" t="str">
        <f aca="false">IFERROR(AVERAGEIF(Y8:Y12,"&lt;&gt;—"),"")</f>
        <v/>
      </c>
      <c r="Z15" s="71" t="str">
        <f aca="false">IFERROR(AVERAGEIF(Z8:Z12,"&lt;&gt;—"),"")</f>
        <v/>
      </c>
      <c r="AA15" s="71" t="str">
        <f aca="false">IFERROR(AVERAGEIF(AA8:AA12,"&lt;&gt;—"),"")</f>
        <v/>
      </c>
      <c r="AB15" s="71" t="str">
        <f aca="false">IFERROR(AVERAGEIF(AB8:AB12,"&lt;&gt;—"),"")</f>
        <v/>
      </c>
      <c r="AC15" s="71" t="str">
        <f aca="false">IFERROR(AVERAGEIF(AC8:AC12,"&lt;&gt;—"),"")</f>
        <v/>
      </c>
      <c r="AD15" s="71" t="str">
        <f aca="false">IFERROR(AVERAGEIF(AD8:AD12,"&lt;&gt;—"),"")</f>
        <v/>
      </c>
      <c r="AE15" s="71" t="str">
        <f aca="false">IFERROR(AVERAGEIF(AE8:AE12,"&lt;&gt;—"),"")</f>
        <v/>
      </c>
      <c r="AF15" s="71" t="str">
        <f aca="false">IFERROR(AVERAGEIF(AF8:AF12,"&lt;&gt;—"),"")</f>
        <v/>
      </c>
    </row>
  </sheetData>
  <mergeCells count="8">
    <mergeCell ref="A1:AF1"/>
    <mergeCell ref="A2:AF2"/>
    <mergeCell ref="A4:B4"/>
    <mergeCell ref="R4:AC4"/>
    <mergeCell ref="AD4:AF4"/>
    <mergeCell ref="A7:AF7"/>
    <mergeCell ref="A14:B14"/>
    <mergeCell ref="A15:B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6" topLeftCell="G7" activePane="bottomRight" state="frozen"/>
      <selection pane="topLeft" activeCell="A1" activeCellId="0" sqref="A1"/>
      <selection pane="topRight" activeCell="G1" activeCellId="0" sqref="G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0"/>
    <col collapsed="false" customWidth="true" hidden="false" outlineLevel="0" max="3" min="3" style="1" width="8"/>
    <col collapsed="false" customWidth="true" hidden="false" outlineLevel="0" max="4" min="4" style="1" width="7"/>
    <col collapsed="false" customWidth="true" hidden="false" outlineLevel="0" max="6" min="5" style="1" width="9"/>
    <col collapsed="false" customWidth="true" hidden="false" outlineLevel="0" max="21" min="7" style="1" width="8"/>
  </cols>
  <sheetData>
    <row r="1" customFormat="false" ht="39.75" hidden="false" customHeight="true" outlineLevel="0" collapsed="false">
      <c r="A1" s="72" t="s">
        <v>153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</row>
    <row r="2" customFormat="false" ht="13.5" hidden="false" customHeight="true" outlineLevel="0" collapsed="false">
      <c r="A2" s="40" t="s">
        <v>154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</row>
    <row r="3" customFormat="false" ht="7.5" hidden="false" customHeight="true" outlineLevel="0" collapsed="false"/>
    <row r="4" customFormat="false" ht="19.5" hidden="false" customHeight="true" outlineLevel="0" collapsed="false">
      <c r="A4" s="41" t="s">
        <v>155</v>
      </c>
      <c r="B4" s="41"/>
      <c r="C4" s="41"/>
      <c r="D4" s="41"/>
      <c r="E4" s="41"/>
      <c r="F4" s="6" t="s">
        <v>156</v>
      </c>
      <c r="G4" s="10" t="s">
        <v>157</v>
      </c>
      <c r="H4" s="14" t="s">
        <v>158</v>
      </c>
      <c r="I4" s="18" t="s">
        <v>159</v>
      </c>
    </row>
    <row r="5" customFormat="false" ht="25.5" hidden="false" customHeight="true" outlineLevel="0" collapsed="false">
      <c r="A5" s="73" t="s">
        <v>160</v>
      </c>
      <c r="B5" s="73" t="s">
        <v>161</v>
      </c>
      <c r="C5" s="73" t="s">
        <v>162</v>
      </c>
      <c r="D5" s="73" t="s">
        <v>103</v>
      </c>
      <c r="E5" s="73" t="s">
        <v>163</v>
      </c>
      <c r="F5" s="73" t="s">
        <v>3</v>
      </c>
      <c r="G5" s="74" t="s">
        <v>164</v>
      </c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4" t="s">
        <v>165</v>
      </c>
      <c r="T5" s="4"/>
      <c r="U5" s="4"/>
    </row>
    <row r="6" customFormat="false" ht="19.5" hidden="false" customHeight="true" outlineLevel="0" collapsed="false">
      <c r="A6" s="73"/>
      <c r="B6" s="73"/>
      <c r="C6" s="73"/>
      <c r="D6" s="73"/>
      <c r="E6" s="73"/>
      <c r="F6" s="73"/>
      <c r="G6" s="30" t="s">
        <v>118</v>
      </c>
      <c r="H6" s="30" t="s">
        <v>119</v>
      </c>
      <c r="I6" s="30" t="s">
        <v>120</v>
      </c>
      <c r="J6" s="30" t="s">
        <v>121</v>
      </c>
      <c r="K6" s="30" t="s">
        <v>122</v>
      </c>
      <c r="L6" s="30" t="s">
        <v>123</v>
      </c>
      <c r="M6" s="30" t="s">
        <v>124</v>
      </c>
      <c r="N6" s="30" t="s">
        <v>125</v>
      </c>
      <c r="O6" s="30" t="s">
        <v>126</v>
      </c>
      <c r="P6" s="30" t="s">
        <v>127</v>
      </c>
      <c r="Q6" s="30" t="s">
        <v>128</v>
      </c>
      <c r="R6" s="30" t="s">
        <v>129</v>
      </c>
      <c r="S6" s="34" t="s">
        <v>130</v>
      </c>
      <c r="T6" s="34" t="s">
        <v>131</v>
      </c>
      <c r="U6" s="34" t="s">
        <v>132</v>
      </c>
    </row>
    <row r="7" customFormat="false" ht="18" hidden="false" customHeight="true" outlineLevel="0" collapsed="false">
      <c r="A7" s="75" t="n">
        <v>1</v>
      </c>
      <c r="B7" s="76" t="s">
        <v>166</v>
      </c>
      <c r="C7" s="77" t="s">
        <v>167</v>
      </c>
      <c r="D7" s="30" t="s">
        <v>135</v>
      </c>
      <c r="E7" s="78" t="n">
        <f aca="false">CS301!O8</f>
        <v>5</v>
      </c>
      <c r="F7" s="61" t="n">
        <f aca="false">CS301!P8</f>
        <v>3</v>
      </c>
      <c r="G7" s="65" t="str">
        <f aca="false">IF(CS301!P8=0,"—",TEXT(CS301!P8,"0"))</f>
        <v>3</v>
      </c>
      <c r="H7" s="65" t="str">
        <f aca="false">IF(CS301!P8=0,"—",TEXT(CS301!P8,"0"))</f>
        <v>3</v>
      </c>
      <c r="I7" s="65" t="str">
        <f aca="false">IF(CS301!P8=0,"—",TEXT(CS301!P8,"0"))</f>
        <v>3</v>
      </c>
      <c r="J7" s="66" t="s">
        <v>9</v>
      </c>
      <c r="K7" s="66" t="s">
        <v>9</v>
      </c>
      <c r="L7" s="66" t="s">
        <v>9</v>
      </c>
      <c r="M7" s="66" t="s">
        <v>9</v>
      </c>
      <c r="N7" s="66" t="s">
        <v>9</v>
      </c>
      <c r="O7" s="66" t="s">
        <v>9</v>
      </c>
      <c r="P7" s="66" t="s">
        <v>9</v>
      </c>
      <c r="Q7" s="66" t="s">
        <v>9</v>
      </c>
      <c r="R7" s="65" t="str">
        <f aca="false">IF(CS301!P8=0,"—",TEXT(CS301!P8,"0"))</f>
        <v>3</v>
      </c>
      <c r="S7" s="66" t="s">
        <v>9</v>
      </c>
      <c r="T7" s="66" t="s">
        <v>9</v>
      </c>
      <c r="U7" s="66" t="s">
        <v>9</v>
      </c>
    </row>
    <row r="8" customFormat="false" ht="18" hidden="false" customHeight="true" outlineLevel="0" collapsed="false">
      <c r="A8" s="75"/>
      <c r="B8" s="75"/>
      <c r="C8" s="75"/>
      <c r="D8" s="30" t="s">
        <v>137</v>
      </c>
      <c r="E8" s="78" t="n">
        <f aca="false">CS301!O9</f>
        <v>6</v>
      </c>
      <c r="F8" s="61" t="n">
        <f aca="false">CS301!P9</f>
        <v>3</v>
      </c>
      <c r="G8" s="63" t="str">
        <f aca="false">IF(CS301!P9=0,"—",TEXT(CS301!P9,"0"))</f>
        <v>3</v>
      </c>
      <c r="H8" s="63" t="str">
        <f aca="false">IF(CS301!P9=0,"—",TEXT(CS301!P9,"0"))</f>
        <v>3</v>
      </c>
      <c r="I8" s="63" t="str">
        <f aca="false">IF(CS301!P9=0,"—",TEXT(CS301!P9,"0"))</f>
        <v>3</v>
      </c>
      <c r="J8" s="63" t="str">
        <f aca="false">IF(CS301!P9=0,"—",TEXT(CS301!P9,"0"))</f>
        <v>3</v>
      </c>
      <c r="K8" s="64" t="s">
        <v>9</v>
      </c>
      <c r="L8" s="64" t="s">
        <v>9</v>
      </c>
      <c r="M8" s="64" t="s">
        <v>9</v>
      </c>
      <c r="N8" s="64" t="s">
        <v>9</v>
      </c>
      <c r="O8" s="64" t="s">
        <v>9</v>
      </c>
      <c r="P8" s="64" t="s">
        <v>9</v>
      </c>
      <c r="Q8" s="64" t="s">
        <v>9</v>
      </c>
      <c r="R8" s="63" t="str">
        <f aca="false">IF(CS301!P9=0,"—",TEXT(CS301!P9,"0"))</f>
        <v>3</v>
      </c>
      <c r="S8" s="64" t="s">
        <v>9</v>
      </c>
      <c r="T8" s="64" t="s">
        <v>9</v>
      </c>
      <c r="U8" s="64" t="s">
        <v>9</v>
      </c>
    </row>
    <row r="9" customFormat="false" ht="18" hidden="false" customHeight="true" outlineLevel="0" collapsed="false">
      <c r="A9" s="75"/>
      <c r="B9" s="75"/>
      <c r="C9" s="75"/>
      <c r="D9" s="30" t="s">
        <v>139</v>
      </c>
      <c r="E9" s="78" t="n">
        <f aca="false">CS301!O10</f>
        <v>6</v>
      </c>
      <c r="F9" s="61" t="n">
        <f aca="false">CS301!P10</f>
        <v>3</v>
      </c>
      <c r="G9" s="65" t="str">
        <f aca="false">IF(CS301!P10=0,"—",TEXT(CS301!P10,"0"))</f>
        <v>3</v>
      </c>
      <c r="H9" s="65" t="str">
        <f aca="false">IF(CS301!P10=0,"—",TEXT(CS301!P10,"0"))</f>
        <v>3</v>
      </c>
      <c r="I9" s="65" t="str">
        <f aca="false">IF(CS301!P10=0,"—",TEXT(CS301!P10,"0"))</f>
        <v>3</v>
      </c>
      <c r="J9" s="65" t="str">
        <f aca="false">IF(CS301!P10=0,"—",TEXT(CS301!P10,"0"))</f>
        <v>3</v>
      </c>
      <c r="K9" s="65" t="str">
        <f aca="false">IF(CS301!P10=0,"—",TEXT(CS301!P10,"0"))</f>
        <v>3</v>
      </c>
      <c r="L9" s="66" t="s">
        <v>9</v>
      </c>
      <c r="M9" s="66" t="s">
        <v>9</v>
      </c>
      <c r="N9" s="66" t="s">
        <v>9</v>
      </c>
      <c r="O9" s="66" t="s">
        <v>9</v>
      </c>
      <c r="P9" s="66" t="s">
        <v>9</v>
      </c>
      <c r="Q9" s="66" t="s">
        <v>9</v>
      </c>
      <c r="R9" s="65" t="str">
        <f aca="false">IF(CS301!P10=0,"—",TEXT(CS301!P10,"0"))</f>
        <v>3</v>
      </c>
      <c r="S9" s="66" t="s">
        <v>9</v>
      </c>
      <c r="T9" s="66" t="s">
        <v>9</v>
      </c>
      <c r="U9" s="66" t="s">
        <v>9</v>
      </c>
    </row>
    <row r="10" customFormat="false" ht="18" hidden="false" customHeight="true" outlineLevel="0" collapsed="false">
      <c r="A10" s="75"/>
      <c r="B10" s="75"/>
      <c r="C10" s="75"/>
      <c r="D10" s="30" t="s">
        <v>141</v>
      </c>
      <c r="E10" s="78" t="n">
        <f aca="false">CS301!O11</f>
        <v>6</v>
      </c>
      <c r="F10" s="61" t="n">
        <f aca="false">CS301!P11</f>
        <v>3</v>
      </c>
      <c r="G10" s="63" t="str">
        <f aca="false">IF(CS301!P11=0,"—",TEXT(CS301!P11,"0"))</f>
        <v>3</v>
      </c>
      <c r="H10" s="63" t="str">
        <f aca="false">IF(CS301!P11=0,"—",TEXT(CS301!P11,"0"))</f>
        <v>3</v>
      </c>
      <c r="I10" s="63" t="str">
        <f aca="false">IF(CS301!P11=0,"—",TEXT(CS301!P11,"0"))</f>
        <v>3</v>
      </c>
      <c r="J10" s="64" t="s">
        <v>9</v>
      </c>
      <c r="K10" s="64" t="s">
        <v>9</v>
      </c>
      <c r="L10" s="64" t="s">
        <v>9</v>
      </c>
      <c r="M10" s="64" t="s">
        <v>9</v>
      </c>
      <c r="N10" s="64" t="s">
        <v>9</v>
      </c>
      <c r="O10" s="64" t="s">
        <v>9</v>
      </c>
      <c r="P10" s="64" t="s">
        <v>9</v>
      </c>
      <c r="Q10" s="64" t="s">
        <v>9</v>
      </c>
      <c r="R10" s="63" t="str">
        <f aca="false">IF(CS301!P11=0,"—",TEXT(CS301!P11,"0"))</f>
        <v>3</v>
      </c>
      <c r="S10" s="64" t="s">
        <v>9</v>
      </c>
      <c r="T10" s="64" t="s">
        <v>9</v>
      </c>
      <c r="U10" s="64" t="s">
        <v>9</v>
      </c>
    </row>
    <row r="11" customFormat="false" ht="18" hidden="false" customHeight="true" outlineLevel="0" collapsed="false">
      <c r="A11" s="75"/>
      <c r="B11" s="75"/>
      <c r="C11" s="75"/>
      <c r="D11" s="30" t="s">
        <v>143</v>
      </c>
      <c r="E11" s="78" t="n">
        <f aca="false">CS301!O12</f>
        <v>7</v>
      </c>
      <c r="F11" s="61" t="n">
        <f aca="false">CS301!P12</f>
        <v>3</v>
      </c>
      <c r="G11" s="65" t="str">
        <f aca="false">IF(CS301!P12=0,"—",TEXT(CS301!P12,"0"))</f>
        <v>3</v>
      </c>
      <c r="H11" s="65" t="str">
        <f aca="false">IF(CS301!P12=0,"—",TEXT(CS301!P12,"0"))</f>
        <v>3</v>
      </c>
      <c r="I11" s="66" t="s">
        <v>9</v>
      </c>
      <c r="J11" s="66" t="s">
        <v>9</v>
      </c>
      <c r="K11" s="66" t="s">
        <v>9</v>
      </c>
      <c r="L11" s="66" t="s">
        <v>9</v>
      </c>
      <c r="M11" s="66" t="s">
        <v>9</v>
      </c>
      <c r="N11" s="66" t="s">
        <v>9</v>
      </c>
      <c r="O11" s="66" t="s">
        <v>9</v>
      </c>
      <c r="P11" s="66" t="s">
        <v>9</v>
      </c>
      <c r="Q11" s="66" t="s">
        <v>9</v>
      </c>
      <c r="R11" s="65" t="str">
        <f aca="false">IF(CS301!P12=0,"—",TEXT(CS301!P12,"0"))</f>
        <v>3</v>
      </c>
      <c r="S11" s="66" t="s">
        <v>9</v>
      </c>
      <c r="T11" s="66" t="s">
        <v>9</v>
      </c>
      <c r="U11" s="66" t="s">
        <v>9</v>
      </c>
    </row>
    <row r="12" customFormat="false" ht="18" hidden="false" customHeight="true" outlineLevel="0" collapsed="false">
      <c r="A12" s="75" t="n">
        <v>2</v>
      </c>
      <c r="B12" s="76" t="s">
        <v>168</v>
      </c>
      <c r="C12" s="77" t="s">
        <v>169</v>
      </c>
      <c r="D12" s="30" t="s">
        <v>135</v>
      </c>
      <c r="E12" s="78" t="n">
        <f aca="false">CS302!O8</f>
        <v>5</v>
      </c>
      <c r="F12" s="61" t="n">
        <f aca="false">CS302!P8</f>
        <v>3</v>
      </c>
      <c r="G12" s="63" t="str">
        <f aca="false">IF(CS302!P8=0,"—",TEXT(CS302!P8,"0"))</f>
        <v>3</v>
      </c>
      <c r="H12" s="63" t="str">
        <f aca="false">IF(CS302!P8=0,"—",TEXT(CS302!P8,"0"))</f>
        <v>3</v>
      </c>
      <c r="I12" s="63" t="str">
        <f aca="false">IF(CS302!P8=0,"—",TEXT(CS302!P8,"0"))</f>
        <v>3</v>
      </c>
      <c r="J12" s="64" t="s">
        <v>9</v>
      </c>
      <c r="K12" s="64" t="s">
        <v>9</v>
      </c>
      <c r="L12" s="64" t="s">
        <v>9</v>
      </c>
      <c r="M12" s="64" t="s">
        <v>9</v>
      </c>
      <c r="N12" s="64" t="s">
        <v>9</v>
      </c>
      <c r="O12" s="64" t="s">
        <v>9</v>
      </c>
      <c r="P12" s="64" t="s">
        <v>9</v>
      </c>
      <c r="Q12" s="64" t="s">
        <v>9</v>
      </c>
      <c r="R12" s="63" t="str">
        <f aca="false">IF(CS302!P8=0,"—",TEXT(CS302!P8,"0"))</f>
        <v>3</v>
      </c>
      <c r="S12" s="64" t="s">
        <v>9</v>
      </c>
      <c r="T12" s="64" t="s">
        <v>9</v>
      </c>
      <c r="U12" s="64" t="s">
        <v>9</v>
      </c>
    </row>
    <row r="13" customFormat="false" ht="18" hidden="false" customHeight="true" outlineLevel="0" collapsed="false">
      <c r="A13" s="75"/>
      <c r="B13" s="75"/>
      <c r="C13" s="75"/>
      <c r="D13" s="30" t="s">
        <v>137</v>
      </c>
      <c r="E13" s="78" t="n">
        <f aca="false">CS302!O9</f>
        <v>8</v>
      </c>
      <c r="F13" s="61" t="n">
        <f aca="false">CS302!P9</f>
        <v>3</v>
      </c>
      <c r="G13" s="65" t="str">
        <f aca="false">IF(CS302!P9=0,"—",TEXT(CS302!P9,"0"))</f>
        <v>3</v>
      </c>
      <c r="H13" s="65" t="str">
        <f aca="false">IF(CS302!P9=0,"—",TEXT(CS302!P9,"0"))</f>
        <v>3</v>
      </c>
      <c r="I13" s="65" t="str">
        <f aca="false">IF(CS302!P9=0,"—",TEXT(CS302!P9,"0"))</f>
        <v>3</v>
      </c>
      <c r="J13" s="66" t="s">
        <v>9</v>
      </c>
      <c r="K13" s="65" t="str">
        <f aca="false">IF(CS302!P9=0,"—",TEXT(CS302!P9,"0"))</f>
        <v>3</v>
      </c>
      <c r="L13" s="66" t="s">
        <v>9</v>
      </c>
      <c r="M13" s="66" t="s">
        <v>9</v>
      </c>
      <c r="N13" s="66" t="s">
        <v>9</v>
      </c>
      <c r="O13" s="66" t="s">
        <v>9</v>
      </c>
      <c r="P13" s="66" t="s">
        <v>9</v>
      </c>
      <c r="Q13" s="66" t="s">
        <v>9</v>
      </c>
      <c r="R13" s="65" t="str">
        <f aca="false">IF(CS302!P9=0,"—",TEXT(CS302!P9,"0"))</f>
        <v>3</v>
      </c>
      <c r="S13" s="66" t="s">
        <v>9</v>
      </c>
      <c r="T13" s="66" t="s">
        <v>9</v>
      </c>
      <c r="U13" s="66" t="s">
        <v>9</v>
      </c>
    </row>
    <row r="14" customFormat="false" ht="18" hidden="false" customHeight="true" outlineLevel="0" collapsed="false">
      <c r="A14" s="75"/>
      <c r="B14" s="75"/>
      <c r="C14" s="75"/>
      <c r="D14" s="30" t="s">
        <v>139</v>
      </c>
      <c r="E14" s="78" t="n">
        <f aca="false">CS302!O10</f>
        <v>5</v>
      </c>
      <c r="F14" s="61" t="n">
        <f aca="false">CS302!P10</f>
        <v>3</v>
      </c>
      <c r="G14" s="63" t="str">
        <f aca="false">IF(CS302!P10=0,"—",TEXT(CS302!P10,"0"))</f>
        <v>3</v>
      </c>
      <c r="H14" s="63" t="str">
        <f aca="false">IF(CS302!P10=0,"—",TEXT(CS302!P10,"0"))</f>
        <v>3</v>
      </c>
      <c r="I14" s="63" t="str">
        <f aca="false">IF(CS302!P10=0,"—",TEXT(CS302!P10,"0"))</f>
        <v>3</v>
      </c>
      <c r="J14" s="64" t="s">
        <v>9</v>
      </c>
      <c r="K14" s="64" t="s">
        <v>9</v>
      </c>
      <c r="L14" s="64" t="s">
        <v>9</v>
      </c>
      <c r="M14" s="64" t="s">
        <v>9</v>
      </c>
      <c r="N14" s="64" t="s">
        <v>9</v>
      </c>
      <c r="O14" s="64" t="s">
        <v>9</v>
      </c>
      <c r="P14" s="64" t="s">
        <v>9</v>
      </c>
      <c r="Q14" s="64" t="s">
        <v>9</v>
      </c>
      <c r="R14" s="63" t="str">
        <f aca="false">IF(CS302!P10=0,"—",TEXT(CS302!P10,"0"))</f>
        <v>3</v>
      </c>
      <c r="S14" s="64" t="s">
        <v>9</v>
      </c>
      <c r="T14" s="64" t="s">
        <v>9</v>
      </c>
      <c r="U14" s="64" t="s">
        <v>9</v>
      </c>
    </row>
    <row r="15" customFormat="false" ht="18" hidden="false" customHeight="true" outlineLevel="0" collapsed="false">
      <c r="A15" s="75"/>
      <c r="B15" s="75"/>
      <c r="C15" s="75"/>
      <c r="D15" s="30" t="s">
        <v>141</v>
      </c>
      <c r="E15" s="78" t="n">
        <f aca="false">CS302!O11</f>
        <v>6</v>
      </c>
      <c r="F15" s="61" t="n">
        <f aca="false">CS302!P11</f>
        <v>3</v>
      </c>
      <c r="G15" s="65" t="str">
        <f aca="false">IF(CS302!P11=0,"—",TEXT(CS302!P11,"0"))</f>
        <v>3</v>
      </c>
      <c r="H15" s="65" t="str">
        <f aca="false">IF(CS302!P11=0,"—",TEXT(CS302!P11,"0"))</f>
        <v>3</v>
      </c>
      <c r="I15" s="65" t="str">
        <f aca="false">IF(CS302!P11=0,"—",TEXT(CS302!P11,"0"))</f>
        <v>3</v>
      </c>
      <c r="J15" s="65" t="str">
        <f aca="false">IF(CS302!P11=0,"—",TEXT(CS302!P11,"0"))</f>
        <v>3</v>
      </c>
      <c r="K15" s="66" t="s">
        <v>9</v>
      </c>
      <c r="L15" s="66" t="s">
        <v>9</v>
      </c>
      <c r="M15" s="66" t="s">
        <v>9</v>
      </c>
      <c r="N15" s="66" t="s">
        <v>9</v>
      </c>
      <c r="O15" s="66" t="s">
        <v>9</v>
      </c>
      <c r="P15" s="66" t="s">
        <v>9</v>
      </c>
      <c r="Q15" s="66" t="s">
        <v>9</v>
      </c>
      <c r="R15" s="65" t="str">
        <f aca="false">IF(CS302!P11=0,"—",TEXT(CS302!P11,"0"))</f>
        <v>3</v>
      </c>
      <c r="S15" s="66" t="s">
        <v>9</v>
      </c>
      <c r="T15" s="66" t="s">
        <v>9</v>
      </c>
      <c r="U15" s="66" t="s">
        <v>9</v>
      </c>
    </row>
    <row r="16" customFormat="false" ht="18" hidden="false" customHeight="true" outlineLevel="0" collapsed="false">
      <c r="A16" s="75"/>
      <c r="B16" s="75"/>
      <c r="C16" s="75"/>
      <c r="D16" s="30" t="s">
        <v>143</v>
      </c>
      <c r="E16" s="78" t="n">
        <f aca="false">CS302!O12</f>
        <v>7</v>
      </c>
      <c r="F16" s="61" t="n">
        <f aca="false">CS302!P12</f>
        <v>3</v>
      </c>
      <c r="G16" s="63" t="str">
        <f aca="false">IF(CS302!P12=0,"—",TEXT(CS302!P12,"0"))</f>
        <v>3</v>
      </c>
      <c r="H16" s="63" t="str">
        <f aca="false">IF(CS302!P12=0,"—",TEXT(CS302!P12,"0"))</f>
        <v>3</v>
      </c>
      <c r="I16" s="64" t="s">
        <v>9</v>
      </c>
      <c r="J16" s="63" t="str">
        <f aca="false">IF(CS302!P12=0,"—",TEXT(CS302!P12,"0"))</f>
        <v>3</v>
      </c>
      <c r="K16" s="63" t="str">
        <f aca="false">IF(CS302!P12=0,"—",TEXT(CS302!P12,"0"))</f>
        <v>3</v>
      </c>
      <c r="L16" s="64" t="s">
        <v>9</v>
      </c>
      <c r="M16" s="64" t="s">
        <v>9</v>
      </c>
      <c r="N16" s="64" t="s">
        <v>9</v>
      </c>
      <c r="O16" s="64" t="s">
        <v>9</v>
      </c>
      <c r="P16" s="64" t="s">
        <v>9</v>
      </c>
      <c r="Q16" s="64" t="s">
        <v>9</v>
      </c>
      <c r="R16" s="63" t="str">
        <f aca="false">IF(CS302!P12=0,"—",TEXT(CS302!P12,"0"))</f>
        <v>3</v>
      </c>
      <c r="S16" s="64" t="s">
        <v>9</v>
      </c>
      <c r="T16" s="64" t="s">
        <v>9</v>
      </c>
      <c r="U16" s="64" t="s">
        <v>9</v>
      </c>
    </row>
    <row r="17" customFormat="false" ht="18" hidden="false" customHeight="true" outlineLevel="0" collapsed="false">
      <c r="A17" s="75" t="n">
        <v>3</v>
      </c>
      <c r="B17" s="76" t="s">
        <v>170</v>
      </c>
      <c r="C17" s="77" t="s">
        <v>171</v>
      </c>
      <c r="D17" s="30" t="s">
        <v>135</v>
      </c>
      <c r="E17" s="78" t="n">
        <f aca="false">CS303!O8</f>
        <v>5</v>
      </c>
      <c r="F17" s="61" t="n">
        <f aca="false">CS303!P8</f>
        <v>3</v>
      </c>
      <c r="G17" s="65" t="str">
        <f aca="false">IF(CS303!P8=0,"—",TEXT(CS303!P8,"0"))</f>
        <v>3</v>
      </c>
      <c r="H17" s="65" t="str">
        <f aca="false">IF(CS303!P8=0,"—",TEXT(CS303!P8,"0"))</f>
        <v>3</v>
      </c>
      <c r="I17" s="66" t="s">
        <v>9</v>
      </c>
      <c r="J17" s="66" t="s">
        <v>9</v>
      </c>
      <c r="K17" s="65" t="str">
        <f aca="false">IF(CS303!P8=0,"—",TEXT(CS303!P8,"0"))</f>
        <v>3</v>
      </c>
      <c r="L17" s="66" t="s">
        <v>9</v>
      </c>
      <c r="M17" s="66" t="s">
        <v>9</v>
      </c>
      <c r="N17" s="66" t="s">
        <v>9</v>
      </c>
      <c r="O17" s="66" t="s">
        <v>9</v>
      </c>
      <c r="P17" s="66" t="s">
        <v>9</v>
      </c>
      <c r="Q17" s="66" t="s">
        <v>9</v>
      </c>
      <c r="R17" s="65" t="str">
        <f aca="false">IF(CS303!P8=0,"—",TEXT(CS303!P8,"0"))</f>
        <v>3</v>
      </c>
      <c r="S17" s="66" t="s">
        <v>9</v>
      </c>
      <c r="T17" s="66" t="s">
        <v>9</v>
      </c>
      <c r="U17" s="66" t="s">
        <v>9</v>
      </c>
    </row>
    <row r="18" customFormat="false" ht="18" hidden="false" customHeight="true" outlineLevel="0" collapsed="false">
      <c r="A18" s="75"/>
      <c r="B18" s="75"/>
      <c r="C18" s="75"/>
      <c r="D18" s="30" t="s">
        <v>137</v>
      </c>
      <c r="E18" s="78" t="n">
        <f aca="false">CS303!O9</f>
        <v>6</v>
      </c>
      <c r="F18" s="61" t="n">
        <f aca="false">CS303!P9</f>
        <v>3</v>
      </c>
      <c r="G18" s="63" t="str">
        <f aca="false">IF(CS303!P9=0,"—",TEXT(CS303!P9,"0"))</f>
        <v>3</v>
      </c>
      <c r="H18" s="63" t="str">
        <f aca="false">IF(CS303!P9=0,"—",TEXT(CS303!P9,"0"))</f>
        <v>3</v>
      </c>
      <c r="I18" s="63" t="str">
        <f aca="false">IF(CS303!P9=0,"—",TEXT(CS303!P9,"0"))</f>
        <v>3</v>
      </c>
      <c r="J18" s="64" t="s">
        <v>9</v>
      </c>
      <c r="K18" s="63" t="str">
        <f aca="false">IF(CS303!P9=0,"—",TEXT(CS303!P9,"0"))</f>
        <v>3</v>
      </c>
      <c r="L18" s="64" t="s">
        <v>9</v>
      </c>
      <c r="M18" s="64" t="s">
        <v>9</v>
      </c>
      <c r="N18" s="64" t="s">
        <v>9</v>
      </c>
      <c r="O18" s="64" t="s">
        <v>9</v>
      </c>
      <c r="P18" s="64" t="s">
        <v>9</v>
      </c>
      <c r="Q18" s="64" t="s">
        <v>9</v>
      </c>
      <c r="R18" s="63" t="str">
        <f aca="false">IF(CS303!P9=0,"—",TEXT(CS303!P9,"0"))</f>
        <v>3</v>
      </c>
      <c r="S18" s="64" t="s">
        <v>9</v>
      </c>
      <c r="T18" s="64" t="s">
        <v>9</v>
      </c>
      <c r="U18" s="64" t="s">
        <v>9</v>
      </c>
    </row>
    <row r="19" customFormat="false" ht="18" hidden="false" customHeight="true" outlineLevel="0" collapsed="false">
      <c r="A19" s="75"/>
      <c r="B19" s="75"/>
      <c r="C19" s="75"/>
      <c r="D19" s="30" t="s">
        <v>139</v>
      </c>
      <c r="E19" s="78" t="n">
        <f aca="false">CS303!O10</f>
        <v>7</v>
      </c>
      <c r="F19" s="61" t="n">
        <f aca="false">CS303!P10</f>
        <v>3</v>
      </c>
      <c r="G19" s="65" t="str">
        <f aca="false">IF(CS303!P10=0,"—",TEXT(CS303!P10,"0"))</f>
        <v>3</v>
      </c>
      <c r="H19" s="65" t="str">
        <f aca="false">IF(CS303!P10=0,"—",TEXT(CS303!P10,"0"))</f>
        <v>3</v>
      </c>
      <c r="I19" s="65" t="str">
        <f aca="false">IF(CS303!P10=0,"—",TEXT(CS303!P10,"0"))</f>
        <v>3</v>
      </c>
      <c r="J19" s="65" t="str">
        <f aca="false">IF(CS303!P10=0,"—",TEXT(CS303!P10,"0"))</f>
        <v>3</v>
      </c>
      <c r="K19" s="65" t="str">
        <f aca="false">IF(CS303!P10=0,"—",TEXT(CS303!P10,"0"))</f>
        <v>3</v>
      </c>
      <c r="L19" s="66" t="s">
        <v>9</v>
      </c>
      <c r="M19" s="66" t="s">
        <v>9</v>
      </c>
      <c r="N19" s="66" t="s">
        <v>9</v>
      </c>
      <c r="O19" s="66" t="s">
        <v>9</v>
      </c>
      <c r="P19" s="66" t="s">
        <v>9</v>
      </c>
      <c r="Q19" s="66" t="s">
        <v>9</v>
      </c>
      <c r="R19" s="65" t="str">
        <f aca="false">IF(CS303!P10=0,"—",TEXT(CS303!P10,"0"))</f>
        <v>3</v>
      </c>
      <c r="S19" s="66" t="s">
        <v>9</v>
      </c>
      <c r="T19" s="66" t="s">
        <v>9</v>
      </c>
      <c r="U19" s="66" t="s">
        <v>9</v>
      </c>
    </row>
    <row r="20" customFormat="false" ht="18" hidden="false" customHeight="true" outlineLevel="0" collapsed="false">
      <c r="A20" s="75"/>
      <c r="B20" s="75"/>
      <c r="C20" s="75"/>
      <c r="D20" s="30" t="s">
        <v>141</v>
      </c>
      <c r="E20" s="78" t="n">
        <f aca="false">CS303!O11</f>
        <v>6</v>
      </c>
      <c r="F20" s="61" t="n">
        <f aca="false">CS303!P11</f>
        <v>3</v>
      </c>
      <c r="G20" s="63" t="str">
        <f aca="false">IF(CS303!P11=0,"—",TEXT(CS303!P11,"0"))</f>
        <v>3</v>
      </c>
      <c r="H20" s="63" t="str">
        <f aca="false">IF(CS303!P11=0,"—",TEXT(CS303!P11,"0"))</f>
        <v>3</v>
      </c>
      <c r="I20" s="63" t="str">
        <f aca="false">IF(CS303!P11=0,"—",TEXT(CS303!P11,"0"))</f>
        <v>3</v>
      </c>
      <c r="J20" s="64" t="s">
        <v>9</v>
      </c>
      <c r="K20" s="64" t="s">
        <v>9</v>
      </c>
      <c r="L20" s="64" t="s">
        <v>9</v>
      </c>
      <c r="M20" s="64" t="s">
        <v>9</v>
      </c>
      <c r="N20" s="64" t="s">
        <v>9</v>
      </c>
      <c r="O20" s="64" t="s">
        <v>9</v>
      </c>
      <c r="P20" s="64" t="s">
        <v>9</v>
      </c>
      <c r="Q20" s="64" t="s">
        <v>9</v>
      </c>
      <c r="R20" s="63" t="str">
        <f aca="false">IF(CS303!P11=0,"—",TEXT(CS303!P11,"0"))</f>
        <v>3</v>
      </c>
      <c r="S20" s="64" t="s">
        <v>9</v>
      </c>
      <c r="T20" s="64" t="s">
        <v>9</v>
      </c>
      <c r="U20" s="64" t="s">
        <v>9</v>
      </c>
    </row>
    <row r="21" customFormat="false" ht="18" hidden="false" customHeight="true" outlineLevel="0" collapsed="false">
      <c r="A21" s="75"/>
      <c r="B21" s="75"/>
      <c r="C21" s="75"/>
      <c r="D21" s="30" t="s">
        <v>143</v>
      </c>
      <c r="E21" s="78" t="n">
        <f aca="false">CS303!O12</f>
        <v>7</v>
      </c>
      <c r="F21" s="61" t="n">
        <f aca="false">CS303!P12</f>
        <v>3</v>
      </c>
      <c r="G21" s="65" t="str">
        <f aca="false">IF(CS303!P12=0,"—",TEXT(CS303!P12,"0"))</f>
        <v>3</v>
      </c>
      <c r="H21" s="65" t="str">
        <f aca="false">IF(CS303!P12=0,"—",TEXT(CS303!P12,"0"))</f>
        <v>3</v>
      </c>
      <c r="I21" s="66" t="s">
        <v>9</v>
      </c>
      <c r="J21" s="66" t="s">
        <v>9</v>
      </c>
      <c r="K21" s="65" t="str">
        <f aca="false">IF(CS303!P12=0,"—",TEXT(CS303!P12,"0"))</f>
        <v>3</v>
      </c>
      <c r="L21" s="66" t="s">
        <v>9</v>
      </c>
      <c r="M21" s="66" t="s">
        <v>9</v>
      </c>
      <c r="N21" s="66" t="s">
        <v>9</v>
      </c>
      <c r="O21" s="66" t="s">
        <v>9</v>
      </c>
      <c r="P21" s="66" t="s">
        <v>9</v>
      </c>
      <c r="Q21" s="66" t="s">
        <v>9</v>
      </c>
      <c r="R21" s="65" t="str">
        <f aca="false">IF(CS303!P12=0,"—",TEXT(CS303!P12,"0"))</f>
        <v>3</v>
      </c>
      <c r="S21" s="66" t="s">
        <v>9</v>
      </c>
      <c r="T21" s="66" t="s">
        <v>9</v>
      </c>
      <c r="U21" s="66" t="s">
        <v>9</v>
      </c>
    </row>
    <row r="22" customFormat="false" ht="18" hidden="false" customHeight="true" outlineLevel="0" collapsed="false">
      <c r="A22" s="75" t="n">
        <v>4</v>
      </c>
      <c r="B22" s="76" t="s">
        <v>172</v>
      </c>
      <c r="C22" s="77" t="s">
        <v>173</v>
      </c>
      <c r="D22" s="30" t="s">
        <v>135</v>
      </c>
      <c r="E22" s="78" t="n">
        <f aca="false">CS304!O8</f>
        <v>5</v>
      </c>
      <c r="F22" s="61" t="n">
        <f aca="false">CS304!P8</f>
        <v>3</v>
      </c>
      <c r="G22" s="63" t="str">
        <f aca="false">IF(CS304!P8=0,"—",TEXT(CS304!P8,"0"))</f>
        <v>3</v>
      </c>
      <c r="H22" s="63" t="str">
        <f aca="false">IF(CS304!P8=0,"—",TEXT(CS304!P8,"0"))</f>
        <v>3</v>
      </c>
      <c r="I22" s="64" t="s">
        <v>9</v>
      </c>
      <c r="J22" s="64" t="s">
        <v>9</v>
      </c>
      <c r="K22" s="64" t="s">
        <v>9</v>
      </c>
      <c r="L22" s="64" t="s">
        <v>9</v>
      </c>
      <c r="M22" s="64" t="s">
        <v>9</v>
      </c>
      <c r="N22" s="64" t="s">
        <v>9</v>
      </c>
      <c r="O22" s="64" t="s">
        <v>9</v>
      </c>
      <c r="P22" s="64" t="s">
        <v>9</v>
      </c>
      <c r="Q22" s="64" t="s">
        <v>9</v>
      </c>
      <c r="R22" s="63" t="str">
        <f aca="false">IF(CS304!P8=0,"—",TEXT(CS304!P8,"0"))</f>
        <v>3</v>
      </c>
      <c r="S22" s="64" t="s">
        <v>9</v>
      </c>
      <c r="T22" s="64" t="s">
        <v>9</v>
      </c>
      <c r="U22" s="64" t="s">
        <v>9</v>
      </c>
    </row>
    <row r="23" customFormat="false" ht="18" hidden="false" customHeight="true" outlineLevel="0" collapsed="false">
      <c r="A23" s="75"/>
      <c r="B23" s="75"/>
      <c r="C23" s="75"/>
      <c r="D23" s="30" t="s">
        <v>137</v>
      </c>
      <c r="E23" s="78" t="n">
        <f aca="false">CS304!O9</f>
        <v>7</v>
      </c>
      <c r="F23" s="61" t="n">
        <f aca="false">CS304!P9</f>
        <v>3</v>
      </c>
      <c r="G23" s="65" t="str">
        <f aca="false">IF(CS304!P9=0,"—",TEXT(CS304!P9,"0"))</f>
        <v>3</v>
      </c>
      <c r="H23" s="65" t="str">
        <f aca="false">IF(CS304!P9=0,"—",TEXT(CS304!P9,"0"))</f>
        <v>3</v>
      </c>
      <c r="I23" s="65" t="str">
        <f aca="false">IF(CS304!P9=0,"—",TEXT(CS304!P9,"0"))</f>
        <v>3</v>
      </c>
      <c r="J23" s="65" t="str">
        <f aca="false">IF(CS304!P9=0,"—",TEXT(CS304!P9,"0"))</f>
        <v>3</v>
      </c>
      <c r="K23" s="66" t="s">
        <v>9</v>
      </c>
      <c r="L23" s="66" t="s">
        <v>9</v>
      </c>
      <c r="M23" s="66" t="s">
        <v>9</v>
      </c>
      <c r="N23" s="66" t="s">
        <v>9</v>
      </c>
      <c r="O23" s="66" t="s">
        <v>9</v>
      </c>
      <c r="P23" s="66" t="s">
        <v>9</v>
      </c>
      <c r="Q23" s="66" t="s">
        <v>9</v>
      </c>
      <c r="R23" s="65" t="str">
        <f aca="false">IF(CS304!P9=0,"—",TEXT(CS304!P9,"0"))</f>
        <v>3</v>
      </c>
      <c r="S23" s="66" t="s">
        <v>9</v>
      </c>
      <c r="T23" s="66" t="s">
        <v>9</v>
      </c>
      <c r="U23" s="66" t="s">
        <v>9</v>
      </c>
    </row>
    <row r="24" customFormat="false" ht="18" hidden="false" customHeight="true" outlineLevel="0" collapsed="false">
      <c r="A24" s="75"/>
      <c r="B24" s="75"/>
      <c r="C24" s="75"/>
      <c r="D24" s="30" t="s">
        <v>139</v>
      </c>
      <c r="E24" s="78" t="n">
        <f aca="false">CS304!O10</f>
        <v>6</v>
      </c>
      <c r="F24" s="61" t="n">
        <f aca="false">CS304!P10</f>
        <v>3</v>
      </c>
      <c r="G24" s="63" t="str">
        <f aca="false">IF(CS304!P10=0,"—",TEXT(CS304!P10,"0"))</f>
        <v>3</v>
      </c>
      <c r="H24" s="63" t="str">
        <f aca="false">IF(CS304!P10=0,"—",TEXT(CS304!P10,"0"))</f>
        <v>3</v>
      </c>
      <c r="I24" s="63" t="str">
        <f aca="false">IF(CS304!P10=0,"—",TEXT(CS304!P10,"0"))</f>
        <v>3</v>
      </c>
      <c r="J24" s="63" t="str">
        <f aca="false">IF(CS304!P10=0,"—",TEXT(CS304!P10,"0"))</f>
        <v>3</v>
      </c>
      <c r="K24" s="64" t="s">
        <v>9</v>
      </c>
      <c r="L24" s="64" t="s">
        <v>9</v>
      </c>
      <c r="M24" s="64" t="s">
        <v>9</v>
      </c>
      <c r="N24" s="64" t="s">
        <v>9</v>
      </c>
      <c r="O24" s="64" t="s">
        <v>9</v>
      </c>
      <c r="P24" s="64" t="s">
        <v>9</v>
      </c>
      <c r="Q24" s="64" t="s">
        <v>9</v>
      </c>
      <c r="R24" s="63" t="str">
        <f aca="false">IF(CS304!P10=0,"—",TEXT(CS304!P10,"0"))</f>
        <v>3</v>
      </c>
      <c r="S24" s="64" t="s">
        <v>9</v>
      </c>
      <c r="T24" s="64" t="s">
        <v>9</v>
      </c>
      <c r="U24" s="64" t="s">
        <v>9</v>
      </c>
    </row>
    <row r="25" customFormat="false" ht="18" hidden="false" customHeight="true" outlineLevel="0" collapsed="false">
      <c r="A25" s="75"/>
      <c r="B25" s="75"/>
      <c r="C25" s="75"/>
      <c r="D25" s="30" t="s">
        <v>141</v>
      </c>
      <c r="E25" s="78" t="n">
        <f aca="false">CS304!O11</f>
        <v>6</v>
      </c>
      <c r="F25" s="61" t="n">
        <f aca="false">CS304!P11</f>
        <v>3</v>
      </c>
      <c r="G25" s="65" t="str">
        <f aca="false">IF(CS304!P11=0,"—",TEXT(CS304!P11,"0"))</f>
        <v>3</v>
      </c>
      <c r="H25" s="65" t="str">
        <f aca="false">IF(CS304!P11=0,"—",TEXT(CS304!P11,"0"))</f>
        <v>3</v>
      </c>
      <c r="I25" s="66" t="s">
        <v>9</v>
      </c>
      <c r="J25" s="66" t="s">
        <v>9</v>
      </c>
      <c r="K25" s="66" t="s">
        <v>9</v>
      </c>
      <c r="L25" s="66" t="s">
        <v>9</v>
      </c>
      <c r="M25" s="66" t="s">
        <v>9</v>
      </c>
      <c r="N25" s="66" t="s">
        <v>9</v>
      </c>
      <c r="O25" s="66" t="s">
        <v>9</v>
      </c>
      <c r="P25" s="66" t="s">
        <v>9</v>
      </c>
      <c r="Q25" s="66" t="s">
        <v>9</v>
      </c>
      <c r="R25" s="65" t="str">
        <f aca="false">IF(CS304!P11=0,"—",TEXT(CS304!P11,"0"))</f>
        <v>3</v>
      </c>
      <c r="S25" s="66" t="s">
        <v>9</v>
      </c>
      <c r="T25" s="66" t="s">
        <v>9</v>
      </c>
      <c r="U25" s="66" t="s">
        <v>9</v>
      </c>
    </row>
    <row r="26" customFormat="false" ht="18" hidden="false" customHeight="true" outlineLevel="0" collapsed="false">
      <c r="A26" s="75"/>
      <c r="B26" s="75"/>
      <c r="C26" s="75"/>
      <c r="D26" s="30" t="s">
        <v>143</v>
      </c>
      <c r="E26" s="78" t="n">
        <f aca="false">CS304!O12</f>
        <v>7</v>
      </c>
      <c r="F26" s="61" t="n">
        <f aca="false">CS304!P12</f>
        <v>3</v>
      </c>
      <c r="G26" s="63" t="str">
        <f aca="false">IF(CS304!P12=0,"—",TEXT(CS304!P12,"0"))</f>
        <v>3</v>
      </c>
      <c r="H26" s="63" t="str">
        <f aca="false">IF(CS304!P12=0,"—",TEXT(CS304!P12,"0"))</f>
        <v>3</v>
      </c>
      <c r="I26" s="64" t="s">
        <v>9</v>
      </c>
      <c r="J26" s="63" t="str">
        <f aca="false">IF(CS304!P12=0,"—",TEXT(CS304!P12,"0"))</f>
        <v>3</v>
      </c>
      <c r="K26" s="63" t="str">
        <f aca="false">IF(CS304!P12=0,"—",TEXT(CS304!P12,"0"))</f>
        <v>3</v>
      </c>
      <c r="L26" s="64" t="s">
        <v>9</v>
      </c>
      <c r="M26" s="64" t="s">
        <v>9</v>
      </c>
      <c r="N26" s="64" t="s">
        <v>9</v>
      </c>
      <c r="O26" s="64" t="s">
        <v>9</v>
      </c>
      <c r="P26" s="64" t="s">
        <v>9</v>
      </c>
      <c r="Q26" s="64" t="s">
        <v>9</v>
      </c>
      <c r="R26" s="63" t="str">
        <f aca="false">IF(CS304!P12=0,"—",TEXT(CS304!P12,"0"))</f>
        <v>3</v>
      </c>
      <c r="S26" s="64" t="s">
        <v>9</v>
      </c>
      <c r="T26" s="64" t="s">
        <v>9</v>
      </c>
      <c r="U26" s="64" t="s">
        <v>9</v>
      </c>
    </row>
    <row r="27" customFormat="false" ht="18" hidden="false" customHeight="true" outlineLevel="0" collapsed="false">
      <c r="A27" s="75" t="n">
        <v>5</v>
      </c>
      <c r="B27" s="76" t="s">
        <v>174</v>
      </c>
      <c r="C27" s="77" t="s">
        <v>175</v>
      </c>
      <c r="D27" s="30" t="s">
        <v>135</v>
      </c>
      <c r="E27" s="78" t="n">
        <f aca="false">CS305!O8</f>
        <v>6</v>
      </c>
      <c r="F27" s="61" t="n">
        <f aca="false">CS305!P8</f>
        <v>3</v>
      </c>
      <c r="G27" s="65" t="str">
        <f aca="false">IF(CS305!P8=0,"—",TEXT(CS305!P8,"0"))</f>
        <v>3</v>
      </c>
      <c r="H27" s="65" t="str">
        <f aca="false">IF(CS305!P8=0,"—",TEXT(CS305!P8,"0"))</f>
        <v>3</v>
      </c>
      <c r="I27" s="66" t="s">
        <v>9</v>
      </c>
      <c r="J27" s="66" t="s">
        <v>9</v>
      </c>
      <c r="K27" s="65" t="str">
        <f aca="false">IF(CS305!P8=0,"—",TEXT(CS305!P8,"0"))</f>
        <v>3</v>
      </c>
      <c r="L27" s="66" t="s">
        <v>9</v>
      </c>
      <c r="M27" s="66" t="s">
        <v>9</v>
      </c>
      <c r="N27" s="66" t="s">
        <v>9</v>
      </c>
      <c r="O27" s="66" t="s">
        <v>9</v>
      </c>
      <c r="P27" s="66" t="s">
        <v>9</v>
      </c>
      <c r="Q27" s="66" t="s">
        <v>9</v>
      </c>
      <c r="R27" s="65" t="str">
        <f aca="false">IF(CS305!P8=0,"—",TEXT(CS305!P8,"0"))</f>
        <v>3</v>
      </c>
      <c r="S27" s="66" t="s">
        <v>9</v>
      </c>
      <c r="T27" s="66" t="s">
        <v>9</v>
      </c>
      <c r="U27" s="66" t="s">
        <v>9</v>
      </c>
    </row>
    <row r="28" customFormat="false" ht="18" hidden="false" customHeight="true" outlineLevel="0" collapsed="false">
      <c r="A28" s="75"/>
      <c r="B28" s="75"/>
      <c r="C28" s="75"/>
      <c r="D28" s="30" t="s">
        <v>137</v>
      </c>
      <c r="E28" s="78" t="n">
        <f aca="false">CS305!O9</f>
        <v>7</v>
      </c>
      <c r="F28" s="61" t="n">
        <f aca="false">CS305!P9</f>
        <v>3</v>
      </c>
      <c r="G28" s="63" t="str">
        <f aca="false">IF(CS305!P9=0,"—",TEXT(CS305!P9,"0"))</f>
        <v>3</v>
      </c>
      <c r="H28" s="63" t="str">
        <f aca="false">IF(CS305!P9=0,"—",TEXT(CS305!P9,"0"))</f>
        <v>3</v>
      </c>
      <c r="I28" s="63" t="str">
        <f aca="false">IF(CS305!P9=0,"—",TEXT(CS305!P9,"0"))</f>
        <v>3</v>
      </c>
      <c r="J28" s="64" t="s">
        <v>9</v>
      </c>
      <c r="K28" s="63" t="str">
        <f aca="false">IF(CS305!P9=0,"—",TEXT(CS305!P9,"0"))</f>
        <v>3</v>
      </c>
      <c r="L28" s="64" t="s">
        <v>9</v>
      </c>
      <c r="M28" s="64" t="s">
        <v>9</v>
      </c>
      <c r="N28" s="64" t="s">
        <v>9</v>
      </c>
      <c r="O28" s="64" t="s">
        <v>9</v>
      </c>
      <c r="P28" s="64" t="s">
        <v>9</v>
      </c>
      <c r="Q28" s="64" t="s">
        <v>9</v>
      </c>
      <c r="R28" s="63" t="str">
        <f aca="false">IF(CS305!P9=0,"—",TEXT(CS305!P9,"0"))</f>
        <v>3</v>
      </c>
      <c r="S28" s="64" t="s">
        <v>9</v>
      </c>
      <c r="T28" s="64" t="s">
        <v>9</v>
      </c>
      <c r="U28" s="64" t="s">
        <v>9</v>
      </c>
    </row>
    <row r="29" customFormat="false" ht="18" hidden="false" customHeight="true" outlineLevel="0" collapsed="false">
      <c r="A29" s="75"/>
      <c r="B29" s="75"/>
      <c r="C29" s="75"/>
      <c r="D29" s="30" t="s">
        <v>139</v>
      </c>
      <c r="E29" s="78" t="n">
        <f aca="false">CS305!O10</f>
        <v>8</v>
      </c>
      <c r="F29" s="61" t="n">
        <f aca="false">CS305!P10</f>
        <v>3</v>
      </c>
      <c r="G29" s="65" t="str">
        <f aca="false">IF(CS305!P10=0,"—",TEXT(CS305!P10,"0"))</f>
        <v>3</v>
      </c>
      <c r="H29" s="65" t="str">
        <f aca="false">IF(CS305!P10=0,"—",TEXT(CS305!P10,"0"))</f>
        <v>3</v>
      </c>
      <c r="I29" s="65" t="str">
        <f aca="false">IF(CS305!P10=0,"—",TEXT(CS305!P10,"0"))</f>
        <v>3</v>
      </c>
      <c r="J29" s="66" t="s">
        <v>9</v>
      </c>
      <c r="K29" s="65" t="str">
        <f aca="false">IF(CS305!P10=0,"—",TEXT(CS305!P10,"0"))</f>
        <v>3</v>
      </c>
      <c r="L29" s="66" t="s">
        <v>9</v>
      </c>
      <c r="M29" s="66" t="s">
        <v>9</v>
      </c>
      <c r="N29" s="66" t="s">
        <v>9</v>
      </c>
      <c r="O29" s="66" t="s">
        <v>9</v>
      </c>
      <c r="P29" s="66" t="s">
        <v>9</v>
      </c>
      <c r="Q29" s="66" t="s">
        <v>9</v>
      </c>
      <c r="R29" s="65" t="str">
        <f aca="false">IF(CS305!P10=0,"—",TEXT(CS305!P10,"0"))</f>
        <v>3</v>
      </c>
      <c r="S29" s="66" t="s">
        <v>9</v>
      </c>
      <c r="T29" s="66" t="s">
        <v>9</v>
      </c>
      <c r="U29" s="66" t="s">
        <v>9</v>
      </c>
    </row>
    <row r="30" customFormat="false" ht="18" hidden="false" customHeight="true" outlineLevel="0" collapsed="false">
      <c r="A30" s="75"/>
      <c r="B30" s="75"/>
      <c r="C30" s="75"/>
      <c r="D30" s="30" t="s">
        <v>141</v>
      </c>
      <c r="E30" s="78" t="n">
        <f aca="false">CS305!O11</f>
        <v>6</v>
      </c>
      <c r="F30" s="61" t="n">
        <f aca="false">CS305!P11</f>
        <v>3</v>
      </c>
      <c r="G30" s="63" t="str">
        <f aca="false">IF(CS305!P11=0,"—",TEXT(CS305!P11,"0"))</f>
        <v>3</v>
      </c>
      <c r="H30" s="63" t="str">
        <f aca="false">IF(CS305!P11=0,"—",TEXT(CS305!P11,"0"))</f>
        <v>3</v>
      </c>
      <c r="I30" s="64" t="s">
        <v>9</v>
      </c>
      <c r="J30" s="63" t="str">
        <f aca="false">IF(CS305!P11=0,"—",TEXT(CS305!P11,"0"))</f>
        <v>3</v>
      </c>
      <c r="K30" s="63" t="str">
        <f aca="false">IF(CS305!P11=0,"—",TEXT(CS305!P11,"0"))</f>
        <v>3</v>
      </c>
      <c r="L30" s="64" t="s">
        <v>9</v>
      </c>
      <c r="M30" s="64" t="s">
        <v>9</v>
      </c>
      <c r="N30" s="64" t="s">
        <v>9</v>
      </c>
      <c r="O30" s="64" t="s">
        <v>9</v>
      </c>
      <c r="P30" s="64" t="s">
        <v>9</v>
      </c>
      <c r="Q30" s="64" t="s">
        <v>9</v>
      </c>
      <c r="R30" s="63" t="str">
        <f aca="false">IF(CS305!P11=0,"—",TEXT(CS305!P11,"0"))</f>
        <v>3</v>
      </c>
      <c r="S30" s="64" t="s">
        <v>9</v>
      </c>
      <c r="T30" s="64" t="s">
        <v>9</v>
      </c>
      <c r="U30" s="64" t="s">
        <v>9</v>
      </c>
    </row>
    <row r="31" customFormat="false" ht="18" hidden="false" customHeight="true" outlineLevel="0" collapsed="false">
      <c r="A31" s="75"/>
      <c r="B31" s="75"/>
      <c r="C31" s="75"/>
      <c r="D31" s="30" t="s">
        <v>143</v>
      </c>
      <c r="E31" s="78" t="n">
        <f aca="false">CS305!O12</f>
        <v>7</v>
      </c>
      <c r="F31" s="61" t="n">
        <f aca="false">CS305!P12</f>
        <v>3</v>
      </c>
      <c r="G31" s="65" t="str">
        <f aca="false">IF(CS305!P12=0,"—",TEXT(CS305!P12,"0"))</f>
        <v>3</v>
      </c>
      <c r="H31" s="65" t="str">
        <f aca="false">IF(CS305!P12=0,"—",TEXT(CS305!P12,"0"))</f>
        <v>3</v>
      </c>
      <c r="I31" s="65" t="str">
        <f aca="false">IF(CS305!P12=0,"—",TEXT(CS305!P12,"0"))</f>
        <v>3</v>
      </c>
      <c r="J31" s="65" t="str">
        <f aca="false">IF(CS305!P12=0,"—",TEXT(CS305!P12,"0"))</f>
        <v>3</v>
      </c>
      <c r="K31" s="65" t="str">
        <f aca="false">IF(CS305!P12=0,"—",TEXT(CS305!P12,"0"))</f>
        <v>3</v>
      </c>
      <c r="L31" s="66" t="s">
        <v>9</v>
      </c>
      <c r="M31" s="66" t="s">
        <v>9</v>
      </c>
      <c r="N31" s="66" t="s">
        <v>9</v>
      </c>
      <c r="O31" s="66" t="s">
        <v>9</v>
      </c>
      <c r="P31" s="66" t="s">
        <v>9</v>
      </c>
      <c r="Q31" s="66" t="s">
        <v>9</v>
      </c>
      <c r="R31" s="65" t="str">
        <f aca="false">IF(CS305!P12=0,"—",TEXT(CS305!P12,"0"))</f>
        <v>3</v>
      </c>
      <c r="S31" s="66" t="s">
        <v>9</v>
      </c>
      <c r="T31" s="66" t="s">
        <v>9</v>
      </c>
      <c r="U31" s="66" t="s">
        <v>9</v>
      </c>
    </row>
    <row r="32" customFormat="false" ht="18" hidden="false" customHeight="true" outlineLevel="0" collapsed="false">
      <c r="A32" s="75"/>
      <c r="B32" s="75"/>
      <c r="C32" s="75"/>
      <c r="D32" s="30" t="s">
        <v>176</v>
      </c>
      <c r="E32" s="78" t="n">
        <f aca="false">CS305!O13</f>
        <v>10</v>
      </c>
      <c r="F32" s="61" t="n">
        <f aca="false">CS305!P13</f>
        <v>3</v>
      </c>
      <c r="G32" s="63" t="str">
        <f aca="false">IF(CS305!P13=0,"—",TEXT(CS305!P13,"0"))</f>
        <v>3</v>
      </c>
      <c r="H32" s="63" t="str">
        <f aca="false">IF(CS305!P13=0,"—",TEXT(CS305!P13,"0"))</f>
        <v>3</v>
      </c>
      <c r="I32" s="63" t="str">
        <f aca="false">IF(CS305!P13=0,"—",TEXT(CS305!P13,"0"))</f>
        <v>3</v>
      </c>
      <c r="J32" s="63" t="str">
        <f aca="false">IF(CS305!P13=0,"—",TEXT(CS305!P13,"0"))</f>
        <v>3</v>
      </c>
      <c r="K32" s="63" t="str">
        <f aca="false">IF(CS305!P13=0,"—",TEXT(CS305!P13,"0"))</f>
        <v>3</v>
      </c>
      <c r="L32" s="64" t="s">
        <v>9</v>
      </c>
      <c r="M32" s="64" t="s">
        <v>9</v>
      </c>
      <c r="N32" s="63" t="str">
        <f aca="false">IF(CS305!P13=0,"—",TEXT(CS305!P13,"0"))</f>
        <v>3</v>
      </c>
      <c r="O32" s="63" t="str">
        <f aca="false">IF(CS305!P13=0,"—",TEXT(CS305!P13,"0"))</f>
        <v>3</v>
      </c>
      <c r="P32" s="63" t="str">
        <f aca="false">IF(CS305!P13=0,"—",TEXT(CS305!P13,"0"))</f>
        <v>3</v>
      </c>
      <c r="Q32" s="63" t="str">
        <f aca="false">IF(CS305!P13=0,"—",TEXT(CS305!P13,"0"))</f>
        <v>3</v>
      </c>
      <c r="R32" s="63" t="str">
        <f aca="false">IF(CS305!P13=0,"—",TEXT(CS305!P13,"0"))</f>
        <v>3</v>
      </c>
      <c r="S32" s="64" t="s">
        <v>9</v>
      </c>
      <c r="T32" s="64" t="s">
        <v>9</v>
      </c>
      <c r="U32" s="64" t="s">
        <v>9</v>
      </c>
    </row>
    <row r="34" customFormat="false" ht="24" hidden="false" customHeight="true" outlineLevel="0" collapsed="false">
      <c r="A34" s="67" t="s">
        <v>177</v>
      </c>
      <c r="B34" s="67"/>
      <c r="C34" s="67"/>
      <c r="D34" s="67"/>
      <c r="E34" s="79" t="n">
        <f aca="false">AVERAGE(E7:E32)</f>
        <v>6.42307692307692</v>
      </c>
      <c r="F34" s="79" t="n">
        <f aca="false">AVERAGE(F7:F32)</f>
        <v>3</v>
      </c>
      <c r="G34" s="79" t="str">
        <f aca="false">IFERROR(AVERAGEIF(G7:G32,"&lt;&gt;—"),"")</f>
        <v/>
      </c>
      <c r="H34" s="79" t="str">
        <f aca="false">IFERROR(AVERAGEIF(H7:H32,"&lt;&gt;—"),"")</f>
        <v/>
      </c>
      <c r="I34" s="79" t="str">
        <f aca="false">IFERROR(AVERAGEIF(I7:I32,"&lt;&gt;—"),"")</f>
        <v/>
      </c>
      <c r="J34" s="79" t="str">
        <f aca="false">IFERROR(AVERAGEIF(J7:J32,"&lt;&gt;—"),"")</f>
        <v/>
      </c>
      <c r="K34" s="79" t="str">
        <f aca="false">IFERROR(AVERAGEIF(K7:K32,"&lt;&gt;—"),"")</f>
        <v/>
      </c>
      <c r="L34" s="79" t="str">
        <f aca="false">IFERROR(AVERAGEIF(L7:L32,"&lt;&gt;—"),"")</f>
        <v/>
      </c>
      <c r="M34" s="79" t="str">
        <f aca="false">IFERROR(AVERAGEIF(M7:M32,"&lt;&gt;—"),"")</f>
        <v/>
      </c>
      <c r="N34" s="79" t="str">
        <f aca="false">IFERROR(AVERAGEIF(N7:N32,"&lt;&gt;—"),"")</f>
        <v/>
      </c>
      <c r="O34" s="79" t="str">
        <f aca="false">IFERROR(AVERAGEIF(O7:O32,"&lt;&gt;—"),"")</f>
        <v/>
      </c>
      <c r="P34" s="79" t="str">
        <f aca="false">IFERROR(AVERAGEIF(P7:P32,"&lt;&gt;—"),"")</f>
        <v/>
      </c>
      <c r="Q34" s="79" t="str">
        <f aca="false">IFERROR(AVERAGEIF(Q7:Q32,"&lt;&gt;—"),"")</f>
        <v/>
      </c>
      <c r="R34" s="79" t="str">
        <f aca="false">IFERROR(AVERAGEIF(R7:R32,"&lt;&gt;—"),"")</f>
        <v/>
      </c>
      <c r="S34" s="79" t="str">
        <f aca="false">IFERROR(AVERAGEIF(S7:S32,"&lt;&gt;—"),"")</f>
        <v/>
      </c>
      <c r="T34" s="79" t="str">
        <f aca="false">IFERROR(AVERAGEIF(T7:T32,"&lt;&gt;—"),"")</f>
        <v/>
      </c>
      <c r="U34" s="79" t="str">
        <f aca="false">IFERROR(AVERAGEIF(U7:U32,"&lt;&gt;—"),"")</f>
        <v/>
      </c>
    </row>
  </sheetData>
  <mergeCells count="27">
    <mergeCell ref="A1:U1"/>
    <mergeCell ref="A2:U2"/>
    <mergeCell ref="A4:E4"/>
    <mergeCell ref="A5:A6"/>
    <mergeCell ref="B5:B6"/>
    <mergeCell ref="C5:C6"/>
    <mergeCell ref="D5:D6"/>
    <mergeCell ref="E5:E6"/>
    <mergeCell ref="F5:F6"/>
    <mergeCell ref="G5:R5"/>
    <mergeCell ref="S5:U5"/>
    <mergeCell ref="A7:A11"/>
    <mergeCell ref="B7:B11"/>
    <mergeCell ref="C7:C11"/>
    <mergeCell ref="A12:A16"/>
    <mergeCell ref="B12:B16"/>
    <mergeCell ref="C12:C16"/>
    <mergeCell ref="A17:A21"/>
    <mergeCell ref="B17:B21"/>
    <mergeCell ref="C17:C21"/>
    <mergeCell ref="A22:A26"/>
    <mergeCell ref="B22:B26"/>
    <mergeCell ref="C22:C26"/>
    <mergeCell ref="A27:A32"/>
    <mergeCell ref="B27:B32"/>
    <mergeCell ref="C27:C32"/>
    <mergeCell ref="A34:D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32"/>
    <col collapsed="false" customWidth="true" hidden="false" outlineLevel="0" max="14" min="3" style="1" width="10"/>
    <col collapsed="false" customWidth="true" hidden="false" outlineLevel="0" max="17" min="15" style="1" width="9"/>
    <col collapsed="false" customWidth="true" hidden="false" outlineLevel="0" max="32" min="18" style="1" width="8"/>
  </cols>
  <sheetData>
    <row r="1" customFormat="false" ht="36" hidden="false" customHeight="true" outlineLevel="0" collapsed="false">
      <c r="A1" s="39" t="s">
        <v>178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</row>
    <row r="2" customFormat="false" ht="13.5" hidden="false" customHeight="true" outlineLevel="0" collapsed="false">
      <c r="A2" s="40" t="s">
        <v>98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</row>
    <row r="3" customFormat="false" ht="4.5" hidden="false" customHeight="true" outlineLevel="0" collapsed="false"/>
    <row r="4" customFormat="false" ht="18" hidden="false" customHeight="true" outlineLevel="0" collapsed="false">
      <c r="A4" s="41" t="s">
        <v>99</v>
      </c>
      <c r="B4" s="41"/>
      <c r="C4" s="42" t="s">
        <v>53</v>
      </c>
      <c r="D4" s="42" t="s">
        <v>53</v>
      </c>
      <c r="E4" s="42" t="s">
        <v>53</v>
      </c>
      <c r="F4" s="42" t="s">
        <v>53</v>
      </c>
      <c r="G4" s="42" t="s">
        <v>53</v>
      </c>
      <c r="H4" s="42" t="s">
        <v>53</v>
      </c>
      <c r="I4" s="42" t="s">
        <v>53</v>
      </c>
      <c r="J4" s="42" t="s">
        <v>53</v>
      </c>
      <c r="K4" s="42" t="s">
        <v>53</v>
      </c>
      <c r="L4" s="42" t="s">
        <v>53</v>
      </c>
      <c r="M4" s="42" t="s">
        <v>53</v>
      </c>
      <c r="N4" s="43" t="s">
        <v>87</v>
      </c>
      <c r="O4" s="44" t="s">
        <v>100</v>
      </c>
      <c r="P4" s="30" t="s">
        <v>3</v>
      </c>
      <c r="Q4" s="45" t="s">
        <v>4</v>
      </c>
      <c r="R4" s="46" t="s">
        <v>101</v>
      </c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7" t="s">
        <v>102</v>
      </c>
      <c r="AE4" s="47"/>
      <c r="AF4" s="47"/>
    </row>
    <row r="5" customFormat="false" ht="21.75" hidden="false" customHeight="true" outlineLevel="0" collapsed="false">
      <c r="A5" s="5" t="s">
        <v>103</v>
      </c>
      <c r="B5" s="5" t="s">
        <v>104</v>
      </c>
      <c r="C5" s="48" t="s">
        <v>105</v>
      </c>
      <c r="D5" s="48" t="s">
        <v>106</v>
      </c>
      <c r="E5" s="48" t="s">
        <v>59</v>
      </c>
      <c r="F5" s="48" t="s">
        <v>62</v>
      </c>
      <c r="G5" s="48" t="s">
        <v>107</v>
      </c>
      <c r="H5" s="48" t="s">
        <v>108</v>
      </c>
      <c r="I5" s="48" t="s">
        <v>109</v>
      </c>
      <c r="J5" s="48" t="s">
        <v>110</v>
      </c>
      <c r="K5" s="48" t="s">
        <v>111</v>
      </c>
      <c r="L5" s="48" t="s">
        <v>112</v>
      </c>
      <c r="M5" s="48" t="s">
        <v>113</v>
      </c>
      <c r="N5" s="49" t="s">
        <v>114</v>
      </c>
      <c r="O5" s="50" t="s">
        <v>115</v>
      </c>
      <c r="P5" s="51" t="s">
        <v>116</v>
      </c>
      <c r="Q5" s="52" t="s">
        <v>117</v>
      </c>
      <c r="R5" s="30" t="s">
        <v>118</v>
      </c>
      <c r="S5" s="30" t="s">
        <v>119</v>
      </c>
      <c r="T5" s="30" t="s">
        <v>120</v>
      </c>
      <c r="U5" s="30" t="s">
        <v>121</v>
      </c>
      <c r="V5" s="30" t="s">
        <v>122</v>
      </c>
      <c r="W5" s="30" t="s">
        <v>123</v>
      </c>
      <c r="X5" s="30" t="s">
        <v>124</v>
      </c>
      <c r="Y5" s="30" t="s">
        <v>125</v>
      </c>
      <c r="Z5" s="30" t="s">
        <v>126</v>
      </c>
      <c r="AA5" s="30" t="s">
        <v>127</v>
      </c>
      <c r="AB5" s="30" t="s">
        <v>128</v>
      </c>
      <c r="AC5" s="30" t="s">
        <v>129</v>
      </c>
      <c r="AD5" s="34" t="s">
        <v>130</v>
      </c>
      <c r="AE5" s="34" t="s">
        <v>131</v>
      </c>
      <c r="AF5" s="34" t="s">
        <v>132</v>
      </c>
    </row>
    <row r="6" customFormat="false" ht="15.75" hidden="false" customHeight="true" outlineLevel="0" collapsed="false">
      <c r="A6" s="53"/>
      <c r="B6" s="54" t="s">
        <v>133</v>
      </c>
      <c r="C6" s="55" t="s">
        <v>51</v>
      </c>
      <c r="D6" s="55" t="s">
        <v>55</v>
      </c>
      <c r="E6" s="55" t="s">
        <v>58</v>
      </c>
      <c r="F6" s="55" t="s">
        <v>61</v>
      </c>
      <c r="G6" s="55" t="s">
        <v>64</v>
      </c>
      <c r="H6" s="55" t="s">
        <v>67</v>
      </c>
      <c r="I6" s="55" t="s">
        <v>70</v>
      </c>
      <c r="J6" s="55" t="s">
        <v>73</v>
      </c>
      <c r="K6" s="55" t="s">
        <v>76</v>
      </c>
      <c r="L6" s="55" t="s">
        <v>79</v>
      </c>
      <c r="M6" s="55" t="s">
        <v>82</v>
      </c>
      <c r="N6" s="55" t="s">
        <v>85</v>
      </c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</row>
    <row r="7" customFormat="false" ht="13.5" hidden="false" customHeight="true" outlineLevel="0" collapsed="false">
      <c r="A7" s="56" t="s">
        <v>134</v>
      </c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</row>
    <row r="8" customFormat="false" ht="19.5" hidden="false" customHeight="true" outlineLevel="0" collapsed="false">
      <c r="A8" s="57" t="s">
        <v>135</v>
      </c>
      <c r="B8" s="31" t="s">
        <v>179</v>
      </c>
      <c r="C8" s="58" t="n">
        <v>1</v>
      </c>
      <c r="D8" s="58" t="n">
        <v>1</v>
      </c>
      <c r="E8" s="59" t="n">
        <v>0</v>
      </c>
      <c r="F8" s="59" t="n">
        <v>0</v>
      </c>
      <c r="G8" s="59" t="n">
        <v>0</v>
      </c>
      <c r="H8" s="58" t="n">
        <v>1</v>
      </c>
      <c r="I8" s="59" t="n">
        <v>0</v>
      </c>
      <c r="J8" s="58" t="n">
        <v>1</v>
      </c>
      <c r="K8" s="59" t="n">
        <v>0</v>
      </c>
      <c r="L8" s="59" t="n">
        <v>0</v>
      </c>
      <c r="M8" s="59" t="n">
        <v>0</v>
      </c>
      <c r="N8" s="58" t="n">
        <v>1</v>
      </c>
      <c r="O8" s="60" t="n">
        <f aca="false">COUNTIF(C8:N8,1)</f>
        <v>5</v>
      </c>
      <c r="P8" s="61" t="n">
        <f aca="false">IF(O8&gt;=4,3,IF(O8&gt;=3,2,IF(O8&gt;=1,1,0)))</f>
        <v>3</v>
      </c>
      <c r="Q8" s="62" t="str">
        <f aca="false">IF(P8=0,"—",TEXT(P8,"0"))</f>
        <v>3</v>
      </c>
      <c r="R8" s="63" t="str">
        <f aca="false">IF(P8=0,"—",TEXT(P8,"0"))</f>
        <v>3</v>
      </c>
      <c r="S8" s="63" t="str">
        <f aca="false">IF(P8=0,"—",TEXT(P8,"0"))</f>
        <v>3</v>
      </c>
      <c r="T8" s="64" t="s">
        <v>9</v>
      </c>
      <c r="U8" s="64" t="s">
        <v>9</v>
      </c>
      <c r="V8" s="63" t="str">
        <f aca="false">IF(P8=0,"—",TEXT(P8,"0"))</f>
        <v>3</v>
      </c>
      <c r="W8" s="64" t="s">
        <v>9</v>
      </c>
      <c r="X8" s="64" t="s">
        <v>9</v>
      </c>
      <c r="Y8" s="64" t="s">
        <v>9</v>
      </c>
      <c r="Z8" s="64" t="s">
        <v>9</v>
      </c>
      <c r="AA8" s="64" t="s">
        <v>9</v>
      </c>
      <c r="AB8" s="64" t="s">
        <v>9</v>
      </c>
      <c r="AC8" s="63" t="str">
        <f aca="false">IF(P8=0,"—",TEXT(P8,"0"))</f>
        <v>3</v>
      </c>
      <c r="AD8" s="64" t="s">
        <v>9</v>
      </c>
      <c r="AE8" s="64" t="s">
        <v>9</v>
      </c>
      <c r="AF8" s="64" t="s">
        <v>9</v>
      </c>
    </row>
    <row r="9" customFormat="false" ht="19.5" hidden="false" customHeight="true" outlineLevel="0" collapsed="false">
      <c r="A9" s="57" t="s">
        <v>137</v>
      </c>
      <c r="B9" s="32" t="s">
        <v>180</v>
      </c>
      <c r="C9" s="58" t="n">
        <v>1</v>
      </c>
      <c r="D9" s="58" t="n">
        <v>1</v>
      </c>
      <c r="E9" s="58" t="n">
        <v>1</v>
      </c>
      <c r="F9" s="59" t="n">
        <v>0</v>
      </c>
      <c r="G9" s="59" t="n">
        <v>0</v>
      </c>
      <c r="H9" s="58" t="n">
        <v>1</v>
      </c>
      <c r="I9" s="58" t="n">
        <v>1</v>
      </c>
      <c r="J9" s="58" t="n">
        <v>1</v>
      </c>
      <c r="K9" s="59" t="n">
        <v>0</v>
      </c>
      <c r="L9" s="59" t="n">
        <v>0</v>
      </c>
      <c r="M9" s="59" t="n">
        <v>0</v>
      </c>
      <c r="N9" s="59" t="n">
        <v>0</v>
      </c>
      <c r="O9" s="60" t="n">
        <f aca="false">COUNTIF(C9:N9,1)</f>
        <v>6</v>
      </c>
      <c r="P9" s="61" t="n">
        <f aca="false">IF(O9&gt;=4,3,IF(O9&gt;=3,2,IF(O9&gt;=1,1,0)))</f>
        <v>3</v>
      </c>
      <c r="Q9" s="62" t="str">
        <f aca="false">IF(P9=0,"—",TEXT(P9,"0"))</f>
        <v>3</v>
      </c>
      <c r="R9" s="65" t="str">
        <f aca="false">IF(P9=0,"—",TEXT(P9,"0"))</f>
        <v>3</v>
      </c>
      <c r="S9" s="65" t="str">
        <f aca="false">IF(P9=0,"—",TEXT(P9,"0"))</f>
        <v>3</v>
      </c>
      <c r="T9" s="65" t="str">
        <f aca="false">IF(P9=0,"—",TEXT(P9,"0"))</f>
        <v>3</v>
      </c>
      <c r="U9" s="66" t="s">
        <v>9</v>
      </c>
      <c r="V9" s="65" t="str">
        <f aca="false">IF(P9=0,"—",TEXT(P9,"0"))</f>
        <v>3</v>
      </c>
      <c r="W9" s="66" t="s">
        <v>9</v>
      </c>
      <c r="X9" s="66" t="s">
        <v>9</v>
      </c>
      <c r="Y9" s="66" t="s">
        <v>9</v>
      </c>
      <c r="Z9" s="66" t="s">
        <v>9</v>
      </c>
      <c r="AA9" s="66" t="s">
        <v>9</v>
      </c>
      <c r="AB9" s="66" t="s">
        <v>9</v>
      </c>
      <c r="AC9" s="65" t="str">
        <f aca="false">IF(P9=0,"—",TEXT(P9,"0"))</f>
        <v>3</v>
      </c>
      <c r="AD9" s="66" t="s">
        <v>9</v>
      </c>
      <c r="AE9" s="66" t="s">
        <v>9</v>
      </c>
      <c r="AF9" s="66" t="s">
        <v>9</v>
      </c>
    </row>
    <row r="10" customFormat="false" ht="19.5" hidden="false" customHeight="true" outlineLevel="0" collapsed="false">
      <c r="A10" s="57" t="s">
        <v>139</v>
      </c>
      <c r="B10" s="31" t="s">
        <v>181</v>
      </c>
      <c r="C10" s="58" t="n">
        <v>1</v>
      </c>
      <c r="D10" s="58" t="n">
        <v>1</v>
      </c>
      <c r="E10" s="59" t="n">
        <v>0</v>
      </c>
      <c r="F10" s="59" t="n">
        <v>0</v>
      </c>
      <c r="G10" s="59" t="n">
        <v>0</v>
      </c>
      <c r="H10" s="58" t="n">
        <v>1</v>
      </c>
      <c r="I10" s="58" t="n">
        <v>1</v>
      </c>
      <c r="J10" s="58" t="n">
        <v>1</v>
      </c>
      <c r="K10" s="58" t="n">
        <v>1</v>
      </c>
      <c r="L10" s="59" t="n">
        <v>0</v>
      </c>
      <c r="M10" s="59" t="n">
        <v>0</v>
      </c>
      <c r="N10" s="58" t="n">
        <v>1</v>
      </c>
      <c r="O10" s="60" t="n">
        <f aca="false">COUNTIF(C10:N10,1)</f>
        <v>7</v>
      </c>
      <c r="P10" s="61" t="n">
        <f aca="false">IF(O10&gt;=4,3,IF(O10&gt;=3,2,IF(O10&gt;=1,1,0)))</f>
        <v>3</v>
      </c>
      <c r="Q10" s="62" t="str">
        <f aca="false">IF(P10=0,"—",TEXT(P10,"0"))</f>
        <v>3</v>
      </c>
      <c r="R10" s="63" t="str">
        <f aca="false">IF(P10=0,"—",TEXT(P10,"0"))</f>
        <v>3</v>
      </c>
      <c r="S10" s="63" t="str">
        <f aca="false">IF(P10=0,"—",TEXT(P10,"0"))</f>
        <v>3</v>
      </c>
      <c r="T10" s="63" t="str">
        <f aca="false">IF(P10=0,"—",TEXT(P10,"0"))</f>
        <v>3</v>
      </c>
      <c r="U10" s="63" t="str">
        <f aca="false">IF(P10=0,"—",TEXT(P10,"0"))</f>
        <v>3</v>
      </c>
      <c r="V10" s="63" t="str">
        <f aca="false">IF(P10=0,"—",TEXT(P10,"0"))</f>
        <v>3</v>
      </c>
      <c r="W10" s="64" t="s">
        <v>9</v>
      </c>
      <c r="X10" s="64" t="s">
        <v>9</v>
      </c>
      <c r="Y10" s="64" t="s">
        <v>9</v>
      </c>
      <c r="Z10" s="64" t="s">
        <v>9</v>
      </c>
      <c r="AA10" s="64" t="s">
        <v>9</v>
      </c>
      <c r="AB10" s="64" t="s">
        <v>9</v>
      </c>
      <c r="AC10" s="63" t="str">
        <f aca="false">IF(P10=0,"—",TEXT(P10,"0"))</f>
        <v>3</v>
      </c>
      <c r="AD10" s="64" t="s">
        <v>9</v>
      </c>
      <c r="AE10" s="64" t="s">
        <v>9</v>
      </c>
      <c r="AF10" s="64" t="s">
        <v>9</v>
      </c>
    </row>
    <row r="11" customFormat="false" ht="19.5" hidden="false" customHeight="true" outlineLevel="0" collapsed="false">
      <c r="A11" s="57" t="s">
        <v>141</v>
      </c>
      <c r="B11" s="32" t="s">
        <v>182</v>
      </c>
      <c r="C11" s="58" t="n">
        <v>1</v>
      </c>
      <c r="D11" s="58" t="n">
        <v>1</v>
      </c>
      <c r="E11" s="59" t="n">
        <v>0</v>
      </c>
      <c r="F11" s="58" t="n">
        <v>1</v>
      </c>
      <c r="G11" s="59" t="n">
        <v>0</v>
      </c>
      <c r="H11" s="58" t="n">
        <v>1</v>
      </c>
      <c r="I11" s="59" t="n">
        <v>0</v>
      </c>
      <c r="J11" s="58" t="n">
        <v>1</v>
      </c>
      <c r="K11" s="59" t="n">
        <v>0</v>
      </c>
      <c r="L11" s="59" t="n">
        <v>0</v>
      </c>
      <c r="M11" s="59" t="n">
        <v>0</v>
      </c>
      <c r="N11" s="58" t="n">
        <v>1</v>
      </c>
      <c r="O11" s="60" t="n">
        <f aca="false">COUNTIF(C11:N11,1)</f>
        <v>6</v>
      </c>
      <c r="P11" s="61" t="n">
        <f aca="false">IF(O11&gt;=4,3,IF(O11&gt;=3,2,IF(O11&gt;=1,1,0)))</f>
        <v>3</v>
      </c>
      <c r="Q11" s="62" t="str">
        <f aca="false">IF(P11=0,"—",TEXT(P11,"0"))</f>
        <v>3</v>
      </c>
      <c r="R11" s="65" t="str">
        <f aca="false">IF(P11=0,"—",TEXT(P11,"0"))</f>
        <v>3</v>
      </c>
      <c r="S11" s="65" t="str">
        <f aca="false">IF(P11=0,"—",TEXT(P11,"0"))</f>
        <v>3</v>
      </c>
      <c r="T11" s="65" t="str">
        <f aca="false">IF(P11=0,"—",TEXT(P11,"0"))</f>
        <v>3</v>
      </c>
      <c r="U11" s="66" t="s">
        <v>9</v>
      </c>
      <c r="V11" s="66" t="s">
        <v>9</v>
      </c>
      <c r="W11" s="66" t="s">
        <v>9</v>
      </c>
      <c r="X11" s="66" t="s">
        <v>9</v>
      </c>
      <c r="Y11" s="66" t="s">
        <v>9</v>
      </c>
      <c r="Z11" s="66" t="s">
        <v>9</v>
      </c>
      <c r="AA11" s="66" t="s">
        <v>9</v>
      </c>
      <c r="AB11" s="66" t="s">
        <v>9</v>
      </c>
      <c r="AC11" s="65" t="str">
        <f aca="false">IF(P11=0,"—",TEXT(P11,"0"))</f>
        <v>3</v>
      </c>
      <c r="AD11" s="66" t="s">
        <v>9</v>
      </c>
      <c r="AE11" s="66" t="s">
        <v>9</v>
      </c>
      <c r="AF11" s="66" t="s">
        <v>9</v>
      </c>
    </row>
    <row r="12" customFormat="false" ht="19.5" hidden="false" customHeight="true" outlineLevel="0" collapsed="false">
      <c r="A12" s="57" t="s">
        <v>143</v>
      </c>
      <c r="B12" s="31" t="s">
        <v>183</v>
      </c>
      <c r="C12" s="58" t="n">
        <v>1</v>
      </c>
      <c r="D12" s="58" t="n">
        <v>1</v>
      </c>
      <c r="E12" s="59" t="n">
        <v>0</v>
      </c>
      <c r="F12" s="59" t="n">
        <v>0</v>
      </c>
      <c r="G12" s="58" t="n">
        <v>1</v>
      </c>
      <c r="H12" s="58" t="n">
        <v>1</v>
      </c>
      <c r="I12" s="59" t="n">
        <v>0</v>
      </c>
      <c r="J12" s="58" t="n">
        <v>1</v>
      </c>
      <c r="K12" s="59" t="n">
        <v>0</v>
      </c>
      <c r="L12" s="58" t="n">
        <v>1</v>
      </c>
      <c r="M12" s="59" t="n">
        <v>0</v>
      </c>
      <c r="N12" s="58" t="n">
        <v>1</v>
      </c>
      <c r="O12" s="60" t="n">
        <f aca="false">COUNTIF(C12:N12,1)</f>
        <v>7</v>
      </c>
      <c r="P12" s="61" t="n">
        <f aca="false">IF(O12&gt;=4,3,IF(O12&gt;=3,2,IF(O12&gt;=1,1,0)))</f>
        <v>3</v>
      </c>
      <c r="Q12" s="62" t="str">
        <f aca="false">IF(P12=0,"—",TEXT(P12,"0"))</f>
        <v>3</v>
      </c>
      <c r="R12" s="63" t="str">
        <f aca="false">IF(P12=0,"—",TEXT(P12,"0"))</f>
        <v>3</v>
      </c>
      <c r="S12" s="63" t="str">
        <f aca="false">IF(P12=0,"—",TEXT(P12,"0"))</f>
        <v>3</v>
      </c>
      <c r="T12" s="64" t="s">
        <v>9</v>
      </c>
      <c r="U12" s="64" t="s">
        <v>9</v>
      </c>
      <c r="V12" s="63" t="str">
        <f aca="false">IF(P12=0,"—",TEXT(P12,"0"))</f>
        <v>3</v>
      </c>
      <c r="W12" s="64" t="s">
        <v>9</v>
      </c>
      <c r="X12" s="64" t="s">
        <v>9</v>
      </c>
      <c r="Y12" s="64" t="s">
        <v>9</v>
      </c>
      <c r="Z12" s="64" t="s">
        <v>9</v>
      </c>
      <c r="AA12" s="64" t="s">
        <v>9</v>
      </c>
      <c r="AB12" s="64" t="s">
        <v>9</v>
      </c>
      <c r="AC12" s="63" t="str">
        <f aca="false">IF(P12=0,"—",TEXT(P12,"0"))</f>
        <v>3</v>
      </c>
      <c r="AD12" s="64" t="s">
        <v>9</v>
      </c>
      <c r="AE12" s="64" t="s">
        <v>9</v>
      </c>
      <c r="AF12" s="64" t="s">
        <v>9</v>
      </c>
    </row>
    <row r="14" customFormat="false" ht="21.75" hidden="false" customHeight="true" outlineLevel="0" collapsed="false">
      <c r="A14" s="67" t="s">
        <v>145</v>
      </c>
      <c r="B14" s="67"/>
      <c r="C14" s="68" t="n">
        <f aca="false">COUNTIF(C8:C12,1)</f>
        <v>5</v>
      </c>
      <c r="D14" s="68" t="n">
        <f aca="false">COUNTIF(D8:D12,1)</f>
        <v>5</v>
      </c>
      <c r="E14" s="68" t="n">
        <f aca="false">COUNTIF(E8:E12,1)</f>
        <v>1</v>
      </c>
      <c r="F14" s="68" t="n">
        <f aca="false">COUNTIF(F8:F12,1)</f>
        <v>1</v>
      </c>
      <c r="G14" s="68" t="n">
        <f aca="false">COUNTIF(G8:G12,1)</f>
        <v>1</v>
      </c>
      <c r="H14" s="68" t="n">
        <f aca="false">COUNTIF(H8:H12,1)</f>
        <v>5</v>
      </c>
      <c r="I14" s="68" t="n">
        <f aca="false">COUNTIF(I8:I12,1)</f>
        <v>2</v>
      </c>
      <c r="J14" s="68" t="n">
        <f aca="false">COUNTIF(J8:J12,1)</f>
        <v>5</v>
      </c>
      <c r="K14" s="68" t="n">
        <f aca="false">COUNTIF(K8:K12,1)</f>
        <v>1</v>
      </c>
      <c r="L14" s="68" t="n">
        <f aca="false">COUNTIF(L8:L12,1)</f>
        <v>1</v>
      </c>
      <c r="M14" s="68" t="n">
        <f aca="false">COUNTIF(M8:M12,1)</f>
        <v>0</v>
      </c>
      <c r="N14" s="68" t="n">
        <f aca="false">COUNTIF(N8:N12,1)</f>
        <v>4</v>
      </c>
      <c r="O14" s="68" t="n">
        <f aca="false">SUM(O8:O12)</f>
        <v>31</v>
      </c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</row>
    <row r="15" customFormat="false" ht="21.75" hidden="false" customHeight="true" outlineLevel="0" collapsed="false">
      <c r="A15" s="46" t="s">
        <v>146</v>
      </c>
      <c r="B15" s="46"/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1" t="n">
        <f aca="false">IFERROR(AVERAGE(O8:O12),0)</f>
        <v>6.2</v>
      </c>
      <c r="P15" s="71" t="n">
        <f aca="false">IFERROR(AVERAGE(P8:P12),0)</f>
        <v>3</v>
      </c>
      <c r="Q15" s="70"/>
      <c r="R15" s="71" t="str">
        <f aca="false">IFERROR(AVERAGEIF(R8:R12,"&lt;&gt;—"),"")</f>
        <v/>
      </c>
      <c r="S15" s="71" t="str">
        <f aca="false">IFERROR(AVERAGEIF(S8:S12,"&lt;&gt;—"),"")</f>
        <v/>
      </c>
      <c r="T15" s="71" t="str">
        <f aca="false">IFERROR(AVERAGEIF(T8:T12,"&lt;&gt;—"),"")</f>
        <v/>
      </c>
      <c r="U15" s="71" t="str">
        <f aca="false">IFERROR(AVERAGEIF(U8:U12,"&lt;&gt;—"),"")</f>
        <v/>
      </c>
      <c r="V15" s="71" t="str">
        <f aca="false">IFERROR(AVERAGEIF(V8:V12,"&lt;&gt;—"),"")</f>
        <v/>
      </c>
      <c r="W15" s="71" t="str">
        <f aca="false">IFERROR(AVERAGEIF(W8:W12,"&lt;&gt;—"),"")</f>
        <v/>
      </c>
      <c r="X15" s="71" t="str">
        <f aca="false">IFERROR(AVERAGEIF(X8:X12,"&lt;&gt;—"),"")</f>
        <v/>
      </c>
      <c r="Y15" s="71" t="str">
        <f aca="false">IFERROR(AVERAGEIF(Y8:Y12,"&lt;&gt;—"),"")</f>
        <v/>
      </c>
      <c r="Z15" s="71" t="str">
        <f aca="false">IFERROR(AVERAGEIF(Z8:Z12,"&lt;&gt;—"),"")</f>
        <v/>
      </c>
      <c r="AA15" s="71" t="str">
        <f aca="false">IFERROR(AVERAGEIF(AA8:AA12,"&lt;&gt;—"),"")</f>
        <v/>
      </c>
      <c r="AB15" s="71" t="str">
        <f aca="false">IFERROR(AVERAGEIF(AB8:AB12,"&lt;&gt;—"),"")</f>
        <v/>
      </c>
      <c r="AC15" s="71" t="str">
        <f aca="false">IFERROR(AVERAGEIF(AC8:AC12,"&lt;&gt;—"),"")</f>
        <v/>
      </c>
      <c r="AD15" s="71" t="str">
        <f aca="false">IFERROR(AVERAGEIF(AD8:AD12,"&lt;&gt;—"),"")</f>
        <v/>
      </c>
      <c r="AE15" s="71" t="str">
        <f aca="false">IFERROR(AVERAGEIF(AE8:AE12,"&lt;&gt;—"),"")</f>
        <v/>
      </c>
      <c r="AF15" s="71" t="str">
        <f aca="false">IFERROR(AVERAGEIF(AF8:AF12,"&lt;&gt;—"),"")</f>
        <v/>
      </c>
    </row>
  </sheetData>
  <mergeCells count="8">
    <mergeCell ref="A1:AF1"/>
    <mergeCell ref="A2:AF2"/>
    <mergeCell ref="A4:B4"/>
    <mergeCell ref="R4:AC4"/>
    <mergeCell ref="AD4:AF4"/>
    <mergeCell ref="A7:AF7"/>
    <mergeCell ref="A14:B14"/>
    <mergeCell ref="A15:B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8"/>
    <col collapsed="false" customWidth="true" hidden="false" outlineLevel="0" max="3" min="3" style="1" width="30"/>
    <col collapsed="false" customWidth="true" hidden="false" outlineLevel="0" max="4" min="4" style="1" width="10"/>
    <col collapsed="false" customWidth="true" hidden="false" outlineLevel="0" max="16" min="5" style="1" width="11"/>
  </cols>
  <sheetData>
    <row r="1" customFormat="false" ht="39.75" hidden="false" customHeight="true" outlineLevel="0" collapsed="false">
      <c r="A1" s="72" t="s">
        <v>184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</row>
    <row r="2" customFormat="false" ht="13.5" hidden="false" customHeight="true" outlineLevel="0" collapsed="false">
      <c r="A2" s="80" t="s">
        <v>185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</row>
    <row r="3" customFormat="false" ht="7.5" hidden="false" customHeight="true" outlineLevel="0" collapsed="false"/>
    <row r="4" customFormat="false" ht="25.5" hidden="false" customHeight="true" outlineLevel="0" collapsed="false">
      <c r="A4" s="73" t="s">
        <v>160</v>
      </c>
      <c r="B4" s="73" t="s">
        <v>186</v>
      </c>
      <c r="C4" s="73" t="s">
        <v>48</v>
      </c>
      <c r="D4" s="73" t="s">
        <v>49</v>
      </c>
      <c r="E4" s="46" t="s">
        <v>167</v>
      </c>
      <c r="F4" s="46"/>
      <c r="G4" s="46" t="s">
        <v>169</v>
      </c>
      <c r="H4" s="46"/>
      <c r="I4" s="46" t="s">
        <v>171</v>
      </c>
      <c r="J4" s="46"/>
      <c r="K4" s="46" t="s">
        <v>173</v>
      </c>
      <c r="L4" s="46"/>
      <c r="M4" s="46" t="s">
        <v>175</v>
      </c>
      <c r="N4" s="46"/>
      <c r="O4" s="81" t="s">
        <v>187</v>
      </c>
      <c r="P4" s="81"/>
    </row>
    <row r="5" customFormat="false" ht="19.5" hidden="false" customHeight="true" outlineLevel="0" collapsed="false">
      <c r="A5" s="73"/>
      <c r="B5" s="73"/>
      <c r="C5" s="73"/>
      <c r="D5" s="73"/>
      <c r="E5" s="51" t="s">
        <v>188</v>
      </c>
      <c r="F5" s="51" t="s">
        <v>189</v>
      </c>
      <c r="G5" s="51" t="s">
        <v>188</v>
      </c>
      <c r="H5" s="51" t="s">
        <v>189</v>
      </c>
      <c r="I5" s="51" t="s">
        <v>188</v>
      </c>
      <c r="J5" s="51" t="s">
        <v>189</v>
      </c>
      <c r="K5" s="51" t="s">
        <v>188</v>
      </c>
      <c r="L5" s="51" t="s">
        <v>189</v>
      </c>
      <c r="M5" s="51" t="s">
        <v>188</v>
      </c>
      <c r="N5" s="51" t="s">
        <v>189</v>
      </c>
      <c r="O5" s="50" t="s">
        <v>190</v>
      </c>
      <c r="P5" s="50" t="s">
        <v>191</v>
      </c>
    </row>
    <row r="6" customFormat="false" ht="19.5" hidden="false" customHeight="true" outlineLevel="0" collapsed="false">
      <c r="A6" s="53" t="n">
        <v>1</v>
      </c>
      <c r="B6" s="30" t="s">
        <v>51</v>
      </c>
      <c r="C6" s="31" t="s">
        <v>52</v>
      </c>
      <c r="D6" s="82" t="s">
        <v>53</v>
      </c>
      <c r="E6" s="83" t="n">
        <f aca="false">COUNTIF(CS301!C8:C12,1)</f>
        <v>5</v>
      </c>
      <c r="F6" s="84" t="n">
        <f aca="false">IFERROR(E6/5,0)</f>
        <v>1</v>
      </c>
      <c r="G6" s="83" t="n">
        <f aca="false">COUNTIF(CS302!C8:C12,1)</f>
        <v>5</v>
      </c>
      <c r="H6" s="84" t="n">
        <f aca="false">IFERROR(G6/5,0)</f>
        <v>1</v>
      </c>
      <c r="I6" s="83" t="n">
        <f aca="false">COUNTIF(CS303!C8:C12,1)</f>
        <v>5</v>
      </c>
      <c r="J6" s="84" t="n">
        <f aca="false">IFERROR(I6/5,0)</f>
        <v>1</v>
      </c>
      <c r="K6" s="83" t="n">
        <f aca="false">COUNTIF(CS304!C8:C12,1)</f>
        <v>5</v>
      </c>
      <c r="L6" s="84" t="n">
        <f aca="false">IFERROR(K6/5,0)</f>
        <v>1</v>
      </c>
      <c r="M6" s="83" t="n">
        <f aca="false">COUNTIF(CS305!C8:C13,1)</f>
        <v>6</v>
      </c>
      <c r="N6" s="84" t="n">
        <f aca="false">IFERROR(M6/6,0)</f>
        <v>1</v>
      </c>
      <c r="O6" s="85" t="n">
        <f aca="false">E6+G6+I6+K6+M6</f>
        <v>26</v>
      </c>
      <c r="P6" s="86" t="n">
        <f aca="false">IFERROR(O6/26,0)</f>
        <v>1</v>
      </c>
    </row>
    <row r="7" customFormat="false" ht="19.5" hidden="false" customHeight="true" outlineLevel="0" collapsed="false">
      <c r="A7" s="87" t="n">
        <v>2</v>
      </c>
      <c r="B7" s="30" t="s">
        <v>55</v>
      </c>
      <c r="C7" s="32" t="s">
        <v>56</v>
      </c>
      <c r="D7" s="88" t="s">
        <v>53</v>
      </c>
      <c r="E7" s="83" t="n">
        <f aca="false">COUNTIF(CS301!D8:D12,1)</f>
        <v>5</v>
      </c>
      <c r="F7" s="84" t="n">
        <f aca="false">IFERROR(E7/5,0)</f>
        <v>1</v>
      </c>
      <c r="G7" s="83" t="n">
        <f aca="false">COUNTIF(CS302!D8:D12,1)</f>
        <v>5</v>
      </c>
      <c r="H7" s="84" t="n">
        <f aca="false">IFERROR(G7/5,0)</f>
        <v>1</v>
      </c>
      <c r="I7" s="83" t="n">
        <f aca="false">COUNTIF(CS303!D8:D12,1)</f>
        <v>5</v>
      </c>
      <c r="J7" s="84" t="n">
        <f aca="false">IFERROR(I7/5,0)</f>
        <v>1</v>
      </c>
      <c r="K7" s="83" t="n">
        <f aca="false">COUNTIF(CS304!D8:D12,1)</f>
        <v>5</v>
      </c>
      <c r="L7" s="84" t="n">
        <f aca="false">IFERROR(K7/5,0)</f>
        <v>1</v>
      </c>
      <c r="M7" s="83" t="n">
        <f aca="false">COUNTIF(CS305!D8:D13,1)</f>
        <v>6</v>
      </c>
      <c r="N7" s="84" t="n">
        <f aca="false">IFERROR(M7/6,0)</f>
        <v>1</v>
      </c>
      <c r="O7" s="85" t="n">
        <f aca="false">E7+G7+I7+K7+M7</f>
        <v>26</v>
      </c>
      <c r="P7" s="86" t="n">
        <f aca="false">IFERROR(O7/26,0)</f>
        <v>1</v>
      </c>
    </row>
    <row r="8" customFormat="false" ht="19.5" hidden="false" customHeight="true" outlineLevel="0" collapsed="false">
      <c r="A8" s="53" t="n">
        <v>3</v>
      </c>
      <c r="B8" s="30" t="s">
        <v>58</v>
      </c>
      <c r="C8" s="31" t="s">
        <v>59</v>
      </c>
      <c r="D8" s="82" t="s">
        <v>53</v>
      </c>
      <c r="E8" s="83" t="n">
        <f aca="false">COUNTIF(CS301!E8:E12,1)</f>
        <v>1</v>
      </c>
      <c r="F8" s="84" t="n">
        <f aca="false">IFERROR(E8/5,0)</f>
        <v>0.2</v>
      </c>
      <c r="G8" s="83" t="n">
        <f aca="false">COUNTIF(CS302!E8:E12,1)</f>
        <v>1</v>
      </c>
      <c r="H8" s="84" t="n">
        <f aca="false">IFERROR(G8/5,0)</f>
        <v>0.2</v>
      </c>
      <c r="I8" s="83" t="n">
        <f aca="false">COUNTIF(CS303!E8:E12,1)</f>
        <v>1</v>
      </c>
      <c r="J8" s="84" t="n">
        <f aca="false">IFERROR(I8/5,0)</f>
        <v>0.2</v>
      </c>
      <c r="K8" s="83" t="n">
        <f aca="false">COUNTIF(CS304!E8:E12,1)</f>
        <v>1</v>
      </c>
      <c r="L8" s="84" t="n">
        <f aca="false">IFERROR(K8/5,0)</f>
        <v>0.2</v>
      </c>
      <c r="M8" s="83" t="n">
        <f aca="false">COUNTIF(CS305!E8:E13,1)</f>
        <v>1</v>
      </c>
      <c r="N8" s="84" t="n">
        <f aca="false">IFERROR(M8/6,0)</f>
        <v>0.166666666666667</v>
      </c>
      <c r="O8" s="85" t="n">
        <f aca="false">E8+G8+I8+K8+M8</f>
        <v>5</v>
      </c>
      <c r="P8" s="86" t="n">
        <f aca="false">IFERROR(O8/26,0)</f>
        <v>0.192307692307692</v>
      </c>
    </row>
    <row r="9" customFormat="false" ht="19.5" hidden="false" customHeight="true" outlineLevel="0" collapsed="false">
      <c r="A9" s="87" t="n">
        <v>4</v>
      </c>
      <c r="B9" s="30" t="s">
        <v>61</v>
      </c>
      <c r="C9" s="32" t="s">
        <v>62</v>
      </c>
      <c r="D9" s="88" t="s">
        <v>53</v>
      </c>
      <c r="E9" s="83" t="n">
        <f aca="false">COUNTIF(CS301!F8:F12,1)</f>
        <v>1</v>
      </c>
      <c r="F9" s="84" t="n">
        <f aca="false">IFERROR(E9/5,0)</f>
        <v>0.2</v>
      </c>
      <c r="G9" s="83" t="n">
        <f aca="false">COUNTIF(CS302!F8:F12,1)</f>
        <v>0</v>
      </c>
      <c r="H9" s="84" t="n">
        <f aca="false">IFERROR(G9/5,0)</f>
        <v>0</v>
      </c>
      <c r="I9" s="83" t="n">
        <f aca="false">COUNTIF(CS303!F8:F12,1)</f>
        <v>1</v>
      </c>
      <c r="J9" s="84" t="n">
        <f aca="false">IFERROR(I9/5,0)</f>
        <v>0.2</v>
      </c>
      <c r="K9" s="83" t="n">
        <f aca="false">COUNTIF(CS304!F8:F12,1)</f>
        <v>0</v>
      </c>
      <c r="L9" s="84" t="n">
        <f aca="false">IFERROR(K9/5,0)</f>
        <v>0</v>
      </c>
      <c r="M9" s="83" t="n">
        <f aca="false">COUNTIF(CS305!F8:F13,1)</f>
        <v>1</v>
      </c>
      <c r="N9" s="84" t="n">
        <f aca="false">IFERROR(M9/6,0)</f>
        <v>0.166666666666667</v>
      </c>
      <c r="O9" s="85" t="n">
        <f aca="false">E9+G9+I9+K9+M9</f>
        <v>3</v>
      </c>
      <c r="P9" s="86" t="n">
        <f aca="false">IFERROR(O9/26,0)</f>
        <v>0.115384615384615</v>
      </c>
    </row>
    <row r="10" customFormat="false" ht="19.5" hidden="false" customHeight="true" outlineLevel="0" collapsed="false">
      <c r="A10" s="53" t="n">
        <v>5</v>
      </c>
      <c r="B10" s="30" t="s">
        <v>64</v>
      </c>
      <c r="C10" s="31" t="s">
        <v>65</v>
      </c>
      <c r="D10" s="82" t="s">
        <v>53</v>
      </c>
      <c r="E10" s="83" t="n">
        <f aca="false">COUNTIF(CS301!G8:G12,1)</f>
        <v>1</v>
      </c>
      <c r="F10" s="84" t="n">
        <f aca="false">IFERROR(E10/5,0)</f>
        <v>0.2</v>
      </c>
      <c r="G10" s="83" t="n">
        <f aca="false">COUNTIF(CS302!G8:G12,1)</f>
        <v>1</v>
      </c>
      <c r="H10" s="84" t="n">
        <f aca="false">IFERROR(G10/5,0)</f>
        <v>0.2</v>
      </c>
      <c r="I10" s="83" t="n">
        <f aca="false">COUNTIF(CS303!G8:G12,1)</f>
        <v>1</v>
      </c>
      <c r="J10" s="84" t="n">
        <f aca="false">IFERROR(I10/5,0)</f>
        <v>0.2</v>
      </c>
      <c r="K10" s="83" t="n">
        <f aca="false">COUNTIF(CS304!G8:G12,1)</f>
        <v>1</v>
      </c>
      <c r="L10" s="84" t="n">
        <f aca="false">IFERROR(K10/5,0)</f>
        <v>0.2</v>
      </c>
      <c r="M10" s="83" t="n">
        <f aca="false">COUNTIF(CS305!G8:G13,1)</f>
        <v>2</v>
      </c>
      <c r="N10" s="84" t="n">
        <f aca="false">IFERROR(M10/6,0)</f>
        <v>0.333333333333333</v>
      </c>
      <c r="O10" s="85" t="n">
        <f aca="false">E10+G10+I10+K10+M10</f>
        <v>6</v>
      </c>
      <c r="P10" s="86" t="n">
        <f aca="false">IFERROR(O10/26,0)</f>
        <v>0.230769230769231</v>
      </c>
    </row>
    <row r="11" customFormat="false" ht="19.5" hidden="false" customHeight="true" outlineLevel="0" collapsed="false">
      <c r="A11" s="87" t="n">
        <v>6</v>
      </c>
      <c r="B11" s="30" t="s">
        <v>67</v>
      </c>
      <c r="C11" s="32" t="s">
        <v>192</v>
      </c>
      <c r="D11" s="88" t="s">
        <v>53</v>
      </c>
      <c r="E11" s="83" t="n">
        <f aca="false">COUNTIF(CS301!H8:H12,1)</f>
        <v>5</v>
      </c>
      <c r="F11" s="84" t="n">
        <f aca="false">IFERROR(E11/5,0)</f>
        <v>1</v>
      </c>
      <c r="G11" s="83" t="n">
        <f aca="false">COUNTIF(CS302!H8:H12,1)</f>
        <v>5</v>
      </c>
      <c r="H11" s="84" t="n">
        <f aca="false">IFERROR(G11/5,0)</f>
        <v>1</v>
      </c>
      <c r="I11" s="83" t="n">
        <f aca="false">COUNTIF(CS303!H8:H12,1)</f>
        <v>5</v>
      </c>
      <c r="J11" s="84" t="n">
        <f aca="false">IFERROR(I11/5,0)</f>
        <v>1</v>
      </c>
      <c r="K11" s="83" t="n">
        <f aca="false">COUNTIF(CS304!H8:H12,1)</f>
        <v>5</v>
      </c>
      <c r="L11" s="84" t="n">
        <f aca="false">IFERROR(K11/5,0)</f>
        <v>1</v>
      </c>
      <c r="M11" s="83" t="n">
        <f aca="false">COUNTIF(CS305!H8:H13,1)</f>
        <v>6</v>
      </c>
      <c r="N11" s="84" t="n">
        <f aca="false">IFERROR(M11/6,0)</f>
        <v>1</v>
      </c>
      <c r="O11" s="85" t="n">
        <f aca="false">E11+G11+I11+K11+M11</f>
        <v>26</v>
      </c>
      <c r="P11" s="86" t="n">
        <f aca="false">IFERROR(O11/26,0)</f>
        <v>1</v>
      </c>
    </row>
    <row r="12" customFormat="false" ht="19.5" hidden="false" customHeight="true" outlineLevel="0" collapsed="false">
      <c r="A12" s="53" t="n">
        <v>7</v>
      </c>
      <c r="B12" s="30" t="s">
        <v>70</v>
      </c>
      <c r="C12" s="31" t="s">
        <v>71</v>
      </c>
      <c r="D12" s="82" t="s">
        <v>53</v>
      </c>
      <c r="E12" s="83" t="n">
        <f aca="false">COUNTIF(CS301!I8:I12,1)</f>
        <v>2</v>
      </c>
      <c r="F12" s="84" t="n">
        <f aca="false">IFERROR(E12/5,0)</f>
        <v>0.4</v>
      </c>
      <c r="G12" s="83" t="n">
        <f aca="false">COUNTIF(CS302!I8:I12,1)</f>
        <v>2</v>
      </c>
      <c r="H12" s="84" t="n">
        <f aca="false">IFERROR(G12/5,0)</f>
        <v>0.4</v>
      </c>
      <c r="I12" s="83" t="n">
        <f aca="false">COUNTIF(CS303!I8:I12,1)</f>
        <v>2</v>
      </c>
      <c r="J12" s="84" t="n">
        <f aca="false">IFERROR(I12/5,0)</f>
        <v>0.4</v>
      </c>
      <c r="K12" s="83" t="n">
        <f aca="false">COUNTIF(CS304!I8:I12,1)</f>
        <v>3</v>
      </c>
      <c r="L12" s="84" t="n">
        <f aca="false">IFERROR(K12/5,0)</f>
        <v>0.6</v>
      </c>
      <c r="M12" s="83" t="n">
        <f aca="false">COUNTIF(CS305!I8:I13,1)</f>
        <v>6</v>
      </c>
      <c r="N12" s="84" t="n">
        <f aca="false">IFERROR(M12/6,0)</f>
        <v>1</v>
      </c>
      <c r="O12" s="85" t="n">
        <f aca="false">E12+G12+I12+K12+M12</f>
        <v>15</v>
      </c>
      <c r="P12" s="86" t="n">
        <f aca="false">IFERROR(O12/26,0)</f>
        <v>0.576923076923077</v>
      </c>
    </row>
    <row r="13" customFormat="false" ht="19.5" hidden="false" customHeight="true" outlineLevel="0" collapsed="false">
      <c r="A13" s="87" t="n">
        <v>8</v>
      </c>
      <c r="B13" s="30" t="s">
        <v>73</v>
      </c>
      <c r="C13" s="32" t="s">
        <v>74</v>
      </c>
      <c r="D13" s="88" t="s">
        <v>53</v>
      </c>
      <c r="E13" s="83" t="n">
        <f aca="false">COUNTIF(CS301!J8:J12,1)</f>
        <v>5</v>
      </c>
      <c r="F13" s="84" t="n">
        <f aca="false">IFERROR(E13/5,0)</f>
        <v>1</v>
      </c>
      <c r="G13" s="83" t="n">
        <f aca="false">COUNTIF(CS302!J8:J12,1)</f>
        <v>5</v>
      </c>
      <c r="H13" s="84" t="n">
        <f aca="false">IFERROR(G13/5,0)</f>
        <v>1</v>
      </c>
      <c r="I13" s="83" t="n">
        <f aca="false">COUNTIF(CS303!J8:J12,1)</f>
        <v>5</v>
      </c>
      <c r="J13" s="84" t="n">
        <f aca="false">IFERROR(I13/5,0)</f>
        <v>1</v>
      </c>
      <c r="K13" s="83" t="n">
        <f aca="false">COUNTIF(CS304!J8:J12,1)</f>
        <v>5</v>
      </c>
      <c r="L13" s="84" t="n">
        <f aca="false">IFERROR(K13/5,0)</f>
        <v>1</v>
      </c>
      <c r="M13" s="83" t="n">
        <f aca="false">COUNTIF(CS305!J8:J13,1)</f>
        <v>6</v>
      </c>
      <c r="N13" s="84" t="n">
        <f aca="false">IFERROR(M13/6,0)</f>
        <v>1</v>
      </c>
      <c r="O13" s="85" t="n">
        <f aca="false">E13+G13+I13+K13+M13</f>
        <v>26</v>
      </c>
      <c r="P13" s="86" t="n">
        <f aca="false">IFERROR(O13/26,0)</f>
        <v>1</v>
      </c>
    </row>
    <row r="14" customFormat="false" ht="19.5" hidden="false" customHeight="true" outlineLevel="0" collapsed="false">
      <c r="A14" s="53" t="n">
        <v>9</v>
      </c>
      <c r="B14" s="30" t="s">
        <v>76</v>
      </c>
      <c r="C14" s="31" t="s">
        <v>77</v>
      </c>
      <c r="D14" s="82" t="s">
        <v>53</v>
      </c>
      <c r="E14" s="83" t="n">
        <f aca="false">COUNTIF(CS301!K8:K12,1)</f>
        <v>0</v>
      </c>
      <c r="F14" s="84" t="n">
        <f aca="false">IFERROR(E14/5,0)</f>
        <v>0</v>
      </c>
      <c r="G14" s="83" t="n">
        <f aca="false">COUNTIF(CS302!K8:K12,1)</f>
        <v>1</v>
      </c>
      <c r="H14" s="84" t="n">
        <f aca="false">IFERROR(G14/5,0)</f>
        <v>0.2</v>
      </c>
      <c r="I14" s="83" t="n">
        <f aca="false">COUNTIF(CS303!K8:K12,1)</f>
        <v>1</v>
      </c>
      <c r="J14" s="84" t="n">
        <f aca="false">IFERROR(I14/5,0)</f>
        <v>0.2</v>
      </c>
      <c r="K14" s="83" t="n">
        <f aca="false">COUNTIF(CS304!K8:K12,1)</f>
        <v>1</v>
      </c>
      <c r="L14" s="84" t="n">
        <f aca="false">IFERROR(K14/5,0)</f>
        <v>0.2</v>
      </c>
      <c r="M14" s="83" t="n">
        <f aca="false">COUNTIF(CS305!K8:K13,1)</f>
        <v>1</v>
      </c>
      <c r="N14" s="84" t="n">
        <f aca="false">IFERROR(M14/6,0)</f>
        <v>0.166666666666667</v>
      </c>
      <c r="O14" s="85" t="n">
        <f aca="false">E14+G14+I14+K14+M14</f>
        <v>4</v>
      </c>
      <c r="P14" s="86" t="n">
        <f aca="false">IFERROR(O14/26,0)</f>
        <v>0.153846153846154</v>
      </c>
    </row>
    <row r="15" customFormat="false" ht="19.5" hidden="false" customHeight="true" outlineLevel="0" collapsed="false">
      <c r="A15" s="87" t="n">
        <v>10</v>
      </c>
      <c r="B15" s="30" t="s">
        <v>79</v>
      </c>
      <c r="C15" s="32" t="s">
        <v>80</v>
      </c>
      <c r="D15" s="88" t="s">
        <v>53</v>
      </c>
      <c r="E15" s="83" t="n">
        <f aca="false">COUNTIF(CS301!L8:L12,1)</f>
        <v>1</v>
      </c>
      <c r="F15" s="84" t="n">
        <f aca="false">IFERROR(E15/5,0)</f>
        <v>0.2</v>
      </c>
      <c r="G15" s="83" t="n">
        <f aca="false">COUNTIF(CS302!L8:L12,1)</f>
        <v>1</v>
      </c>
      <c r="H15" s="84" t="n">
        <f aca="false">IFERROR(G15/5,0)</f>
        <v>0.2</v>
      </c>
      <c r="I15" s="83" t="n">
        <f aca="false">COUNTIF(CS303!L8:L12,1)</f>
        <v>1</v>
      </c>
      <c r="J15" s="84" t="n">
        <f aca="false">IFERROR(I15/5,0)</f>
        <v>0.2</v>
      </c>
      <c r="K15" s="83" t="n">
        <f aca="false">COUNTIF(CS304!L8:L12,1)</f>
        <v>1</v>
      </c>
      <c r="L15" s="84" t="n">
        <f aca="false">IFERROR(K15/5,0)</f>
        <v>0.2</v>
      </c>
      <c r="M15" s="83" t="n">
        <f aca="false">COUNTIF(CS305!L8:L13,1)</f>
        <v>2</v>
      </c>
      <c r="N15" s="84" t="n">
        <f aca="false">IFERROR(M15/6,0)</f>
        <v>0.333333333333333</v>
      </c>
      <c r="O15" s="85" t="n">
        <f aca="false">E15+G15+I15+K15+M15</f>
        <v>6</v>
      </c>
      <c r="P15" s="86" t="n">
        <f aca="false">IFERROR(O15/26,0)</f>
        <v>0.230769230769231</v>
      </c>
    </row>
    <row r="16" customFormat="false" ht="19.5" hidden="false" customHeight="true" outlineLevel="0" collapsed="false">
      <c r="A16" s="53" t="n">
        <v>11</v>
      </c>
      <c r="B16" s="30" t="s">
        <v>82</v>
      </c>
      <c r="C16" s="31" t="s">
        <v>83</v>
      </c>
      <c r="D16" s="82" t="s">
        <v>53</v>
      </c>
      <c r="E16" s="83" t="n">
        <f aca="false">COUNTIF(CS301!M8:M12,1)</f>
        <v>0</v>
      </c>
      <c r="F16" s="84" t="n">
        <f aca="false">IFERROR(E16/5,0)</f>
        <v>0</v>
      </c>
      <c r="G16" s="83" t="n">
        <f aca="false">COUNTIF(CS302!M8:M12,1)</f>
        <v>1</v>
      </c>
      <c r="H16" s="84" t="n">
        <f aca="false">IFERROR(G16/5,0)</f>
        <v>0.2</v>
      </c>
      <c r="I16" s="83" t="n">
        <f aca="false">COUNTIF(CS303!M8:M12,1)</f>
        <v>0</v>
      </c>
      <c r="J16" s="84" t="n">
        <f aca="false">IFERROR(I16/5,0)</f>
        <v>0</v>
      </c>
      <c r="K16" s="83" t="n">
        <f aca="false">COUNTIF(CS304!M8:M12,1)</f>
        <v>0</v>
      </c>
      <c r="L16" s="84" t="n">
        <f aca="false">IFERROR(K16/5,0)</f>
        <v>0</v>
      </c>
      <c r="M16" s="83" t="n">
        <f aca="false">COUNTIF(CS305!M8:M13,1)</f>
        <v>1</v>
      </c>
      <c r="N16" s="84" t="n">
        <f aca="false">IFERROR(M16/6,0)</f>
        <v>0.166666666666667</v>
      </c>
      <c r="O16" s="85" t="n">
        <f aca="false">E16+G16+I16+K16+M16</f>
        <v>2</v>
      </c>
      <c r="P16" s="86" t="n">
        <f aca="false">IFERROR(O16/26,0)</f>
        <v>0.0769230769230769</v>
      </c>
    </row>
    <row r="17" customFormat="false" ht="19.5" hidden="false" customHeight="true" outlineLevel="0" collapsed="false">
      <c r="A17" s="87" t="n">
        <v>12</v>
      </c>
      <c r="B17" s="34" t="s">
        <v>85</v>
      </c>
      <c r="C17" s="32" t="s">
        <v>86</v>
      </c>
      <c r="D17" s="89" t="s">
        <v>87</v>
      </c>
      <c r="E17" s="83" t="n">
        <f aca="false">COUNTIF(CS301!N8:N12,1)</f>
        <v>4</v>
      </c>
      <c r="F17" s="84" t="n">
        <f aca="false">IFERROR(E17/5,0)</f>
        <v>0.8</v>
      </c>
      <c r="G17" s="83" t="n">
        <f aca="false">COUNTIF(CS302!N8:N12,1)</f>
        <v>4</v>
      </c>
      <c r="H17" s="84" t="n">
        <f aca="false">IFERROR(G17/5,0)</f>
        <v>0.8</v>
      </c>
      <c r="I17" s="83" t="n">
        <f aca="false">COUNTIF(CS303!N8:N12,1)</f>
        <v>4</v>
      </c>
      <c r="J17" s="84" t="n">
        <f aca="false">IFERROR(I17/5,0)</f>
        <v>0.8</v>
      </c>
      <c r="K17" s="83" t="n">
        <f aca="false">COUNTIF(CS304!N8:N12,1)</f>
        <v>4</v>
      </c>
      <c r="L17" s="84" t="n">
        <f aca="false">IFERROR(K17/5,0)</f>
        <v>0.8</v>
      </c>
      <c r="M17" s="83" t="n">
        <f aca="false">COUNTIF(CS305!N8:N13,1)</f>
        <v>6</v>
      </c>
      <c r="N17" s="84" t="n">
        <f aca="false">IFERROR(M17/6,0)</f>
        <v>1</v>
      </c>
      <c r="O17" s="85" t="n">
        <f aca="false">E17+G17+I17+K17+M17</f>
        <v>22</v>
      </c>
      <c r="P17" s="86" t="n">
        <f aca="false">IFERROR(O17/26,0)</f>
        <v>0.846153846153846</v>
      </c>
    </row>
    <row r="19" customFormat="false" ht="21.75" hidden="false" customHeight="true" outlineLevel="0" collapsed="false">
      <c r="A19" s="67" t="s">
        <v>193</v>
      </c>
      <c r="B19" s="67"/>
      <c r="C19" s="67"/>
      <c r="D19" s="67"/>
      <c r="E19" s="79" t="n">
        <f aca="false">IFERROR(CS301!O14/5,0)</f>
        <v>6</v>
      </c>
      <c r="F19" s="69"/>
      <c r="G19" s="79" t="n">
        <f aca="false">IFERROR(CS302!O14/5,0)</f>
        <v>6.2</v>
      </c>
      <c r="H19" s="69"/>
      <c r="I19" s="79" t="n">
        <f aca="false">IFERROR(CS303!O14/5,0)</f>
        <v>6.2</v>
      </c>
      <c r="J19" s="69"/>
      <c r="K19" s="79" t="n">
        <f aca="false">IFERROR(CS304!O14/5,0)</f>
        <v>6.2</v>
      </c>
      <c r="L19" s="69"/>
      <c r="M19" s="79" t="n">
        <f aca="false">IFERROR(CS305!O15/6,0)</f>
        <v>7.33333333333333</v>
      </c>
      <c r="N19" s="69"/>
      <c r="O19" s="69"/>
      <c r="P19" s="69"/>
    </row>
  </sheetData>
  <mergeCells count="13">
    <mergeCell ref="A1:P1"/>
    <mergeCell ref="A2:P2"/>
    <mergeCell ref="A4:A5"/>
    <mergeCell ref="B4:B5"/>
    <mergeCell ref="C4:C5"/>
    <mergeCell ref="D4:D5"/>
    <mergeCell ref="E4:F4"/>
    <mergeCell ref="G4:H4"/>
    <mergeCell ref="I4:J4"/>
    <mergeCell ref="K4:L4"/>
    <mergeCell ref="M4:N4"/>
    <mergeCell ref="O4:P4"/>
    <mergeCell ref="A19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32"/>
    <col collapsed="false" customWidth="true" hidden="false" outlineLevel="0" max="14" min="3" style="1" width="10"/>
    <col collapsed="false" customWidth="true" hidden="false" outlineLevel="0" max="17" min="15" style="1" width="9"/>
    <col collapsed="false" customWidth="true" hidden="false" outlineLevel="0" max="32" min="18" style="1" width="8"/>
  </cols>
  <sheetData>
    <row r="1" customFormat="false" ht="36" hidden="false" customHeight="true" outlineLevel="0" collapsed="false">
      <c r="A1" s="39" t="s">
        <v>194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</row>
    <row r="2" customFormat="false" ht="13.5" hidden="false" customHeight="true" outlineLevel="0" collapsed="false">
      <c r="A2" s="40" t="s">
        <v>98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</row>
    <row r="3" customFormat="false" ht="4.5" hidden="false" customHeight="true" outlineLevel="0" collapsed="false"/>
    <row r="4" customFormat="false" ht="18" hidden="false" customHeight="true" outlineLevel="0" collapsed="false">
      <c r="A4" s="41" t="s">
        <v>99</v>
      </c>
      <c r="B4" s="41"/>
      <c r="C4" s="42" t="s">
        <v>53</v>
      </c>
      <c r="D4" s="42" t="s">
        <v>53</v>
      </c>
      <c r="E4" s="42" t="s">
        <v>53</v>
      </c>
      <c r="F4" s="42" t="s">
        <v>53</v>
      </c>
      <c r="G4" s="42" t="s">
        <v>53</v>
      </c>
      <c r="H4" s="42" t="s">
        <v>53</v>
      </c>
      <c r="I4" s="42" t="s">
        <v>53</v>
      </c>
      <c r="J4" s="42" t="s">
        <v>53</v>
      </c>
      <c r="K4" s="42" t="s">
        <v>53</v>
      </c>
      <c r="L4" s="42" t="s">
        <v>53</v>
      </c>
      <c r="M4" s="42" t="s">
        <v>53</v>
      </c>
      <c r="N4" s="43" t="s">
        <v>87</v>
      </c>
      <c r="O4" s="44" t="s">
        <v>100</v>
      </c>
      <c r="P4" s="30" t="s">
        <v>3</v>
      </c>
      <c r="Q4" s="45" t="s">
        <v>4</v>
      </c>
      <c r="R4" s="46" t="s">
        <v>101</v>
      </c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7" t="s">
        <v>102</v>
      </c>
      <c r="AE4" s="47"/>
      <c r="AF4" s="47"/>
    </row>
    <row r="5" customFormat="false" ht="21.75" hidden="false" customHeight="true" outlineLevel="0" collapsed="false">
      <c r="A5" s="5" t="s">
        <v>103</v>
      </c>
      <c r="B5" s="5" t="s">
        <v>104</v>
      </c>
      <c r="C5" s="48" t="s">
        <v>105</v>
      </c>
      <c r="D5" s="48" t="s">
        <v>106</v>
      </c>
      <c r="E5" s="48" t="s">
        <v>59</v>
      </c>
      <c r="F5" s="48" t="s">
        <v>62</v>
      </c>
      <c r="G5" s="48" t="s">
        <v>107</v>
      </c>
      <c r="H5" s="48" t="s">
        <v>108</v>
      </c>
      <c r="I5" s="48" t="s">
        <v>109</v>
      </c>
      <c r="J5" s="48" t="s">
        <v>110</v>
      </c>
      <c r="K5" s="48" t="s">
        <v>111</v>
      </c>
      <c r="L5" s="48" t="s">
        <v>112</v>
      </c>
      <c r="M5" s="48" t="s">
        <v>113</v>
      </c>
      <c r="N5" s="49" t="s">
        <v>114</v>
      </c>
      <c r="O5" s="50" t="s">
        <v>115</v>
      </c>
      <c r="P5" s="51" t="s">
        <v>116</v>
      </c>
      <c r="Q5" s="52" t="s">
        <v>117</v>
      </c>
      <c r="R5" s="30" t="s">
        <v>118</v>
      </c>
      <c r="S5" s="30" t="s">
        <v>119</v>
      </c>
      <c r="T5" s="30" t="s">
        <v>120</v>
      </c>
      <c r="U5" s="30" t="s">
        <v>121</v>
      </c>
      <c r="V5" s="30" t="s">
        <v>122</v>
      </c>
      <c r="W5" s="30" t="s">
        <v>123</v>
      </c>
      <c r="X5" s="30" t="s">
        <v>124</v>
      </c>
      <c r="Y5" s="30" t="s">
        <v>125</v>
      </c>
      <c r="Z5" s="30" t="s">
        <v>126</v>
      </c>
      <c r="AA5" s="30" t="s">
        <v>127</v>
      </c>
      <c r="AB5" s="30" t="s">
        <v>128</v>
      </c>
      <c r="AC5" s="30" t="s">
        <v>129</v>
      </c>
      <c r="AD5" s="34" t="s">
        <v>130</v>
      </c>
      <c r="AE5" s="34" t="s">
        <v>131</v>
      </c>
      <c r="AF5" s="34" t="s">
        <v>132</v>
      </c>
    </row>
    <row r="6" customFormat="false" ht="15.75" hidden="false" customHeight="true" outlineLevel="0" collapsed="false">
      <c r="A6" s="53"/>
      <c r="B6" s="54" t="s">
        <v>133</v>
      </c>
      <c r="C6" s="55" t="s">
        <v>51</v>
      </c>
      <c r="D6" s="55" t="s">
        <v>55</v>
      </c>
      <c r="E6" s="55" t="s">
        <v>58</v>
      </c>
      <c r="F6" s="55" t="s">
        <v>61</v>
      </c>
      <c r="G6" s="55" t="s">
        <v>64</v>
      </c>
      <c r="H6" s="55" t="s">
        <v>67</v>
      </c>
      <c r="I6" s="55" t="s">
        <v>70</v>
      </c>
      <c r="J6" s="55" t="s">
        <v>73</v>
      </c>
      <c r="K6" s="55" t="s">
        <v>76</v>
      </c>
      <c r="L6" s="55" t="s">
        <v>79</v>
      </c>
      <c r="M6" s="55" t="s">
        <v>82</v>
      </c>
      <c r="N6" s="55" t="s">
        <v>85</v>
      </c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</row>
    <row r="7" customFormat="false" ht="13.5" hidden="false" customHeight="true" outlineLevel="0" collapsed="false">
      <c r="A7" s="56" t="s">
        <v>134</v>
      </c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</row>
    <row r="8" customFormat="false" ht="19.5" hidden="false" customHeight="true" outlineLevel="0" collapsed="false">
      <c r="A8" s="57" t="s">
        <v>135</v>
      </c>
      <c r="B8" s="31" t="s">
        <v>195</v>
      </c>
      <c r="C8" s="58" t="n">
        <v>1</v>
      </c>
      <c r="D8" s="58" t="n">
        <v>1</v>
      </c>
      <c r="E8" s="59" t="n">
        <v>0</v>
      </c>
      <c r="F8" s="59" t="n">
        <v>0</v>
      </c>
      <c r="G8" s="59" t="n">
        <v>0</v>
      </c>
      <c r="H8" s="58" t="n">
        <v>1</v>
      </c>
      <c r="I8" s="59" t="n">
        <v>0</v>
      </c>
      <c r="J8" s="58" t="n">
        <v>1</v>
      </c>
      <c r="K8" s="59" t="n">
        <v>0</v>
      </c>
      <c r="L8" s="59" t="n">
        <v>0</v>
      </c>
      <c r="M8" s="59" t="n">
        <v>0</v>
      </c>
      <c r="N8" s="58" t="n">
        <v>1</v>
      </c>
      <c r="O8" s="60" t="n">
        <f aca="false">COUNTIF(C8:N8,1)</f>
        <v>5</v>
      </c>
      <c r="P8" s="61" t="n">
        <f aca="false">IF(O8&gt;=4,3,IF(O8&gt;=3,2,IF(O8&gt;=1,1,0)))</f>
        <v>3</v>
      </c>
      <c r="Q8" s="62" t="str">
        <f aca="false">IF(P8=0,"—",TEXT(P8,"0"))</f>
        <v>3</v>
      </c>
      <c r="R8" s="63" t="str">
        <f aca="false">IF(P8=0,"—",TEXT(P8,"0"))</f>
        <v>3</v>
      </c>
      <c r="S8" s="63" t="str">
        <f aca="false">IF(P8=0,"—",TEXT(P8,"0"))</f>
        <v>3</v>
      </c>
      <c r="T8" s="64" t="s">
        <v>9</v>
      </c>
      <c r="U8" s="64" t="s">
        <v>9</v>
      </c>
      <c r="V8" s="64" t="s">
        <v>9</v>
      </c>
      <c r="W8" s="64" t="s">
        <v>9</v>
      </c>
      <c r="X8" s="64" t="s">
        <v>9</v>
      </c>
      <c r="Y8" s="64" t="s">
        <v>9</v>
      </c>
      <c r="Z8" s="64" t="s">
        <v>9</v>
      </c>
      <c r="AA8" s="64" t="s">
        <v>9</v>
      </c>
      <c r="AB8" s="64" t="s">
        <v>9</v>
      </c>
      <c r="AC8" s="63" t="str">
        <f aca="false">IF(P8=0,"—",TEXT(P8,"0"))</f>
        <v>3</v>
      </c>
      <c r="AD8" s="64" t="s">
        <v>9</v>
      </c>
      <c r="AE8" s="64" t="s">
        <v>9</v>
      </c>
      <c r="AF8" s="64" t="s">
        <v>9</v>
      </c>
    </row>
    <row r="9" customFormat="false" ht="19.5" hidden="false" customHeight="true" outlineLevel="0" collapsed="false">
      <c r="A9" s="57" t="s">
        <v>137</v>
      </c>
      <c r="B9" s="32" t="s">
        <v>196</v>
      </c>
      <c r="C9" s="58" t="n">
        <v>1</v>
      </c>
      <c r="D9" s="58" t="n">
        <v>1</v>
      </c>
      <c r="E9" s="58" t="n">
        <v>1</v>
      </c>
      <c r="F9" s="59" t="n">
        <v>0</v>
      </c>
      <c r="G9" s="58" t="n">
        <v>1</v>
      </c>
      <c r="H9" s="58" t="n">
        <v>1</v>
      </c>
      <c r="I9" s="58" t="n">
        <v>1</v>
      </c>
      <c r="J9" s="58" t="n">
        <v>1</v>
      </c>
      <c r="K9" s="59" t="n">
        <v>0</v>
      </c>
      <c r="L9" s="59" t="n">
        <v>0</v>
      </c>
      <c r="M9" s="59" t="n">
        <v>0</v>
      </c>
      <c r="N9" s="59" t="n">
        <v>0</v>
      </c>
      <c r="O9" s="60" t="n">
        <f aca="false">COUNTIF(C9:N9,1)</f>
        <v>7</v>
      </c>
      <c r="P9" s="61" t="n">
        <f aca="false">IF(O9&gt;=4,3,IF(O9&gt;=3,2,IF(O9&gt;=1,1,0)))</f>
        <v>3</v>
      </c>
      <c r="Q9" s="62" t="str">
        <f aca="false">IF(P9=0,"—",TEXT(P9,"0"))</f>
        <v>3</v>
      </c>
      <c r="R9" s="65" t="str">
        <f aca="false">IF(P9=0,"—",TEXT(P9,"0"))</f>
        <v>3</v>
      </c>
      <c r="S9" s="65" t="str">
        <f aca="false">IF(P9=0,"—",TEXT(P9,"0"))</f>
        <v>3</v>
      </c>
      <c r="T9" s="65" t="str">
        <f aca="false">IF(P9=0,"—",TEXT(P9,"0"))</f>
        <v>3</v>
      </c>
      <c r="U9" s="65" t="str">
        <f aca="false">IF(P9=0,"—",TEXT(P9,"0"))</f>
        <v>3</v>
      </c>
      <c r="V9" s="66" t="s">
        <v>9</v>
      </c>
      <c r="W9" s="66" t="s">
        <v>9</v>
      </c>
      <c r="X9" s="66" t="s">
        <v>9</v>
      </c>
      <c r="Y9" s="66" t="s">
        <v>9</v>
      </c>
      <c r="Z9" s="66" t="s">
        <v>9</v>
      </c>
      <c r="AA9" s="66" t="s">
        <v>9</v>
      </c>
      <c r="AB9" s="66" t="s">
        <v>9</v>
      </c>
      <c r="AC9" s="65" t="str">
        <f aca="false">IF(P9=0,"—",TEXT(P9,"0"))</f>
        <v>3</v>
      </c>
      <c r="AD9" s="66" t="s">
        <v>9</v>
      </c>
      <c r="AE9" s="66" t="s">
        <v>9</v>
      </c>
      <c r="AF9" s="66" t="s">
        <v>9</v>
      </c>
    </row>
    <row r="10" customFormat="false" ht="19.5" hidden="false" customHeight="true" outlineLevel="0" collapsed="false">
      <c r="A10" s="57" t="s">
        <v>139</v>
      </c>
      <c r="B10" s="31" t="s">
        <v>197</v>
      </c>
      <c r="C10" s="58" t="n">
        <v>1</v>
      </c>
      <c r="D10" s="58" t="n">
        <v>1</v>
      </c>
      <c r="E10" s="59" t="n">
        <v>0</v>
      </c>
      <c r="F10" s="59" t="n">
        <v>0</v>
      </c>
      <c r="G10" s="59" t="n">
        <v>0</v>
      </c>
      <c r="H10" s="58" t="n">
        <v>1</v>
      </c>
      <c r="I10" s="59" t="n">
        <v>0</v>
      </c>
      <c r="J10" s="58" t="n">
        <v>1</v>
      </c>
      <c r="K10" s="59" t="n">
        <v>0</v>
      </c>
      <c r="L10" s="58" t="n">
        <v>1</v>
      </c>
      <c r="M10" s="59" t="n">
        <v>0</v>
      </c>
      <c r="N10" s="58" t="n">
        <v>1</v>
      </c>
      <c r="O10" s="60" t="n">
        <f aca="false">COUNTIF(C10:N10,1)</f>
        <v>6</v>
      </c>
      <c r="P10" s="61" t="n">
        <f aca="false">IF(O10&gt;=4,3,IF(O10&gt;=3,2,IF(O10&gt;=1,1,0)))</f>
        <v>3</v>
      </c>
      <c r="Q10" s="62" t="str">
        <f aca="false">IF(P10=0,"—",TEXT(P10,"0"))</f>
        <v>3</v>
      </c>
      <c r="R10" s="63" t="str">
        <f aca="false">IF(P10=0,"—",TEXT(P10,"0"))</f>
        <v>3</v>
      </c>
      <c r="S10" s="63" t="str">
        <f aca="false">IF(P10=0,"—",TEXT(P10,"0"))</f>
        <v>3</v>
      </c>
      <c r="T10" s="63" t="str">
        <f aca="false">IF(P10=0,"—",TEXT(P10,"0"))</f>
        <v>3</v>
      </c>
      <c r="U10" s="63" t="str">
        <f aca="false">IF(P10=0,"—",TEXT(P10,"0"))</f>
        <v>3</v>
      </c>
      <c r="V10" s="64" t="s">
        <v>9</v>
      </c>
      <c r="W10" s="64" t="s">
        <v>9</v>
      </c>
      <c r="X10" s="64" t="s">
        <v>9</v>
      </c>
      <c r="Y10" s="64" t="s">
        <v>9</v>
      </c>
      <c r="Z10" s="64" t="s">
        <v>9</v>
      </c>
      <c r="AA10" s="64" t="s">
        <v>9</v>
      </c>
      <c r="AB10" s="64" t="s">
        <v>9</v>
      </c>
      <c r="AC10" s="63" t="str">
        <f aca="false">IF(P10=0,"—",TEXT(P10,"0"))</f>
        <v>3</v>
      </c>
      <c r="AD10" s="64" t="s">
        <v>9</v>
      </c>
      <c r="AE10" s="64" t="s">
        <v>9</v>
      </c>
      <c r="AF10" s="64" t="s">
        <v>9</v>
      </c>
    </row>
    <row r="11" customFormat="false" ht="19.5" hidden="false" customHeight="true" outlineLevel="0" collapsed="false">
      <c r="A11" s="57" t="s">
        <v>141</v>
      </c>
      <c r="B11" s="32" t="s">
        <v>198</v>
      </c>
      <c r="C11" s="58" t="n">
        <v>1</v>
      </c>
      <c r="D11" s="58" t="n">
        <v>1</v>
      </c>
      <c r="E11" s="59" t="n">
        <v>0</v>
      </c>
      <c r="F11" s="59" t="n">
        <v>0</v>
      </c>
      <c r="G11" s="59" t="n">
        <v>0</v>
      </c>
      <c r="H11" s="58" t="n">
        <v>1</v>
      </c>
      <c r="I11" s="58" t="n">
        <v>1</v>
      </c>
      <c r="J11" s="58" t="n">
        <v>1</v>
      </c>
      <c r="K11" s="59" t="n">
        <v>0</v>
      </c>
      <c r="L11" s="59" t="n">
        <v>0</v>
      </c>
      <c r="M11" s="59" t="n">
        <v>0</v>
      </c>
      <c r="N11" s="58" t="n">
        <v>1</v>
      </c>
      <c r="O11" s="60" t="n">
        <f aca="false">COUNTIF(C11:N11,1)</f>
        <v>6</v>
      </c>
      <c r="P11" s="61" t="n">
        <f aca="false">IF(O11&gt;=4,3,IF(O11&gt;=3,2,IF(O11&gt;=1,1,0)))</f>
        <v>3</v>
      </c>
      <c r="Q11" s="62" t="str">
        <f aca="false">IF(P11=0,"—",TEXT(P11,"0"))</f>
        <v>3</v>
      </c>
      <c r="R11" s="65" t="str">
        <f aca="false">IF(P11=0,"—",TEXT(P11,"0"))</f>
        <v>3</v>
      </c>
      <c r="S11" s="65" t="str">
        <f aca="false">IF(P11=0,"—",TEXT(P11,"0"))</f>
        <v>3</v>
      </c>
      <c r="T11" s="66" t="s">
        <v>9</v>
      </c>
      <c r="U11" s="66" t="s">
        <v>9</v>
      </c>
      <c r="V11" s="66" t="s">
        <v>9</v>
      </c>
      <c r="W11" s="66" t="s">
        <v>9</v>
      </c>
      <c r="X11" s="66" t="s">
        <v>9</v>
      </c>
      <c r="Y11" s="66" t="s">
        <v>9</v>
      </c>
      <c r="Z11" s="66" t="s">
        <v>9</v>
      </c>
      <c r="AA11" s="66" t="s">
        <v>9</v>
      </c>
      <c r="AB11" s="66" t="s">
        <v>9</v>
      </c>
      <c r="AC11" s="65" t="str">
        <f aca="false">IF(P11=0,"—",TEXT(P11,"0"))</f>
        <v>3</v>
      </c>
      <c r="AD11" s="66" t="s">
        <v>9</v>
      </c>
      <c r="AE11" s="66" t="s">
        <v>9</v>
      </c>
      <c r="AF11" s="66" t="s">
        <v>9</v>
      </c>
    </row>
    <row r="12" customFormat="false" ht="19.5" hidden="false" customHeight="true" outlineLevel="0" collapsed="false">
      <c r="A12" s="57" t="s">
        <v>143</v>
      </c>
      <c r="B12" s="31" t="s">
        <v>199</v>
      </c>
      <c r="C12" s="58" t="n">
        <v>1</v>
      </c>
      <c r="D12" s="58" t="n">
        <v>1</v>
      </c>
      <c r="E12" s="59" t="n">
        <v>0</v>
      </c>
      <c r="F12" s="59" t="n">
        <v>0</v>
      </c>
      <c r="G12" s="59" t="n">
        <v>0</v>
      </c>
      <c r="H12" s="58" t="n">
        <v>1</v>
      </c>
      <c r="I12" s="58" t="n">
        <v>1</v>
      </c>
      <c r="J12" s="58" t="n">
        <v>1</v>
      </c>
      <c r="K12" s="58" t="n">
        <v>1</v>
      </c>
      <c r="L12" s="59" t="n">
        <v>0</v>
      </c>
      <c r="M12" s="59" t="n">
        <v>0</v>
      </c>
      <c r="N12" s="58" t="n">
        <v>1</v>
      </c>
      <c r="O12" s="60" t="n">
        <f aca="false">COUNTIF(C12:N12,1)</f>
        <v>7</v>
      </c>
      <c r="P12" s="61" t="n">
        <f aca="false">IF(O12&gt;=4,3,IF(O12&gt;=3,2,IF(O12&gt;=1,1,0)))</f>
        <v>3</v>
      </c>
      <c r="Q12" s="62" t="str">
        <f aca="false">IF(P12=0,"—",TEXT(P12,"0"))</f>
        <v>3</v>
      </c>
      <c r="R12" s="63" t="str">
        <f aca="false">IF(P12=0,"—",TEXT(P12,"0"))</f>
        <v>3</v>
      </c>
      <c r="S12" s="63" t="str">
        <f aca="false">IF(P12=0,"—",TEXT(P12,"0"))</f>
        <v>3</v>
      </c>
      <c r="T12" s="64" t="s">
        <v>9</v>
      </c>
      <c r="U12" s="63" t="str">
        <f aca="false">IF(P12=0,"—",TEXT(P12,"0"))</f>
        <v>3</v>
      </c>
      <c r="V12" s="63" t="str">
        <f aca="false">IF(P12=0,"—",TEXT(P12,"0"))</f>
        <v>3</v>
      </c>
      <c r="W12" s="64" t="s">
        <v>9</v>
      </c>
      <c r="X12" s="64" t="s">
        <v>9</v>
      </c>
      <c r="Y12" s="64" t="s">
        <v>9</v>
      </c>
      <c r="Z12" s="64" t="s">
        <v>9</v>
      </c>
      <c r="AA12" s="64" t="s">
        <v>9</v>
      </c>
      <c r="AB12" s="64" t="s">
        <v>9</v>
      </c>
      <c r="AC12" s="63" t="str">
        <f aca="false">IF(P12=0,"—",TEXT(P12,"0"))</f>
        <v>3</v>
      </c>
      <c r="AD12" s="64" t="s">
        <v>9</v>
      </c>
      <c r="AE12" s="64" t="s">
        <v>9</v>
      </c>
      <c r="AF12" s="64" t="s">
        <v>9</v>
      </c>
    </row>
    <row r="14" customFormat="false" ht="21.75" hidden="false" customHeight="true" outlineLevel="0" collapsed="false">
      <c r="A14" s="67" t="s">
        <v>145</v>
      </c>
      <c r="B14" s="67"/>
      <c r="C14" s="68" t="n">
        <f aca="false">COUNTIF(C8:C12,1)</f>
        <v>5</v>
      </c>
      <c r="D14" s="68" t="n">
        <f aca="false">COUNTIF(D8:D12,1)</f>
        <v>5</v>
      </c>
      <c r="E14" s="68" t="n">
        <f aca="false">COUNTIF(E8:E12,1)</f>
        <v>1</v>
      </c>
      <c r="F14" s="68" t="n">
        <f aca="false">COUNTIF(F8:F12,1)</f>
        <v>0</v>
      </c>
      <c r="G14" s="68" t="n">
        <f aca="false">COUNTIF(G8:G12,1)</f>
        <v>1</v>
      </c>
      <c r="H14" s="68" t="n">
        <f aca="false">COUNTIF(H8:H12,1)</f>
        <v>5</v>
      </c>
      <c r="I14" s="68" t="n">
        <f aca="false">COUNTIF(I8:I12,1)</f>
        <v>3</v>
      </c>
      <c r="J14" s="68" t="n">
        <f aca="false">COUNTIF(J8:J12,1)</f>
        <v>5</v>
      </c>
      <c r="K14" s="68" t="n">
        <f aca="false">COUNTIF(K8:K12,1)</f>
        <v>1</v>
      </c>
      <c r="L14" s="68" t="n">
        <f aca="false">COUNTIF(L8:L12,1)</f>
        <v>1</v>
      </c>
      <c r="M14" s="68" t="n">
        <f aca="false">COUNTIF(M8:M12,1)</f>
        <v>0</v>
      </c>
      <c r="N14" s="68" t="n">
        <f aca="false">COUNTIF(N8:N12,1)</f>
        <v>4</v>
      </c>
      <c r="O14" s="68" t="n">
        <f aca="false">SUM(O8:O12)</f>
        <v>31</v>
      </c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</row>
    <row r="15" customFormat="false" ht="21.75" hidden="false" customHeight="true" outlineLevel="0" collapsed="false">
      <c r="A15" s="46" t="s">
        <v>146</v>
      </c>
      <c r="B15" s="46"/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1" t="n">
        <f aca="false">IFERROR(AVERAGE(O8:O12),0)</f>
        <v>6.2</v>
      </c>
      <c r="P15" s="71" t="n">
        <f aca="false">IFERROR(AVERAGE(P8:P12),0)</f>
        <v>3</v>
      </c>
      <c r="Q15" s="70"/>
      <c r="R15" s="71" t="str">
        <f aca="false">IFERROR(AVERAGEIF(R8:R12,"&lt;&gt;—"),"")</f>
        <v/>
      </c>
      <c r="S15" s="71" t="str">
        <f aca="false">IFERROR(AVERAGEIF(S8:S12,"&lt;&gt;—"),"")</f>
        <v/>
      </c>
      <c r="T15" s="71" t="str">
        <f aca="false">IFERROR(AVERAGEIF(T8:T12,"&lt;&gt;—"),"")</f>
        <v/>
      </c>
      <c r="U15" s="71" t="str">
        <f aca="false">IFERROR(AVERAGEIF(U8:U12,"&lt;&gt;—"),"")</f>
        <v/>
      </c>
      <c r="V15" s="71" t="str">
        <f aca="false">IFERROR(AVERAGEIF(V8:V12,"&lt;&gt;—"),"")</f>
        <v/>
      </c>
      <c r="W15" s="71" t="str">
        <f aca="false">IFERROR(AVERAGEIF(W8:W12,"&lt;&gt;—"),"")</f>
        <v/>
      </c>
      <c r="X15" s="71" t="str">
        <f aca="false">IFERROR(AVERAGEIF(X8:X12,"&lt;&gt;—"),"")</f>
        <v/>
      </c>
      <c r="Y15" s="71" t="str">
        <f aca="false">IFERROR(AVERAGEIF(Y8:Y12,"&lt;&gt;—"),"")</f>
        <v/>
      </c>
      <c r="Z15" s="71" t="str">
        <f aca="false">IFERROR(AVERAGEIF(Z8:Z12,"&lt;&gt;—"),"")</f>
        <v/>
      </c>
      <c r="AA15" s="71" t="str">
        <f aca="false">IFERROR(AVERAGEIF(AA8:AA12,"&lt;&gt;—"),"")</f>
        <v/>
      </c>
      <c r="AB15" s="71" t="str">
        <f aca="false">IFERROR(AVERAGEIF(AB8:AB12,"&lt;&gt;—"),"")</f>
        <v/>
      </c>
      <c r="AC15" s="71" t="str">
        <f aca="false">IFERROR(AVERAGEIF(AC8:AC12,"&lt;&gt;—"),"")</f>
        <v/>
      </c>
      <c r="AD15" s="71" t="str">
        <f aca="false">IFERROR(AVERAGEIF(AD8:AD12,"&lt;&gt;—"),"")</f>
        <v/>
      </c>
      <c r="AE15" s="71" t="str">
        <f aca="false">IFERROR(AVERAGEIF(AE8:AE12,"&lt;&gt;—"),"")</f>
        <v/>
      </c>
      <c r="AF15" s="71" t="str">
        <f aca="false">IFERROR(AVERAGEIF(AF8:AF12,"&lt;&gt;—"),"")</f>
        <v/>
      </c>
    </row>
  </sheetData>
  <mergeCells count="8">
    <mergeCell ref="A1:AF1"/>
    <mergeCell ref="A2:AF2"/>
    <mergeCell ref="A4:B4"/>
    <mergeCell ref="R4:AC4"/>
    <mergeCell ref="AD4:AF4"/>
    <mergeCell ref="A7:AF7"/>
    <mergeCell ref="A14:B14"/>
    <mergeCell ref="A15:B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32"/>
    <col collapsed="false" customWidth="true" hidden="false" outlineLevel="0" max="14" min="3" style="1" width="10"/>
    <col collapsed="false" customWidth="true" hidden="false" outlineLevel="0" max="17" min="15" style="1" width="9"/>
    <col collapsed="false" customWidth="true" hidden="false" outlineLevel="0" max="32" min="18" style="1" width="8"/>
  </cols>
  <sheetData>
    <row r="1" customFormat="false" ht="36" hidden="false" customHeight="true" outlineLevel="0" collapsed="false">
      <c r="A1" s="39" t="s">
        <v>200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</row>
    <row r="2" customFormat="false" ht="13.5" hidden="false" customHeight="true" outlineLevel="0" collapsed="false">
      <c r="A2" s="40" t="s">
        <v>98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</row>
    <row r="3" customFormat="false" ht="4.5" hidden="false" customHeight="true" outlineLevel="0" collapsed="false"/>
    <row r="4" customFormat="false" ht="18" hidden="false" customHeight="true" outlineLevel="0" collapsed="false">
      <c r="A4" s="41" t="s">
        <v>99</v>
      </c>
      <c r="B4" s="41"/>
      <c r="C4" s="42" t="s">
        <v>53</v>
      </c>
      <c r="D4" s="42" t="s">
        <v>53</v>
      </c>
      <c r="E4" s="42" t="s">
        <v>53</v>
      </c>
      <c r="F4" s="42" t="s">
        <v>53</v>
      </c>
      <c r="G4" s="42" t="s">
        <v>53</v>
      </c>
      <c r="H4" s="42" t="s">
        <v>53</v>
      </c>
      <c r="I4" s="42" t="s">
        <v>53</v>
      </c>
      <c r="J4" s="42" t="s">
        <v>53</v>
      </c>
      <c r="K4" s="42" t="s">
        <v>53</v>
      </c>
      <c r="L4" s="42" t="s">
        <v>53</v>
      </c>
      <c r="M4" s="42" t="s">
        <v>53</v>
      </c>
      <c r="N4" s="43" t="s">
        <v>87</v>
      </c>
      <c r="O4" s="44" t="s">
        <v>100</v>
      </c>
      <c r="P4" s="30" t="s">
        <v>3</v>
      </c>
      <c r="Q4" s="45" t="s">
        <v>4</v>
      </c>
      <c r="R4" s="46" t="s">
        <v>101</v>
      </c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7" t="s">
        <v>102</v>
      </c>
      <c r="AE4" s="47"/>
      <c r="AF4" s="47"/>
    </row>
    <row r="5" customFormat="false" ht="21.75" hidden="false" customHeight="true" outlineLevel="0" collapsed="false">
      <c r="A5" s="5" t="s">
        <v>103</v>
      </c>
      <c r="B5" s="5" t="s">
        <v>104</v>
      </c>
      <c r="C5" s="48" t="s">
        <v>105</v>
      </c>
      <c r="D5" s="48" t="s">
        <v>106</v>
      </c>
      <c r="E5" s="48" t="s">
        <v>59</v>
      </c>
      <c r="F5" s="48" t="s">
        <v>62</v>
      </c>
      <c r="G5" s="48" t="s">
        <v>107</v>
      </c>
      <c r="H5" s="48" t="s">
        <v>108</v>
      </c>
      <c r="I5" s="48" t="s">
        <v>109</v>
      </c>
      <c r="J5" s="48" t="s">
        <v>110</v>
      </c>
      <c r="K5" s="48" t="s">
        <v>111</v>
      </c>
      <c r="L5" s="48" t="s">
        <v>112</v>
      </c>
      <c r="M5" s="48" t="s">
        <v>113</v>
      </c>
      <c r="N5" s="49" t="s">
        <v>114</v>
      </c>
      <c r="O5" s="50" t="s">
        <v>115</v>
      </c>
      <c r="P5" s="51" t="s">
        <v>116</v>
      </c>
      <c r="Q5" s="52" t="s">
        <v>117</v>
      </c>
      <c r="R5" s="30" t="s">
        <v>118</v>
      </c>
      <c r="S5" s="30" t="s">
        <v>119</v>
      </c>
      <c r="T5" s="30" t="s">
        <v>120</v>
      </c>
      <c r="U5" s="30" t="s">
        <v>121</v>
      </c>
      <c r="V5" s="30" t="s">
        <v>122</v>
      </c>
      <c r="W5" s="30" t="s">
        <v>123</v>
      </c>
      <c r="X5" s="30" t="s">
        <v>124</v>
      </c>
      <c r="Y5" s="30" t="s">
        <v>125</v>
      </c>
      <c r="Z5" s="30" t="s">
        <v>126</v>
      </c>
      <c r="AA5" s="30" t="s">
        <v>127</v>
      </c>
      <c r="AB5" s="30" t="s">
        <v>128</v>
      </c>
      <c r="AC5" s="30" t="s">
        <v>129</v>
      </c>
      <c r="AD5" s="34" t="s">
        <v>130</v>
      </c>
      <c r="AE5" s="34" t="s">
        <v>131</v>
      </c>
      <c r="AF5" s="34" t="s">
        <v>132</v>
      </c>
    </row>
    <row r="6" customFormat="false" ht="15.75" hidden="false" customHeight="true" outlineLevel="0" collapsed="false">
      <c r="A6" s="53"/>
      <c r="B6" s="54" t="s">
        <v>133</v>
      </c>
      <c r="C6" s="55" t="s">
        <v>51</v>
      </c>
      <c r="D6" s="55" t="s">
        <v>55</v>
      </c>
      <c r="E6" s="55" t="s">
        <v>58</v>
      </c>
      <c r="F6" s="55" t="s">
        <v>61</v>
      </c>
      <c r="G6" s="55" t="s">
        <v>64</v>
      </c>
      <c r="H6" s="55" t="s">
        <v>67</v>
      </c>
      <c r="I6" s="55" t="s">
        <v>70</v>
      </c>
      <c r="J6" s="55" t="s">
        <v>73</v>
      </c>
      <c r="K6" s="55" t="s">
        <v>76</v>
      </c>
      <c r="L6" s="55" t="s">
        <v>79</v>
      </c>
      <c r="M6" s="55" t="s">
        <v>82</v>
      </c>
      <c r="N6" s="55" t="s">
        <v>85</v>
      </c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</row>
    <row r="7" customFormat="false" ht="13.5" hidden="false" customHeight="true" outlineLevel="0" collapsed="false">
      <c r="A7" s="56" t="s">
        <v>134</v>
      </c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</row>
    <row r="8" customFormat="false" ht="19.5" hidden="false" customHeight="true" outlineLevel="0" collapsed="false">
      <c r="A8" s="57" t="s">
        <v>135</v>
      </c>
      <c r="B8" s="31" t="s">
        <v>201</v>
      </c>
      <c r="C8" s="58" t="n">
        <v>1</v>
      </c>
      <c r="D8" s="58" t="n">
        <v>1</v>
      </c>
      <c r="E8" s="59" t="n">
        <v>0</v>
      </c>
      <c r="F8" s="59" t="n">
        <v>0</v>
      </c>
      <c r="G8" s="59" t="n">
        <v>0</v>
      </c>
      <c r="H8" s="58" t="n">
        <v>1</v>
      </c>
      <c r="I8" s="58" t="n">
        <v>1</v>
      </c>
      <c r="J8" s="58" t="n">
        <v>1</v>
      </c>
      <c r="K8" s="59" t="n">
        <v>0</v>
      </c>
      <c r="L8" s="59" t="n">
        <v>0</v>
      </c>
      <c r="M8" s="59" t="n">
        <v>0</v>
      </c>
      <c r="N8" s="58" t="n">
        <v>1</v>
      </c>
      <c r="O8" s="60" t="n">
        <f aca="false">COUNTIF(C8:N8,1)</f>
        <v>6</v>
      </c>
      <c r="P8" s="61" t="n">
        <f aca="false">IF(O8&gt;=4,3,IF(O8&gt;=3,2,IF(O8&gt;=1,1,0)))</f>
        <v>3</v>
      </c>
      <c r="Q8" s="62" t="str">
        <f aca="false">IF(P8=0,"—",TEXT(P8,"0"))</f>
        <v>3</v>
      </c>
      <c r="R8" s="63" t="str">
        <f aca="false">IF(P8=0,"—",TEXT(P8,"0"))</f>
        <v>3</v>
      </c>
      <c r="S8" s="63" t="str">
        <f aca="false">IF(P8=0,"—",TEXT(P8,"0"))</f>
        <v>3</v>
      </c>
      <c r="T8" s="64" t="s">
        <v>9</v>
      </c>
      <c r="U8" s="64" t="s">
        <v>9</v>
      </c>
      <c r="V8" s="63" t="str">
        <f aca="false">IF(P8=0,"—",TEXT(P8,"0"))</f>
        <v>3</v>
      </c>
      <c r="W8" s="64" t="s">
        <v>9</v>
      </c>
      <c r="X8" s="64" t="s">
        <v>9</v>
      </c>
      <c r="Y8" s="64" t="s">
        <v>9</v>
      </c>
      <c r="Z8" s="64" t="s">
        <v>9</v>
      </c>
      <c r="AA8" s="64" t="s">
        <v>9</v>
      </c>
      <c r="AB8" s="64" t="s">
        <v>9</v>
      </c>
      <c r="AC8" s="63" t="str">
        <f aca="false">IF(P8=0,"—",TEXT(P8,"0"))</f>
        <v>3</v>
      </c>
      <c r="AD8" s="64" t="s">
        <v>9</v>
      </c>
      <c r="AE8" s="64" t="s">
        <v>9</v>
      </c>
      <c r="AF8" s="64" t="s">
        <v>9</v>
      </c>
    </row>
    <row r="9" customFormat="false" ht="19.5" hidden="false" customHeight="true" outlineLevel="0" collapsed="false">
      <c r="A9" s="57" t="s">
        <v>137</v>
      </c>
      <c r="B9" s="32" t="s">
        <v>202</v>
      </c>
      <c r="C9" s="58" t="n">
        <v>1</v>
      </c>
      <c r="D9" s="58" t="n">
        <v>1</v>
      </c>
      <c r="E9" s="58" t="n">
        <v>1</v>
      </c>
      <c r="F9" s="59" t="n">
        <v>0</v>
      </c>
      <c r="G9" s="59" t="n">
        <v>0</v>
      </c>
      <c r="H9" s="58" t="n">
        <v>1</v>
      </c>
      <c r="I9" s="58" t="n">
        <v>1</v>
      </c>
      <c r="J9" s="58" t="n">
        <v>1</v>
      </c>
      <c r="K9" s="59" t="n">
        <v>0</v>
      </c>
      <c r="L9" s="59" t="n">
        <v>0</v>
      </c>
      <c r="M9" s="59" t="n">
        <v>0</v>
      </c>
      <c r="N9" s="58" t="n">
        <v>1</v>
      </c>
      <c r="O9" s="60" t="n">
        <f aca="false">COUNTIF(C9:N9,1)</f>
        <v>7</v>
      </c>
      <c r="P9" s="61" t="n">
        <f aca="false">IF(O9&gt;=4,3,IF(O9&gt;=3,2,IF(O9&gt;=1,1,0)))</f>
        <v>3</v>
      </c>
      <c r="Q9" s="62" t="str">
        <f aca="false">IF(P9=0,"—",TEXT(P9,"0"))</f>
        <v>3</v>
      </c>
      <c r="R9" s="65" t="str">
        <f aca="false">IF(P9=0,"—",TEXT(P9,"0"))</f>
        <v>3</v>
      </c>
      <c r="S9" s="65" t="str">
        <f aca="false">IF(P9=0,"—",TEXT(P9,"0"))</f>
        <v>3</v>
      </c>
      <c r="T9" s="65" t="str">
        <f aca="false">IF(P9=0,"—",TEXT(P9,"0"))</f>
        <v>3</v>
      </c>
      <c r="U9" s="66" t="s">
        <v>9</v>
      </c>
      <c r="V9" s="65" t="str">
        <f aca="false">IF(P9=0,"—",TEXT(P9,"0"))</f>
        <v>3</v>
      </c>
      <c r="W9" s="66" t="s">
        <v>9</v>
      </c>
      <c r="X9" s="66" t="s">
        <v>9</v>
      </c>
      <c r="Y9" s="66" t="s">
        <v>9</v>
      </c>
      <c r="Z9" s="66" t="s">
        <v>9</v>
      </c>
      <c r="AA9" s="66" t="s">
        <v>9</v>
      </c>
      <c r="AB9" s="66" t="s">
        <v>9</v>
      </c>
      <c r="AC9" s="65" t="str">
        <f aca="false">IF(P9=0,"—",TEXT(P9,"0"))</f>
        <v>3</v>
      </c>
      <c r="AD9" s="66" t="s">
        <v>9</v>
      </c>
      <c r="AE9" s="66" t="s">
        <v>9</v>
      </c>
      <c r="AF9" s="66" t="s">
        <v>9</v>
      </c>
    </row>
    <row r="10" customFormat="false" ht="19.5" hidden="false" customHeight="true" outlineLevel="0" collapsed="false">
      <c r="A10" s="57" t="s">
        <v>139</v>
      </c>
      <c r="B10" s="31" t="s">
        <v>203</v>
      </c>
      <c r="C10" s="58" t="n">
        <v>1</v>
      </c>
      <c r="D10" s="58" t="n">
        <v>1</v>
      </c>
      <c r="E10" s="59" t="n">
        <v>0</v>
      </c>
      <c r="F10" s="59" t="n">
        <v>0</v>
      </c>
      <c r="G10" s="58" t="n">
        <v>1</v>
      </c>
      <c r="H10" s="58" t="n">
        <v>1</v>
      </c>
      <c r="I10" s="58" t="n">
        <v>1</v>
      </c>
      <c r="J10" s="58" t="n">
        <v>1</v>
      </c>
      <c r="K10" s="59" t="n">
        <v>0</v>
      </c>
      <c r="L10" s="58" t="n">
        <v>1</v>
      </c>
      <c r="M10" s="59" t="n">
        <v>0</v>
      </c>
      <c r="N10" s="58" t="n">
        <v>1</v>
      </c>
      <c r="O10" s="60" t="n">
        <f aca="false">COUNTIF(C10:N10,1)</f>
        <v>8</v>
      </c>
      <c r="P10" s="61" t="n">
        <f aca="false">IF(O10&gt;=4,3,IF(O10&gt;=3,2,IF(O10&gt;=1,1,0)))</f>
        <v>3</v>
      </c>
      <c r="Q10" s="62" t="str">
        <f aca="false">IF(P10=0,"—",TEXT(P10,"0"))</f>
        <v>3</v>
      </c>
      <c r="R10" s="63" t="str">
        <f aca="false">IF(P10=0,"—",TEXT(P10,"0"))</f>
        <v>3</v>
      </c>
      <c r="S10" s="63" t="str">
        <f aca="false">IF(P10=0,"—",TEXT(P10,"0"))</f>
        <v>3</v>
      </c>
      <c r="T10" s="63" t="str">
        <f aca="false">IF(P10=0,"—",TEXT(P10,"0"))</f>
        <v>3</v>
      </c>
      <c r="U10" s="64" t="s">
        <v>9</v>
      </c>
      <c r="V10" s="63" t="str">
        <f aca="false">IF(P10=0,"—",TEXT(P10,"0"))</f>
        <v>3</v>
      </c>
      <c r="W10" s="64" t="s">
        <v>9</v>
      </c>
      <c r="X10" s="64" t="s">
        <v>9</v>
      </c>
      <c r="Y10" s="64" t="s">
        <v>9</v>
      </c>
      <c r="Z10" s="64" t="s">
        <v>9</v>
      </c>
      <c r="AA10" s="64" t="s">
        <v>9</v>
      </c>
      <c r="AB10" s="64" t="s">
        <v>9</v>
      </c>
      <c r="AC10" s="63" t="str">
        <f aca="false">IF(P10=0,"—",TEXT(P10,"0"))</f>
        <v>3</v>
      </c>
      <c r="AD10" s="64" t="s">
        <v>9</v>
      </c>
      <c r="AE10" s="64" t="s">
        <v>9</v>
      </c>
      <c r="AF10" s="64" t="s">
        <v>9</v>
      </c>
    </row>
    <row r="11" customFormat="false" ht="19.5" hidden="false" customHeight="true" outlineLevel="0" collapsed="false">
      <c r="A11" s="57" t="s">
        <v>141</v>
      </c>
      <c r="B11" s="32" t="s">
        <v>204</v>
      </c>
      <c r="C11" s="58" t="n">
        <v>1</v>
      </c>
      <c r="D11" s="58" t="n">
        <v>1</v>
      </c>
      <c r="E11" s="59" t="n">
        <v>0</v>
      </c>
      <c r="F11" s="59" t="n">
        <v>0</v>
      </c>
      <c r="G11" s="59" t="n">
        <v>0</v>
      </c>
      <c r="H11" s="58" t="n">
        <v>1</v>
      </c>
      <c r="I11" s="58" t="n">
        <v>1</v>
      </c>
      <c r="J11" s="58" t="n">
        <v>1</v>
      </c>
      <c r="K11" s="59" t="n">
        <v>0</v>
      </c>
      <c r="L11" s="59" t="n">
        <v>0</v>
      </c>
      <c r="M11" s="59" t="n">
        <v>0</v>
      </c>
      <c r="N11" s="58" t="n">
        <v>1</v>
      </c>
      <c r="O11" s="60" t="n">
        <f aca="false">COUNTIF(C11:N11,1)</f>
        <v>6</v>
      </c>
      <c r="P11" s="61" t="n">
        <f aca="false">IF(O11&gt;=4,3,IF(O11&gt;=3,2,IF(O11&gt;=1,1,0)))</f>
        <v>3</v>
      </c>
      <c r="Q11" s="62" t="str">
        <f aca="false">IF(P11=0,"—",TEXT(P11,"0"))</f>
        <v>3</v>
      </c>
      <c r="R11" s="65" t="str">
        <f aca="false">IF(P11=0,"—",TEXT(P11,"0"))</f>
        <v>3</v>
      </c>
      <c r="S11" s="65" t="str">
        <f aca="false">IF(P11=0,"—",TEXT(P11,"0"))</f>
        <v>3</v>
      </c>
      <c r="T11" s="66" t="s">
        <v>9</v>
      </c>
      <c r="U11" s="65" t="str">
        <f aca="false">IF(P11=0,"—",TEXT(P11,"0"))</f>
        <v>3</v>
      </c>
      <c r="V11" s="65" t="str">
        <f aca="false">IF(P11=0,"—",TEXT(P11,"0"))</f>
        <v>3</v>
      </c>
      <c r="W11" s="66" t="s">
        <v>9</v>
      </c>
      <c r="X11" s="66" t="s">
        <v>9</v>
      </c>
      <c r="Y11" s="66" t="s">
        <v>9</v>
      </c>
      <c r="Z11" s="66" t="s">
        <v>9</v>
      </c>
      <c r="AA11" s="66" t="s">
        <v>9</v>
      </c>
      <c r="AB11" s="66" t="s">
        <v>9</v>
      </c>
      <c r="AC11" s="65" t="str">
        <f aca="false">IF(P11=0,"—",TEXT(P11,"0"))</f>
        <v>3</v>
      </c>
      <c r="AD11" s="66" t="s">
        <v>9</v>
      </c>
      <c r="AE11" s="66" t="s">
        <v>9</v>
      </c>
      <c r="AF11" s="66" t="s">
        <v>9</v>
      </c>
    </row>
    <row r="12" customFormat="false" ht="19.5" hidden="false" customHeight="true" outlineLevel="0" collapsed="false">
      <c r="A12" s="57" t="s">
        <v>143</v>
      </c>
      <c r="B12" s="31" t="s">
        <v>205</v>
      </c>
      <c r="C12" s="58" t="n">
        <v>1</v>
      </c>
      <c r="D12" s="58" t="n">
        <v>1</v>
      </c>
      <c r="E12" s="59" t="n">
        <v>0</v>
      </c>
      <c r="F12" s="58" t="n">
        <v>1</v>
      </c>
      <c r="G12" s="59" t="n">
        <v>0</v>
      </c>
      <c r="H12" s="58" t="n">
        <v>1</v>
      </c>
      <c r="I12" s="58" t="n">
        <v>1</v>
      </c>
      <c r="J12" s="58" t="n">
        <v>1</v>
      </c>
      <c r="K12" s="59" t="n">
        <v>0</v>
      </c>
      <c r="L12" s="59" t="n">
        <v>0</v>
      </c>
      <c r="M12" s="59" t="n">
        <v>0</v>
      </c>
      <c r="N12" s="58" t="n">
        <v>1</v>
      </c>
      <c r="O12" s="60" t="n">
        <f aca="false">COUNTIF(C12:N12,1)</f>
        <v>7</v>
      </c>
      <c r="P12" s="61" t="n">
        <f aca="false">IF(O12&gt;=4,3,IF(O12&gt;=3,2,IF(O12&gt;=1,1,0)))</f>
        <v>3</v>
      </c>
      <c r="Q12" s="62" t="str">
        <f aca="false">IF(P12=0,"—",TEXT(P12,"0"))</f>
        <v>3</v>
      </c>
      <c r="R12" s="63" t="str">
        <f aca="false">IF(P12=0,"—",TEXT(P12,"0"))</f>
        <v>3</v>
      </c>
      <c r="S12" s="63" t="str">
        <f aca="false">IF(P12=0,"—",TEXT(P12,"0"))</f>
        <v>3</v>
      </c>
      <c r="T12" s="63" t="str">
        <f aca="false">IF(P12=0,"—",TEXT(P12,"0"))</f>
        <v>3</v>
      </c>
      <c r="U12" s="63" t="str">
        <f aca="false">IF(P12=0,"—",TEXT(P12,"0"))</f>
        <v>3</v>
      </c>
      <c r="V12" s="63" t="str">
        <f aca="false">IF(P12=0,"—",TEXT(P12,"0"))</f>
        <v>3</v>
      </c>
      <c r="W12" s="64" t="s">
        <v>9</v>
      </c>
      <c r="X12" s="64" t="s">
        <v>9</v>
      </c>
      <c r="Y12" s="64" t="s">
        <v>9</v>
      </c>
      <c r="Z12" s="64" t="s">
        <v>9</v>
      </c>
      <c r="AA12" s="64" t="s">
        <v>9</v>
      </c>
      <c r="AB12" s="64" t="s">
        <v>9</v>
      </c>
      <c r="AC12" s="63" t="str">
        <f aca="false">IF(P12=0,"—",TEXT(P12,"0"))</f>
        <v>3</v>
      </c>
      <c r="AD12" s="64" t="s">
        <v>9</v>
      </c>
      <c r="AE12" s="64" t="s">
        <v>9</v>
      </c>
      <c r="AF12" s="64" t="s">
        <v>9</v>
      </c>
    </row>
    <row r="13" customFormat="false" ht="19.5" hidden="false" customHeight="true" outlineLevel="0" collapsed="false">
      <c r="A13" s="57" t="s">
        <v>176</v>
      </c>
      <c r="B13" s="32" t="s">
        <v>206</v>
      </c>
      <c r="C13" s="58" t="n">
        <v>1</v>
      </c>
      <c r="D13" s="58" t="n">
        <v>1</v>
      </c>
      <c r="E13" s="59" t="n">
        <v>0</v>
      </c>
      <c r="F13" s="59" t="n">
        <v>0</v>
      </c>
      <c r="G13" s="58" t="n">
        <v>1</v>
      </c>
      <c r="H13" s="58" t="n">
        <v>1</v>
      </c>
      <c r="I13" s="58" t="n">
        <v>1</v>
      </c>
      <c r="J13" s="58" t="n">
        <v>1</v>
      </c>
      <c r="K13" s="58" t="n">
        <v>1</v>
      </c>
      <c r="L13" s="58" t="n">
        <v>1</v>
      </c>
      <c r="M13" s="58" t="n">
        <v>1</v>
      </c>
      <c r="N13" s="58" t="n">
        <v>1</v>
      </c>
      <c r="O13" s="60" t="n">
        <f aca="false">COUNTIF(C13:N13,1)</f>
        <v>10</v>
      </c>
      <c r="P13" s="61" t="n">
        <f aca="false">IF(O13&gt;=4,3,IF(O13&gt;=3,2,IF(O13&gt;=1,1,0)))</f>
        <v>3</v>
      </c>
      <c r="Q13" s="62" t="str">
        <f aca="false">IF(P13=0,"—",TEXT(P13,"0"))</f>
        <v>3</v>
      </c>
      <c r="R13" s="65" t="str">
        <f aca="false">IF(P13=0,"—",TEXT(P13,"0"))</f>
        <v>3</v>
      </c>
      <c r="S13" s="65" t="str">
        <f aca="false">IF(P13=0,"—",TEXT(P13,"0"))</f>
        <v>3</v>
      </c>
      <c r="T13" s="65" t="str">
        <f aca="false">IF(P13=0,"—",TEXT(P13,"0"))</f>
        <v>3</v>
      </c>
      <c r="U13" s="65" t="str">
        <f aca="false">IF(P13=0,"—",TEXT(P13,"0"))</f>
        <v>3</v>
      </c>
      <c r="V13" s="65" t="str">
        <f aca="false">IF(P13=0,"—",TEXT(P13,"0"))</f>
        <v>3</v>
      </c>
      <c r="W13" s="66" t="s">
        <v>9</v>
      </c>
      <c r="X13" s="66" t="s">
        <v>9</v>
      </c>
      <c r="Y13" s="65" t="str">
        <f aca="false">IF(P13=0,"—",TEXT(P13,"0"))</f>
        <v>3</v>
      </c>
      <c r="Z13" s="65" t="str">
        <f aca="false">IF(P13=0,"—",TEXT(P13,"0"))</f>
        <v>3</v>
      </c>
      <c r="AA13" s="65" t="str">
        <f aca="false">IF(P13=0,"—",TEXT(P13,"0"))</f>
        <v>3</v>
      </c>
      <c r="AB13" s="65" t="str">
        <f aca="false">IF(P13=0,"—",TEXT(P13,"0"))</f>
        <v>3</v>
      </c>
      <c r="AC13" s="65" t="str">
        <f aca="false">IF(P13=0,"—",TEXT(P13,"0"))</f>
        <v>3</v>
      </c>
      <c r="AD13" s="66" t="s">
        <v>9</v>
      </c>
      <c r="AE13" s="66" t="s">
        <v>9</v>
      </c>
      <c r="AF13" s="66" t="s">
        <v>9</v>
      </c>
    </row>
    <row r="15" customFormat="false" ht="21.75" hidden="false" customHeight="true" outlineLevel="0" collapsed="false">
      <c r="A15" s="67" t="s">
        <v>145</v>
      </c>
      <c r="B15" s="67"/>
      <c r="C15" s="68" t="n">
        <f aca="false">COUNTIF(C8:C13,1)</f>
        <v>6</v>
      </c>
      <c r="D15" s="68" t="n">
        <f aca="false">COUNTIF(D8:D13,1)</f>
        <v>6</v>
      </c>
      <c r="E15" s="68" t="n">
        <f aca="false">COUNTIF(E8:E13,1)</f>
        <v>1</v>
      </c>
      <c r="F15" s="68" t="n">
        <f aca="false">COUNTIF(F8:F13,1)</f>
        <v>1</v>
      </c>
      <c r="G15" s="68" t="n">
        <f aca="false">COUNTIF(G8:G13,1)</f>
        <v>2</v>
      </c>
      <c r="H15" s="68" t="n">
        <f aca="false">COUNTIF(H8:H13,1)</f>
        <v>6</v>
      </c>
      <c r="I15" s="68" t="n">
        <f aca="false">COUNTIF(I8:I13,1)</f>
        <v>6</v>
      </c>
      <c r="J15" s="68" t="n">
        <f aca="false">COUNTIF(J8:J13,1)</f>
        <v>6</v>
      </c>
      <c r="K15" s="68" t="n">
        <f aca="false">COUNTIF(K8:K13,1)</f>
        <v>1</v>
      </c>
      <c r="L15" s="68" t="n">
        <f aca="false">COUNTIF(L8:L13,1)</f>
        <v>2</v>
      </c>
      <c r="M15" s="68" t="n">
        <f aca="false">COUNTIF(M8:M13,1)</f>
        <v>1</v>
      </c>
      <c r="N15" s="68" t="n">
        <f aca="false">COUNTIF(N8:N13,1)</f>
        <v>6</v>
      </c>
      <c r="O15" s="68" t="n">
        <f aca="false">SUM(O8:O13)</f>
        <v>44</v>
      </c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</row>
    <row r="16" customFormat="false" ht="21.75" hidden="false" customHeight="true" outlineLevel="0" collapsed="false">
      <c r="A16" s="46" t="s">
        <v>146</v>
      </c>
      <c r="B16" s="46"/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1" t="n">
        <f aca="false">IFERROR(AVERAGE(O8:O13),0)</f>
        <v>7.33333333333333</v>
      </c>
      <c r="P16" s="71" t="n">
        <f aca="false">IFERROR(AVERAGE(P8:P13),0)</f>
        <v>3</v>
      </c>
      <c r="Q16" s="70"/>
      <c r="R16" s="71" t="str">
        <f aca="false">IFERROR(AVERAGEIF(R8:R13,"&lt;&gt;—"),"")</f>
        <v/>
      </c>
      <c r="S16" s="71" t="str">
        <f aca="false">IFERROR(AVERAGEIF(S8:S13,"&lt;&gt;—"),"")</f>
        <v/>
      </c>
      <c r="T16" s="71" t="str">
        <f aca="false">IFERROR(AVERAGEIF(T8:T13,"&lt;&gt;—"),"")</f>
        <v/>
      </c>
      <c r="U16" s="71" t="str">
        <f aca="false">IFERROR(AVERAGEIF(U8:U13,"&lt;&gt;—"),"")</f>
        <v/>
      </c>
      <c r="V16" s="71" t="str">
        <f aca="false">IFERROR(AVERAGEIF(V8:V13,"&lt;&gt;—"),"")</f>
        <v/>
      </c>
      <c r="W16" s="71" t="str">
        <f aca="false">IFERROR(AVERAGEIF(W8:W13,"&lt;&gt;—"),"")</f>
        <v/>
      </c>
      <c r="X16" s="71" t="str">
        <f aca="false">IFERROR(AVERAGEIF(X8:X13,"&lt;&gt;—"),"")</f>
        <v/>
      </c>
      <c r="Y16" s="71" t="str">
        <f aca="false">IFERROR(AVERAGEIF(Y8:Y13,"&lt;&gt;—"),"")</f>
        <v/>
      </c>
      <c r="Z16" s="71" t="str">
        <f aca="false">IFERROR(AVERAGEIF(Z8:Z13,"&lt;&gt;—"),"")</f>
        <v/>
      </c>
      <c r="AA16" s="71" t="str">
        <f aca="false">IFERROR(AVERAGEIF(AA8:AA13,"&lt;&gt;—"),"")</f>
        <v/>
      </c>
      <c r="AB16" s="71" t="str">
        <f aca="false">IFERROR(AVERAGEIF(AB8:AB13,"&lt;&gt;—"),"")</f>
        <v/>
      </c>
      <c r="AC16" s="71" t="str">
        <f aca="false">IFERROR(AVERAGEIF(AC8:AC13,"&lt;&gt;—"),"")</f>
        <v/>
      </c>
      <c r="AD16" s="71" t="str">
        <f aca="false">IFERROR(AVERAGEIF(AD8:AD13,"&lt;&gt;—"),"")</f>
        <v/>
      </c>
      <c r="AE16" s="71" t="str">
        <f aca="false">IFERROR(AVERAGEIF(AE8:AE13,"&lt;&gt;—"),"")</f>
        <v/>
      </c>
      <c r="AF16" s="71" t="str">
        <f aca="false">IFERROR(AVERAGEIF(AF8:AF13,"&lt;&gt;—"),"")</f>
        <v/>
      </c>
    </row>
  </sheetData>
  <mergeCells count="8">
    <mergeCell ref="A1:AF1"/>
    <mergeCell ref="A2:AF2"/>
    <mergeCell ref="A4:B4"/>
    <mergeCell ref="R4:AC4"/>
    <mergeCell ref="AD4:AF4"/>
    <mergeCell ref="A7:AF7"/>
    <mergeCell ref="A15:B15"/>
    <mergeCell ref="A16:B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2026-05-12T05:39:26Z</dcterms:created>
  <dc:creator>openpyxl</dc:creator>
  <dc:description/>
  <dc:language>en-US</dc:language>
  <cp:lastModifiedBy/>
  <dcterms:modified xsi:type="dcterms:W3CDTF">2026-05-12T05:39:46Z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